
<file path=[Content_Types].xml><?xml version="1.0" encoding="utf-8"?>
<Types xmlns="http://schemas.openxmlformats.org/package/2006/content-type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be5bc6f199aae7bf/Desktop/"/>
    </mc:Choice>
  </mc:AlternateContent>
  <xr:revisionPtr revIDLastSave="1644" documentId="8_{F29639F7-DC38-48EE-8B29-3041CE1A91FA}" xr6:coauthVersionLast="47" xr6:coauthVersionMax="47" xr10:uidLastSave="{32499DD9-FFD2-4732-95B1-01B7C56A56CD}"/>
  <bookViews>
    <workbookView minimized="1" xWindow="3240" yWindow="3240" windowWidth="17280" windowHeight="8880" xr2:uid="{60F481D3-5BA4-4771-BAC8-6A0FEE06EC60}"/>
  </bookViews>
  <sheets>
    <sheet name="Dashboard" sheetId="11" r:id="rId1"/>
    <sheet name="Pivots" sheetId="8" r:id="rId2"/>
    <sheet name="Sheet1" sheetId="12" r:id="rId3"/>
    <sheet name="Data" sheetId="2" r:id="rId4"/>
    <sheet name="Questions&amp;KPI" sheetId="9" r:id="rId5"/>
  </sheets>
  <definedNames>
    <definedName name="_xlchart.v5.0" hidden="1">Pivots!$F$69</definedName>
    <definedName name="_xlchart.v5.1" hidden="1">Pivots!$F$70:$F$103</definedName>
    <definedName name="_xlchart.v5.2" hidden="1">Pivots!$G$69</definedName>
    <definedName name="_xlchart.v5.3" hidden="1">Pivots!$G$70:$G$103</definedName>
    <definedName name="_xlchart.v5.4" hidden="1">Pivots!$I$69</definedName>
    <definedName name="_xlchart.v5.5" hidden="1">Pivots!$I$70:$I$103</definedName>
    <definedName name="_xlchart.v5.6" hidden="1">Pivots!$J$69</definedName>
    <definedName name="_xlchart.v5.7" hidden="1">Pivots!$J$70:$J$103</definedName>
    <definedName name="Slicer_Gender_Value">#N/A</definedName>
    <definedName name="Slicer_Order_Mode">#N/A</definedName>
  </definedNames>
  <calcPr calcId="191028"/>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16" i="8" l="1"/>
  <c r="O16" i="8"/>
  <c r="N16" i="8"/>
  <c r="M16" i="8"/>
  <c r="L16" i="8"/>
  <c r="B15" i="12" a="1"/>
  <c r="B15" i="12" s="1"/>
  <c r="J71" i="8"/>
  <c r="J72" i="8"/>
  <c r="J73" i="8"/>
  <c r="J74" i="8"/>
  <c r="J75" i="8"/>
  <c r="J76" i="8"/>
  <c r="J77" i="8"/>
  <c r="J78" i="8"/>
  <c r="J79" i="8"/>
  <c r="J80" i="8"/>
  <c r="J81" i="8"/>
  <c r="J82" i="8"/>
  <c r="J83" i="8"/>
  <c r="J84" i="8"/>
  <c r="J85" i="8"/>
  <c r="J86" i="8"/>
  <c r="J87" i="8"/>
  <c r="J88" i="8"/>
  <c r="J89" i="8"/>
  <c r="J90" i="8"/>
  <c r="J91" i="8"/>
  <c r="J92" i="8"/>
  <c r="J93" i="8"/>
  <c r="J94" i="8"/>
  <c r="J95" i="8"/>
  <c r="J96" i="8"/>
  <c r="J97" i="8"/>
  <c r="J98" i="8"/>
  <c r="J99" i="8"/>
  <c r="J100" i="8"/>
  <c r="J101" i="8"/>
  <c r="J102" i="8"/>
  <c r="J103" i="8"/>
  <c r="J70" i="8"/>
  <c r="I70" i="8" a="1"/>
  <c r="I70" i="8" s="1"/>
  <c r="G71" i="8"/>
  <c r="G72" i="8"/>
  <c r="G73" i="8"/>
  <c r="G74" i="8"/>
  <c r="G75" i="8"/>
  <c r="G76" i="8"/>
  <c r="G77" i="8"/>
  <c r="G78" i="8"/>
  <c r="G79" i="8"/>
  <c r="G80" i="8"/>
  <c r="G81" i="8"/>
  <c r="G82" i="8"/>
  <c r="G83" i="8"/>
  <c r="G84" i="8"/>
  <c r="G85" i="8"/>
  <c r="G86" i="8"/>
  <c r="G87" i="8"/>
  <c r="G88" i="8"/>
  <c r="G89" i="8"/>
  <c r="G90" i="8"/>
  <c r="G91" i="8"/>
  <c r="G92" i="8"/>
  <c r="G93" i="8"/>
  <c r="G94" i="8"/>
  <c r="G95" i="8"/>
  <c r="G96" i="8"/>
  <c r="G97" i="8"/>
  <c r="G98" i="8"/>
  <c r="G99" i="8"/>
  <c r="G100" i="8"/>
  <c r="G101" i="8"/>
  <c r="G102" i="8"/>
  <c r="G103" i="8"/>
  <c r="G70" i="8"/>
  <c r="F70" i="8" a="1"/>
  <c r="F70" i="8" s="1"/>
  <c r="L4" i="8"/>
  <c r="K4" i="8"/>
  <c r="J4" i="8"/>
  <c r="I4" i="8"/>
  <c r="H4" i="8"/>
  <c r="H3" i="8" a="1"/>
  <c r="H3" i="8"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<sst xmlns="http://schemas.openxmlformats.org/spreadsheetml/2006/main" count="14429" uniqueCount="2520">
  <si>
    <t>Count of Transaction ID</t>
  </si>
  <si>
    <t>Sum of Quantity</t>
  </si>
  <si>
    <t>Sum of Amount($)</t>
  </si>
  <si>
    <t>Average Deliver</t>
  </si>
  <si>
    <t>Average  Rating</t>
  </si>
  <si>
    <t>Transaction ID</t>
  </si>
  <si>
    <t>Product</t>
  </si>
  <si>
    <t>Quantity</t>
  </si>
  <si>
    <t>Unit Price</t>
  </si>
  <si>
    <t>Amount($)</t>
  </si>
  <si>
    <t>Order Date</t>
  </si>
  <si>
    <t>Ship Date</t>
  </si>
  <si>
    <t>Customer Gender</t>
  </si>
  <si>
    <t>Order Mode</t>
  </si>
  <si>
    <t>Customer Rating</t>
  </si>
  <si>
    <t>Province</t>
  </si>
  <si>
    <t>Days to Deliver</t>
  </si>
  <si>
    <t>Week Number</t>
  </si>
  <si>
    <t>Gender Value</t>
  </si>
  <si>
    <t>TX500001</t>
  </si>
  <si>
    <t>Shorts</t>
  </si>
  <si>
    <t>Shopee App</t>
  </si>
  <si>
    <t>Aceh</t>
  </si>
  <si>
    <t>Unknown</t>
  </si>
  <si>
    <t>TX500002</t>
  </si>
  <si>
    <t>Tank Tops</t>
  </si>
  <si>
    <t>M</t>
  </si>
  <si>
    <t>Sulawesi Selatan</t>
  </si>
  <si>
    <t>Male</t>
  </si>
  <si>
    <t>TX500003</t>
  </si>
  <si>
    <t>Sneakers</t>
  </si>
  <si>
    <t>F</t>
  </si>
  <si>
    <t>Riau</t>
  </si>
  <si>
    <t>Female</t>
  </si>
  <si>
    <t>TX500004</t>
  </si>
  <si>
    <t>Workout Tops</t>
  </si>
  <si>
    <t>TX500005</t>
  </si>
  <si>
    <t>Graphic Tees</t>
  </si>
  <si>
    <t>DKI Jakarta</t>
  </si>
  <si>
    <t>TX500006</t>
  </si>
  <si>
    <t>Shopee Web</t>
  </si>
  <si>
    <t>TX500007</t>
  </si>
  <si>
    <t>Sandals</t>
  </si>
  <si>
    <t>TX500008</t>
  </si>
  <si>
    <t>Jeans</t>
  </si>
  <si>
    <t>Shopee Mall</t>
  </si>
  <si>
    <t>TX500009</t>
  </si>
  <si>
    <t>Hoodies &amp; Sweatshirts</t>
  </si>
  <si>
    <t>TX500010</t>
  </si>
  <si>
    <t>T-Shirts</t>
  </si>
  <si>
    <t>TX500011</t>
  </si>
  <si>
    <t>Sundresses</t>
  </si>
  <si>
    <t>TX500012</t>
  </si>
  <si>
    <t>TX500013</t>
  </si>
  <si>
    <t>Kalimantan Tengah</t>
  </si>
  <si>
    <t>TX500014</t>
  </si>
  <si>
    <t>Shopee Live</t>
  </si>
  <si>
    <t>Jambi</t>
  </si>
  <si>
    <t>TX500015</t>
  </si>
  <si>
    <t>Batik Shirt</t>
  </si>
  <si>
    <t>Bali</t>
  </si>
  <si>
    <t>TX500016</t>
  </si>
  <si>
    <t>TX500017</t>
  </si>
  <si>
    <t>TX500018</t>
  </si>
  <si>
    <t>Sumatera Utara</t>
  </si>
  <si>
    <t>TX500019</t>
  </si>
  <si>
    <t>TX500020</t>
  </si>
  <si>
    <t>Jawa Barat</t>
  </si>
  <si>
    <t>TX500021</t>
  </si>
  <si>
    <t>TX500022</t>
  </si>
  <si>
    <t>TX500023</t>
  </si>
  <si>
    <t>TX500024</t>
  </si>
  <si>
    <t>Maxi Dresses</t>
  </si>
  <si>
    <t>TX500025</t>
  </si>
  <si>
    <t>Casual Dresses</t>
  </si>
  <si>
    <t>ShopeePay Later</t>
  </si>
  <si>
    <t>TX500026</t>
  </si>
  <si>
    <t>Kalimantan Timur</t>
  </si>
  <si>
    <t>TX500027</t>
  </si>
  <si>
    <t>Kepulauan Bangka Belitung</t>
  </si>
  <si>
    <t>TX500028</t>
  </si>
  <si>
    <t>Tote Bags</t>
  </si>
  <si>
    <t>Jawa Tengah</t>
  </si>
  <si>
    <t>TX500029</t>
  </si>
  <si>
    <t>Maluku</t>
  </si>
  <si>
    <t>TX500030</t>
  </si>
  <si>
    <t>Baseball Caps</t>
  </si>
  <si>
    <t>Banten</t>
  </si>
  <si>
    <t>TX500031</t>
  </si>
  <si>
    <t>Nusa Tenggara Timur</t>
  </si>
  <si>
    <t>TX500032</t>
  </si>
  <si>
    <t>Bangka Belitung</t>
  </si>
  <si>
    <t>TX500033</t>
  </si>
  <si>
    <t>TX500034</t>
  </si>
  <si>
    <t>O</t>
  </si>
  <si>
    <t>Other</t>
  </si>
  <si>
    <t>TX500035</t>
  </si>
  <si>
    <t>TX500036</t>
  </si>
  <si>
    <t>TX500037</t>
  </si>
  <si>
    <t>TX500038</t>
  </si>
  <si>
    <t>TX500039</t>
  </si>
  <si>
    <t>TX500040</t>
  </si>
  <si>
    <t>TX500041</t>
  </si>
  <si>
    <t>TX500042</t>
  </si>
  <si>
    <t>Papua</t>
  </si>
  <si>
    <t>TX500043</t>
  </si>
  <si>
    <t>TX500044</t>
  </si>
  <si>
    <t>TX500045</t>
  </si>
  <si>
    <t>TX500046</t>
  </si>
  <si>
    <t>Jawa Timur</t>
  </si>
  <si>
    <t>TX500047</t>
  </si>
  <si>
    <t>TX500048</t>
  </si>
  <si>
    <t>TX500049</t>
  </si>
  <si>
    <t>TX500050</t>
  </si>
  <si>
    <t>Maluku Utara</t>
  </si>
  <si>
    <t>TX500051</t>
  </si>
  <si>
    <t>Kepulauan Riau</t>
  </si>
  <si>
    <t>TX500052</t>
  </si>
  <si>
    <t>TX500053</t>
  </si>
  <si>
    <t>Sumatera Barat</t>
  </si>
  <si>
    <t>TX500054</t>
  </si>
  <si>
    <t>Papua Barat</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</si>
  <si>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</si>
  <si>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</si>
  <si>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</si>
  <si>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</si>
  <si>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</si>
  <si>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</si>
  <si>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</si>
  <si>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</si>
  <si>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</si>
  <si>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</si>
  <si>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</si>
  <si>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</si>
  <si>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</si>
  <si>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</si>
  <si>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</si>
  <si>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</si>
  <si>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</si>
  <si>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</si>
  <si>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</si>
  <si>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</si>
  <si>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</si>
  <si>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</si>
  <si>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</si>
  <si>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</si>
  <si>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</si>
  <si>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</si>
  <si>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</si>
  <si>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</si>
  <si>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</si>
  <si>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</si>
  <si>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</si>
  <si>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Gorontalo</t>
  </si>
  <si>
    <t>TX500082</t>
  </si>
  <si>
    <t>TX500083</t>
  </si>
  <si>
    <t>TX500084</t>
  </si>
  <si>
    <t>TX500085</t>
  </si>
  <si>
    <t>TX500086</t>
  </si>
  <si>
    <t>TX500087</t>
  </si>
  <si>
    <t>TX500088</t>
  </si>
  <si>
    <t>TX500089</t>
  </si>
  <si>
    <t>TX500090</t>
  </si>
  <si>
    <t>TX500091</t>
  </si>
  <si>
    <t>Sulawesi Utara</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</si>
  <si>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</si>
  <si>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</si>
  <si>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</si>
  <si>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</si>
  <si>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</si>
  <si>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</si>
  <si>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</si>
  <si>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</si>
  <si>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</si>
  <si>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</si>
  <si>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</si>
  <si>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</si>
  <si>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</si>
  <si>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</si>
  <si>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</si>
  <si>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</si>
  <si>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</si>
  <si>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</si>
  <si>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</si>
  <si>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</si>
  <si>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</si>
  <si>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</si>
  <si>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</si>
  <si>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</si>
  <si>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</si>
  <si>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</si>
  <si>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</si>
  <si>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Nusa Tenggara Barat</t>
  </si>
  <si>
    <t>TX500118</t>
  </si>
  <si>
    <t>Lampung</t>
  </si>
  <si>
    <t>TX500119</t>
  </si>
  <si>
    <t>TX500120</t>
  </si>
  <si>
    <t>TX500121</t>
  </si>
  <si>
    <t>TX500122</t>
  </si>
  <si>
    <t>TX500123</t>
  </si>
  <si>
    <t>TX500124</t>
  </si>
  <si>
    <t>TX500125</t>
  </si>
  <si>
    <t>TX500126</t>
  </si>
  <si>
    <t>TX500127</t>
  </si>
  <si>
    <t>TX500128</t>
  </si>
  <si>
    <t>TX500129</t>
  </si>
  <si>
    <t>TX500130</t>
  </si>
  <si>
    <t>Kalimantan Utara</t>
  </si>
  <si>
    <t>TX500131</t>
  </si>
  <si>
    <t>TX500132</t>
  </si>
  <si>
    <t>TX500133</t>
  </si>
  <si>
    <t>TX500134</t>
  </si>
  <si>
    <t>TX500135</t>
  </si>
  <si>
    <t>TX500136</t>
  </si>
  <si>
    <t>Kalimantan Selatan</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</si>
  <si>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</si>
  <si>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</si>
  <si>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</si>
  <si>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</si>
  <si>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</si>
  <si>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</si>
  <si>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</si>
  <si>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</si>
  <si>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</si>
  <si>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</si>
  <si>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</si>
  <si>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</si>
  <si>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</si>
  <si>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</si>
  <si>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</si>
  <si>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</si>
  <si>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</si>
  <si>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</si>
  <si>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</si>
  <si>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</si>
  <si>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</si>
  <si>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</si>
  <si>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</si>
  <si>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</si>
  <si>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</si>
  <si>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</si>
  <si>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</si>
  <si>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</si>
  <si>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</si>
  <si>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</si>
  <si>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</si>
  <si>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</si>
  <si>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</si>
  <si>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</si>
  <si>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Bengkulu</t>
  </si>
  <si>
    <t>TX500171</t>
  </si>
  <si>
    <t>TX500172</t>
  </si>
  <si>
    <t>TX500173</t>
  </si>
  <si>
    <t>TX500174</t>
  </si>
  <si>
    <t>TX500175</t>
  </si>
  <si>
    <t>TX500176</t>
  </si>
  <si>
    <t>TX500177</t>
  </si>
  <si>
    <t>TX500178</t>
  </si>
  <si>
    <t>TX500179</t>
  </si>
  <si>
    <t>TX500180</t>
  </si>
  <si>
    <t>TX500181</t>
  </si>
  <si>
    <t>TX500182</t>
  </si>
  <si>
    <t>TX500183</t>
  </si>
  <si>
    <t>TX500184</t>
  </si>
  <si>
    <t>Sulawesi Tengah</t>
  </si>
  <si>
    <t>TX500185</t>
  </si>
  <si>
    <t>TX500186</t>
  </si>
  <si>
    <t>TX500187</t>
  </si>
  <si>
    <t>TX500188</t>
  </si>
  <si>
    <t>TX500189</t>
  </si>
  <si>
    <t>TX500190</t>
  </si>
  <si>
    <t>TX500191</t>
  </si>
  <si>
    <t>TX500192</t>
  </si>
  <si>
    <t>TX500193</t>
  </si>
  <si>
    <t>Sulawesi Tenggara</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</si>
  <si>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</si>
  <si>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</si>
  <si>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</si>
  <si>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</si>
  <si>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</si>
  <si>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</si>
  <si>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</si>
  <si>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</si>
  <si>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</si>
  <si>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</si>
  <si>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</si>
  <si>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</si>
  <si>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</si>
  <si>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</si>
  <si>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</si>
  <si>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</si>
  <si>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</si>
  <si>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</si>
  <si>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</si>
  <si>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</si>
  <si>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</si>
  <si>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</si>
  <si>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</si>
  <si>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Sumatera Selatan</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</si>
  <si>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</si>
  <si>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</si>
  <si>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</si>
  <si>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</si>
  <si>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</si>
  <si>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</si>
  <si>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</si>
  <si>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</si>
  <si>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</si>
  <si>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</si>
  <si>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</si>
  <si>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</si>
  <si>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</si>
  <si>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</si>
  <si>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</si>
  <si>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</si>
  <si>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Kalimantan Barat</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</si>
  <si>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</si>
  <si>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</si>
  <si>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</si>
  <si>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</si>
  <si>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</si>
  <si>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</si>
  <si>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</si>
  <si>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</si>
  <si>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</si>
  <si>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</si>
  <si>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</si>
  <si>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</si>
  <si>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</si>
  <si>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</si>
  <si>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</si>
  <si>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</si>
  <si>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</si>
  <si>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</si>
  <si>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</si>
  <si>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</si>
  <si>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</si>
  <si>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DIY Yogyakarta</t>
  </si>
  <si>
    <t>TX500254</t>
  </si>
  <si>
    <t>TX500255</t>
  </si>
  <si>
    <t>TX500256</t>
  </si>
  <si>
    <t>TX500257</t>
  </si>
  <si>
    <t>TX500258</t>
  </si>
  <si>
    <t>TX500259</t>
  </si>
  <si>
    <t>TX500260</t>
  </si>
  <si>
    <t>TX500261</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</si>
  <si>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</si>
  <si>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</si>
  <si>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</si>
  <si>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</si>
  <si>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</si>
  <si>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</si>
  <si>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</si>
  <si>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</si>
  <si>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</si>
  <si>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</si>
  <si>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</si>
  <si>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</si>
  <si>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</si>
  <si>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</si>
  <si>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</si>
  <si>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</si>
  <si>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</si>
  <si>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</si>
  <si>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</si>
  <si>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</si>
  <si>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</si>
  <si>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TX500283</t>
  </si>
  <si>
    <t>TX500284</t>
  </si>
  <si>
    <t>TX500285</t>
  </si>
  <si>
    <t>TX500286</t>
  </si>
  <si>
    <t>TX500287</t>
  </si>
  <si>
    <t>TX500288</t>
  </si>
  <si>
    <t>TX500289</t>
  </si>
  <si>
    <t>TX500290</t>
  </si>
  <si>
    <t>TX500291</t>
  </si>
  <si>
    <t>TX500292</t>
  </si>
  <si>
    <t>TX500293</t>
  </si>
  <si>
    <t>TX500294</t>
  </si>
  <si>
    <t>TX500295</t>
  </si>
  <si>
    <t>TX500296</t>
  </si>
  <si>
    <t>TX500297</t>
  </si>
  <si>
    <t>TX500298</t>
  </si>
  <si>
    <t>TX500299</t>
  </si>
  <si>
    <t>TX500300</t>
  </si>
  <si>
    <t>TX500301</t>
  </si>
  <si>
    <t>TX500302</t>
  </si>
  <si>
    <t>TX500303</t>
  </si>
  <si>
    <t>TX500304</t>
  </si>
  <si>
    <t>TX500305</t>
  </si>
  <si>
    <t>TX500306</t>
  </si>
  <si>
    <t>TX500307</t>
  </si>
  <si>
    <t>TX500308</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</si>
  <si>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</si>
  <si>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</si>
  <si>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</si>
  <si>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</si>
  <si>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</si>
  <si>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</si>
  <si>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</si>
  <si>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</si>
  <si>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</si>
  <si>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</si>
  <si>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</si>
  <si>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</si>
  <si>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</si>
  <si>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</si>
  <si>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</si>
  <si>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</si>
  <si>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</si>
  <si>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</si>
  <si>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</si>
  <si>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</si>
  <si>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</si>
  <si>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</si>
  <si>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</si>
  <si>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TX500332</t>
  </si>
  <si>
    <t>TX500333</t>
  </si>
  <si>
    <t>TX500334</t>
  </si>
  <si>
    <t>TX500335</t>
  </si>
  <si>
    <t>TX500336</t>
  </si>
  <si>
    <t>TX500337</t>
  </si>
  <si>
    <t>TX500338</t>
  </si>
  <si>
    <t>TX500339</t>
  </si>
  <si>
    <t>TX500340</t>
  </si>
  <si>
    <t>TX500341</t>
  </si>
  <si>
    <t>TX500342</t>
  </si>
  <si>
    <t>TX500343</t>
  </si>
  <si>
    <t>TX500344</t>
  </si>
  <si>
    <t>TX500345</t>
  </si>
  <si>
    <t>TX500346</t>
  </si>
  <si>
    <t>TX500347</t>
  </si>
  <si>
    <t>TX500348</t>
  </si>
  <si>
    <t>TX500349</t>
  </si>
  <si>
    <t>TX500350</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</si>
  <si>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</si>
  <si>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</si>
  <si>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</si>
  <si>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</si>
  <si>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</si>
  <si>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</si>
  <si>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</si>
  <si>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</si>
  <si>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</si>
  <si>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</si>
  <si>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</si>
  <si>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</si>
  <si>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</si>
  <si>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</si>
  <si>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</si>
  <si>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</si>
  <si>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</si>
  <si>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</si>
  <si>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</si>
  <si>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</si>
  <si>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</si>
  <si>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</si>
  <si>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</si>
  <si>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</si>
  <si>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</si>
  <si>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</si>
  <si>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</si>
  <si>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</si>
  <si>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</si>
  <si>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</si>
  <si>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</si>
  <si>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</si>
  <si>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</si>
  <si>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</si>
  <si>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</si>
  <si>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</si>
  <si>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</si>
  <si>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</si>
  <si>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</si>
  <si>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</si>
  <si>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</si>
  <si>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</si>
  <si>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</si>
  <si>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</si>
  <si>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</si>
  <si>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</si>
  <si>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</si>
  <si>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</si>
  <si>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</si>
  <si>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</si>
  <si>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</si>
  <si>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</si>
  <si>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</si>
  <si>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</si>
  <si>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</si>
  <si>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</si>
  <si>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</si>
  <si>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</si>
  <si>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</si>
  <si>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</si>
  <si>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</si>
  <si>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</si>
  <si>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</si>
  <si>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</si>
  <si>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</si>
  <si>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</si>
  <si>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</si>
  <si>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</si>
  <si>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</si>
  <si>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</si>
  <si>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</si>
  <si>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</si>
  <si>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</si>
  <si>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</si>
  <si>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</si>
  <si>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</si>
  <si>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</si>
  <si>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</si>
  <si>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</si>
  <si>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</si>
  <si>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</si>
  <si>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</si>
  <si>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</si>
  <si>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</si>
  <si>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</si>
  <si>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</si>
  <si>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</si>
  <si>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</si>
  <si>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</si>
  <si>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</si>
  <si>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</si>
  <si>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</si>
  <si>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</si>
  <si>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</si>
  <si>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</si>
  <si>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</si>
  <si>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</si>
  <si>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</si>
  <si>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</si>
  <si>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</si>
  <si>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</si>
  <si>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</si>
  <si>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</si>
  <si>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</si>
  <si>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</si>
  <si>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</si>
  <si>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</si>
  <si>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</si>
  <si>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</si>
  <si>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</si>
  <si>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</si>
  <si>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</si>
  <si>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</si>
  <si>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</si>
  <si>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</si>
  <si>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</si>
  <si>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</si>
  <si>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</si>
  <si>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</si>
  <si>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</si>
  <si>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</si>
  <si>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</si>
  <si>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</si>
  <si>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</si>
  <si>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</si>
  <si>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</si>
  <si>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</si>
  <si>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</si>
  <si>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</si>
  <si>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</si>
  <si>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</si>
  <si>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</si>
  <si>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</si>
  <si>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</si>
  <si>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</si>
  <si>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</si>
  <si>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</si>
  <si>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</si>
  <si>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</si>
  <si>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</si>
  <si>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</si>
  <si>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</si>
  <si>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</si>
  <si>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</si>
  <si>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</si>
  <si>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</si>
  <si>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</si>
  <si>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</si>
  <si>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</si>
  <si>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</si>
  <si>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</si>
  <si>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</si>
  <si>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</si>
  <si>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</si>
  <si>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</si>
  <si>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</si>
  <si>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</si>
  <si>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</si>
  <si>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</si>
  <si>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</si>
  <si>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</si>
  <si>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</si>
  <si>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</si>
  <si>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</si>
  <si>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</si>
  <si>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</si>
  <si>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</si>
  <si>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</si>
  <si>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</si>
  <si>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</si>
  <si>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</si>
  <si>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</si>
  <si>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</si>
  <si>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</si>
  <si>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</si>
  <si>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</si>
  <si>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</si>
  <si>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</si>
  <si>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</si>
  <si>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</si>
  <si>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</si>
  <si>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</si>
  <si>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</si>
  <si>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</si>
  <si>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</si>
  <si>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</si>
  <si>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</si>
  <si>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</si>
  <si>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</si>
  <si>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</si>
  <si>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</si>
  <si>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</si>
  <si>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</si>
  <si>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</si>
  <si>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</si>
  <si>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</si>
  <si>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</si>
  <si>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</si>
  <si>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</si>
  <si>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</si>
  <si>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</si>
  <si>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</si>
  <si>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</si>
  <si>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</si>
  <si>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</si>
  <si>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</si>
  <si>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</si>
  <si>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</si>
  <si>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</si>
  <si>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</si>
  <si>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</si>
  <si>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</si>
  <si>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</si>
  <si>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</si>
  <si>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</si>
  <si>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</si>
  <si>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</si>
  <si>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</si>
  <si>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</si>
  <si>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</si>
  <si>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</si>
  <si>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</si>
  <si>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</si>
  <si>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</si>
  <si>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</si>
  <si>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</si>
  <si>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</si>
  <si>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</si>
  <si>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</si>
  <si>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</si>
  <si>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</si>
  <si>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</si>
  <si>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</si>
  <si>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</si>
  <si>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</si>
  <si>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</si>
  <si>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</si>
  <si>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</si>
  <si>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</si>
  <si>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</si>
  <si>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</si>
  <si>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</si>
  <si>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</si>
  <si>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</si>
  <si>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</si>
  <si>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</si>
  <si>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</si>
  <si>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</si>
  <si>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</si>
  <si>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</si>
  <si>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</si>
  <si>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</si>
  <si>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</si>
  <si>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</si>
  <si>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</si>
  <si>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</si>
  <si>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</si>
  <si>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</si>
  <si>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</si>
  <si>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</si>
  <si>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</si>
  <si>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</si>
  <si>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</si>
  <si>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</si>
  <si>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</si>
  <si>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</si>
  <si>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</si>
  <si>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</si>
  <si>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</si>
  <si>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</si>
  <si>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</si>
  <si>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</si>
  <si>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</si>
  <si>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</si>
  <si>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</si>
  <si>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</si>
  <si>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</si>
  <si>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</si>
  <si>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</si>
  <si>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</si>
  <si>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</si>
  <si>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</si>
  <si>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</si>
  <si>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</si>
  <si>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</si>
  <si>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</si>
  <si>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</si>
  <si>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</si>
  <si>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</si>
  <si>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</si>
  <si>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</si>
  <si>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</si>
  <si>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</si>
  <si>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</si>
  <si>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</si>
  <si>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</si>
  <si>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</si>
  <si>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</si>
  <si>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</si>
  <si>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</si>
  <si>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</si>
  <si>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</si>
  <si>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</si>
  <si>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</si>
  <si>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</si>
  <si>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</si>
  <si>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</si>
  <si>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</si>
  <si>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</si>
  <si>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</si>
  <si>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</si>
  <si>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</si>
  <si>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</si>
  <si>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</si>
  <si>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</si>
  <si>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</si>
  <si>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</si>
  <si>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</si>
  <si>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</si>
  <si>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</si>
  <si>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</si>
  <si>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</si>
  <si>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</si>
  <si>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</si>
  <si>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</si>
  <si>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</si>
  <si>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</si>
  <si>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</si>
  <si>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</si>
  <si>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</si>
  <si>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</si>
  <si>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</si>
  <si>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</si>
  <si>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</si>
  <si>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</si>
  <si>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</si>
  <si>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</si>
  <si>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</si>
  <si>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</si>
  <si>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</si>
  <si>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</si>
  <si>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</si>
  <si>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</si>
  <si>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</si>
  <si>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</si>
  <si>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</si>
  <si>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</si>
  <si>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</si>
  <si>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</si>
  <si>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</si>
  <si>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</si>
  <si>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</si>
  <si>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</si>
  <si>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</si>
  <si>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</si>
  <si>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</si>
  <si>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</si>
  <si>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</si>
  <si>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</si>
  <si>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</si>
  <si>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</si>
  <si>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</si>
  <si>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</si>
  <si>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</si>
  <si>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</si>
  <si>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</si>
  <si>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</si>
  <si>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</si>
  <si>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</si>
  <si>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</si>
  <si>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</si>
  <si>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</si>
  <si>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</si>
  <si>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</si>
  <si>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</si>
  <si>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</si>
  <si>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</si>
  <si>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</si>
  <si>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</si>
  <si>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</si>
  <si>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</si>
  <si>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</si>
  <si>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</si>
  <si>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</si>
  <si>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</si>
  <si>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</si>
  <si>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</si>
  <si>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</si>
  <si>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</si>
  <si>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</si>
  <si>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</si>
  <si>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</si>
  <si>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</si>
  <si>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</si>
  <si>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</si>
  <si>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</si>
  <si>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</si>
  <si>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</si>
  <si>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</si>
  <si>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</si>
  <si>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</si>
  <si>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</si>
  <si>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</si>
  <si>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</si>
  <si>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</si>
  <si>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</si>
  <si>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</si>
  <si>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</si>
  <si>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</si>
  <si>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</si>
  <si>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</si>
  <si>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</si>
  <si>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</si>
  <si>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</si>
  <si>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</si>
  <si>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</si>
  <si>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</si>
  <si>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</si>
  <si>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</si>
  <si>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</si>
  <si>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</si>
  <si>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</si>
  <si>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</si>
  <si>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</si>
  <si>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</si>
  <si>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</si>
  <si>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</si>
  <si>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</si>
  <si>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</si>
  <si>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</si>
  <si>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</si>
  <si>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</si>
  <si>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</si>
  <si>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</si>
  <si>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</si>
  <si>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</si>
  <si>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</si>
  <si>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</si>
  <si>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</si>
  <si>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</si>
  <si>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</si>
  <si>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</si>
  <si>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</si>
  <si>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</si>
  <si>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</si>
  <si>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</si>
  <si>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</si>
  <si>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</si>
  <si>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</si>
  <si>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</si>
  <si>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</si>
  <si>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</si>
  <si>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</si>
  <si>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</si>
  <si>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</si>
  <si>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</si>
  <si>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</si>
  <si>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</si>
  <si>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</si>
  <si>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</si>
  <si>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</si>
  <si>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</si>
  <si>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</si>
  <si>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</si>
  <si>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</si>
  <si>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</si>
  <si>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</si>
  <si>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</si>
  <si>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</si>
  <si>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</si>
  <si>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</si>
  <si>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</si>
  <si>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</si>
  <si>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</si>
  <si>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</si>
  <si>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</si>
  <si>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</si>
  <si>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</si>
  <si>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</si>
  <si>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</si>
  <si>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</si>
  <si>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</si>
  <si>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</si>
  <si>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</si>
  <si>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</si>
  <si>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</si>
  <si>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</si>
  <si>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</si>
  <si>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</si>
  <si>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</si>
  <si>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</si>
  <si>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</si>
  <si>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</si>
  <si>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</si>
  <si>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</si>
  <si>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</si>
  <si>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</si>
  <si>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</si>
  <si>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</si>
  <si>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</si>
  <si>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</si>
  <si>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</si>
  <si>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</si>
  <si>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</si>
  <si>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</si>
  <si>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</si>
  <si>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</si>
  <si>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</si>
  <si>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</si>
  <si>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</si>
  <si>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</si>
  <si>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</si>
  <si>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</si>
  <si>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</si>
  <si>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</si>
  <si>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</si>
  <si>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</si>
  <si>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</si>
  <si>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</si>
  <si>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</si>
  <si>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</si>
  <si>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</si>
  <si>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</si>
  <si>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</si>
  <si>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</si>
  <si>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</si>
  <si>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</si>
  <si>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</si>
  <si>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</si>
  <si>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</si>
  <si>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</si>
  <si>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</si>
  <si>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</si>
  <si>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</si>
  <si>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</si>
  <si>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</si>
  <si>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</si>
  <si>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</si>
  <si>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</si>
  <si>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</si>
  <si>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</si>
  <si>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</si>
  <si>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</si>
  <si>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</si>
  <si>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</si>
  <si>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</si>
  <si>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</si>
  <si>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</si>
  <si>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</si>
  <si>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</si>
  <si>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</si>
  <si>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</si>
  <si>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</si>
  <si>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</si>
  <si>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</si>
  <si>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</si>
  <si>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</si>
  <si>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</si>
  <si>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</si>
  <si>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</si>
  <si>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</si>
  <si>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</si>
  <si>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</si>
  <si>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</si>
  <si>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</si>
  <si>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</si>
  <si>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</si>
  <si>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</si>
  <si>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</si>
  <si>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</si>
  <si>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</si>
  <si>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</si>
  <si>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</si>
  <si>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</si>
  <si>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</si>
  <si>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</si>
  <si>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</si>
  <si>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</si>
  <si>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</si>
  <si>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</si>
  <si>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</si>
  <si>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</si>
  <si>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</si>
  <si>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</si>
  <si>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</si>
  <si>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</si>
  <si>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</si>
  <si>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</si>
  <si>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</si>
  <si>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</si>
  <si>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</si>
  <si>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</si>
  <si>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</si>
  <si>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</si>
  <si>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</si>
  <si>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</si>
  <si>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</si>
  <si>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</si>
  <si>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</si>
  <si>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</si>
  <si>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</si>
  <si>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</si>
  <si>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</si>
  <si>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</si>
  <si>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</si>
  <si>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</si>
  <si>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</si>
  <si>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</si>
  <si>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</si>
  <si>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</si>
  <si>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</si>
  <si>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</si>
  <si>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</si>
  <si>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</si>
  <si>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</si>
  <si>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</si>
  <si>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</si>
  <si>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</si>
  <si>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</si>
  <si>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</si>
  <si>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</si>
  <si>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</si>
  <si>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</si>
  <si>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</si>
  <si>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</si>
  <si>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</si>
  <si>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</si>
  <si>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</si>
  <si>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</si>
  <si>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</si>
  <si>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</si>
  <si>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</si>
  <si>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</si>
  <si>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</si>
  <si>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</si>
  <si>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</si>
  <si>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</si>
  <si>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</si>
  <si>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</si>
  <si>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</si>
  <si>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</si>
  <si>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</si>
  <si>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</si>
  <si>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</si>
  <si>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</si>
  <si>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</si>
  <si>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</si>
  <si>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</si>
  <si>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</si>
  <si>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</si>
  <si>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</si>
  <si>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</si>
  <si>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</si>
  <si>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</si>
  <si>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</si>
  <si>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</si>
  <si>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</si>
  <si>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</si>
  <si>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</si>
  <si>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</si>
  <si>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</si>
  <si>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</si>
  <si>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</si>
  <si>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</si>
  <si>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</si>
  <si>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</si>
  <si>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</si>
  <si>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</si>
  <si>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</si>
  <si>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</si>
  <si>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</si>
  <si>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</si>
  <si>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</si>
  <si>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</si>
  <si>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</si>
  <si>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</si>
  <si>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</si>
  <si>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</si>
  <si>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</si>
  <si>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</si>
  <si>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</si>
  <si>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</si>
  <si>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</si>
  <si>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</si>
  <si>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</si>
  <si>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</si>
  <si>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</si>
  <si>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</si>
  <si>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</si>
  <si>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</si>
  <si>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</si>
  <si>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</si>
  <si>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</si>
  <si>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</si>
  <si>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</si>
  <si>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</si>
  <si>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</si>
  <si>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</si>
  <si>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</si>
  <si>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</si>
  <si>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</si>
  <si>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</si>
  <si>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</si>
  <si>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</si>
  <si>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</si>
  <si>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</si>
  <si>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</si>
  <si>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</si>
  <si>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</si>
  <si>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</si>
  <si>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</si>
  <si>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</si>
  <si>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</si>
  <si>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</si>
  <si>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</si>
  <si>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</si>
  <si>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</si>
  <si>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</si>
  <si>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</si>
  <si>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</si>
  <si>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</si>
  <si>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</si>
  <si>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</si>
  <si>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</si>
  <si>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</si>
  <si>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</si>
  <si>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</si>
  <si>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</si>
  <si>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</si>
  <si>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</si>
  <si>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</si>
  <si>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</si>
  <si>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</si>
  <si>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</si>
  <si>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</si>
  <si>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</si>
  <si>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</si>
  <si>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</si>
  <si>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</si>
  <si>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</si>
  <si>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</si>
  <si>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</si>
  <si>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</si>
  <si>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</si>
  <si>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</si>
  <si>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</si>
  <si>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</si>
  <si>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</si>
  <si>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</si>
  <si>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</si>
  <si>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</si>
  <si>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</si>
  <si>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</si>
  <si>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</si>
  <si>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</si>
  <si>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</si>
  <si>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</si>
  <si>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</si>
  <si>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</si>
  <si>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</si>
  <si>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</si>
  <si>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</si>
  <si>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</si>
  <si>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</si>
  <si>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</si>
  <si>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</si>
  <si>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</si>
  <si>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</si>
  <si>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</si>
  <si>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</si>
  <si>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</si>
  <si>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</si>
  <si>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</si>
  <si>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</si>
  <si>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</si>
  <si>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</si>
  <si>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</si>
  <si>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</si>
  <si>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</si>
  <si>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</si>
  <si>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</si>
  <si>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</si>
  <si>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</si>
  <si>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</si>
  <si>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</si>
  <si>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</si>
  <si>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</si>
  <si>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</si>
  <si>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</si>
  <si>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</si>
  <si>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</si>
  <si>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</si>
  <si>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</si>
  <si>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</si>
  <si>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</si>
  <si>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</si>
  <si>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</si>
  <si>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</si>
  <si>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</si>
  <si>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</si>
  <si>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</si>
  <si>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</si>
  <si>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</si>
  <si>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</si>
  <si>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</si>
  <si>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</si>
  <si>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</si>
  <si>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</si>
  <si>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</si>
  <si>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</si>
  <si>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</si>
  <si>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</si>
  <si>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</si>
  <si>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</si>
  <si>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</si>
  <si>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</si>
  <si>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</si>
  <si>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</si>
  <si>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</si>
  <si>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</si>
  <si>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</si>
  <si>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</si>
  <si>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</si>
  <si>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</si>
  <si>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</si>
  <si>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</si>
  <si>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</si>
  <si>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</si>
  <si>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</si>
  <si>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</si>
  <si>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</si>
  <si>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</si>
  <si>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</si>
  <si>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</si>
  <si>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</si>
  <si>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</si>
  <si>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</si>
  <si>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</si>
  <si>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</si>
  <si>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</si>
  <si>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</si>
  <si>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</si>
  <si>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</si>
  <si>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</si>
  <si>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</si>
  <si>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</si>
  <si>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</si>
  <si>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</si>
  <si>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</si>
  <si>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</si>
  <si>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</si>
  <si>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</si>
  <si>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</si>
  <si>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</si>
  <si>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</si>
  <si>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</si>
  <si>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</si>
  <si>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</si>
  <si>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</si>
  <si>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</si>
  <si>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</si>
  <si>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</si>
  <si>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</si>
  <si>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</si>
  <si>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</si>
  <si>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</si>
  <si>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</si>
  <si>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</si>
  <si>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</si>
  <si>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</si>
  <si>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</si>
  <si>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</si>
  <si>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</si>
  <si>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</si>
  <si>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</si>
  <si>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</si>
  <si>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</si>
  <si>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</si>
  <si>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</si>
  <si>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</si>
  <si>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</si>
  <si>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</si>
  <si>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</si>
  <si>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</si>
  <si>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</si>
  <si>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</si>
  <si>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</si>
  <si>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</si>
  <si>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</si>
  <si>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</si>
  <si>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</si>
  <si>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</si>
  <si>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</si>
  <si>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</si>
  <si>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</si>
  <si>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</si>
  <si>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</si>
  <si>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</si>
  <si>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</si>
  <si>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</si>
  <si>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</si>
  <si>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</si>
  <si>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</si>
  <si>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</si>
  <si>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</si>
  <si>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</si>
  <si>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</si>
  <si>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</si>
  <si>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</si>
  <si>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</si>
  <si>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</si>
  <si>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</si>
  <si>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</si>
  <si>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</si>
  <si>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</si>
  <si>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</si>
  <si>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</si>
  <si>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</si>
  <si>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</si>
  <si>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</si>
  <si>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</si>
  <si>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</si>
  <si>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</si>
  <si>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</si>
  <si>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</si>
  <si>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</si>
  <si>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</si>
  <si>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</si>
  <si>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</si>
  <si>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</si>
  <si>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</si>
  <si>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</si>
  <si>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</si>
  <si>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</si>
  <si>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</si>
  <si>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</si>
  <si>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</si>
  <si>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</si>
  <si>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</si>
  <si>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</si>
  <si>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</si>
  <si>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</si>
  <si>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</si>
  <si>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</si>
  <si>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</si>
  <si>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</si>
  <si>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</si>
  <si>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</si>
  <si>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</si>
  <si>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</si>
  <si>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</si>
  <si>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</si>
  <si>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</si>
  <si>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</si>
  <si>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</si>
  <si>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</si>
  <si>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</si>
  <si>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</si>
  <si>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</si>
  <si>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</si>
  <si>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</si>
  <si>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</si>
  <si>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</si>
  <si>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</si>
  <si>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</si>
  <si>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</si>
  <si>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</si>
  <si>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</si>
  <si>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</si>
  <si>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</si>
  <si>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</si>
  <si>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</si>
  <si>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</si>
  <si>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</si>
  <si>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</si>
  <si>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</si>
  <si>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</si>
  <si>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</si>
  <si>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</si>
  <si>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</si>
  <si>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</si>
  <si>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</si>
  <si>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</si>
  <si>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</si>
  <si>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</si>
  <si>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</si>
  <si>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</si>
  <si>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</si>
  <si>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</si>
  <si>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</si>
  <si>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</si>
  <si>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</si>
  <si>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</si>
  <si>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</si>
  <si>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</si>
  <si>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</si>
  <si>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</si>
  <si>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</si>
  <si>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</si>
  <si>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</si>
  <si>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</si>
  <si>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</si>
  <si>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</si>
  <si>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</si>
  <si>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</si>
  <si>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</si>
  <si>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</si>
  <si>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</si>
  <si>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</si>
  <si>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</si>
  <si>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</si>
  <si>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</si>
  <si>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</si>
  <si>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</si>
  <si>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</si>
  <si>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</si>
  <si>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</si>
  <si>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</si>
  <si>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</si>
  <si>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</si>
  <si>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</si>
  <si>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</si>
  <si>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</si>
  <si>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</si>
  <si>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</si>
  <si>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</si>
  <si>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</si>
  <si>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</si>
  <si>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</si>
  <si>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</si>
  <si>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</si>
  <si>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</si>
  <si>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</si>
  <si>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</si>
  <si>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</si>
  <si>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</si>
  <si>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</si>
  <si>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</si>
  <si>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</si>
  <si>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</si>
  <si>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</si>
  <si>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</si>
  <si>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</si>
  <si>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</si>
  <si>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</si>
  <si>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</si>
  <si>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</si>
  <si>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</si>
  <si>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</si>
  <si>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</si>
  <si>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</si>
  <si>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</si>
  <si>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</si>
  <si>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</si>
  <si>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</si>
  <si>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</si>
  <si>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</si>
  <si>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</si>
  <si>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</si>
  <si>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</si>
  <si>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</si>
  <si>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</si>
  <si>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</si>
  <si>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</si>
  <si>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</si>
  <si>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</si>
  <si>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</si>
  <si>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</si>
  <si>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</si>
  <si>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</si>
  <si>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</si>
  <si>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</si>
  <si>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</si>
  <si>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</si>
  <si>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</si>
  <si>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</si>
  <si>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</si>
  <si>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</si>
  <si>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</si>
  <si>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</si>
  <si>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</si>
  <si>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</si>
  <si>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</si>
  <si>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</si>
  <si>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</si>
  <si>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</si>
  <si>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</si>
  <si>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</si>
  <si>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</si>
  <si>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</si>
  <si>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</si>
  <si>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</si>
  <si>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</si>
  <si>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</si>
  <si>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</si>
  <si>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</si>
  <si>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</si>
  <si>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</si>
  <si>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</si>
  <si>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</si>
  <si>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</si>
  <si>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</si>
  <si>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</si>
  <si>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</si>
  <si>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</si>
  <si>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</si>
  <si>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</si>
  <si>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</si>
  <si>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</si>
  <si>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</si>
  <si>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</si>
  <si>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</si>
  <si>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</si>
  <si>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</si>
  <si>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</si>
  <si>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</si>
  <si>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</si>
  <si>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</si>
  <si>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</si>
  <si>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</si>
  <si>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</si>
  <si>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</si>
  <si>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</si>
  <si>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</si>
  <si>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</si>
  <si>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</si>
  <si>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</si>
  <si>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</si>
  <si>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</si>
  <si>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</si>
  <si>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</si>
  <si>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</si>
  <si>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</si>
  <si>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</si>
  <si>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</si>
  <si>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</si>
  <si>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</si>
  <si>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</si>
  <si>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</si>
  <si>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</si>
  <si>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</si>
  <si>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</si>
  <si>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</si>
  <si>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</si>
  <si>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</si>
  <si>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</si>
  <si>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</si>
  <si>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</si>
  <si>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</si>
  <si>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</si>
  <si>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</si>
  <si>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</si>
  <si>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</si>
  <si>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</si>
  <si>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</si>
  <si>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</si>
  <si>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</si>
  <si>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</si>
  <si>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</si>
  <si>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</si>
  <si>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</si>
  <si>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</si>
  <si>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</si>
  <si>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</si>
  <si>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</si>
  <si>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</si>
  <si>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</si>
  <si>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</si>
  <si>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</si>
  <si>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</si>
  <si>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</si>
  <si>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</si>
  <si>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</si>
  <si>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</si>
  <si>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</si>
  <si>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</si>
  <si>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</si>
  <si>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</si>
  <si>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</si>
  <si>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</si>
  <si>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</si>
  <si>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</si>
  <si>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</si>
  <si>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</si>
  <si>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</si>
  <si>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</si>
  <si>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</si>
  <si>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</si>
  <si>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</si>
  <si>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</si>
  <si>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</si>
  <si>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</si>
  <si>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</si>
  <si>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</si>
  <si>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</si>
  <si>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</si>
  <si>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</si>
  <si>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</si>
  <si>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</si>
  <si>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</si>
  <si>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</si>
  <si>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</si>
  <si>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</si>
  <si>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</si>
  <si>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</si>
  <si>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</si>
  <si>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</si>
  <si>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</si>
  <si>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</si>
  <si>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</si>
  <si>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</si>
  <si>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</si>
  <si>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</si>
  <si>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</si>
  <si>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</si>
  <si>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</si>
  <si>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</si>
  <si>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</si>
  <si>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</si>
  <si>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</si>
  <si>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</si>
  <si>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</si>
  <si>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</si>
  <si>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</si>
  <si>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</si>
  <si>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</si>
  <si>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</si>
  <si>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</si>
  <si>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</si>
  <si>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</si>
  <si>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</si>
  <si>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</si>
  <si>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</si>
  <si>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</si>
  <si>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</si>
  <si>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</si>
  <si>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</si>
  <si>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</si>
  <si>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</si>
  <si>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</si>
  <si>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</si>
  <si>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</si>
  <si>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</si>
  <si>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</si>
  <si>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</si>
  <si>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</si>
  <si>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</si>
  <si>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</si>
  <si>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</si>
  <si>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</si>
  <si>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</si>
  <si>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</si>
  <si>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</si>
  <si>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</si>
  <si>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</si>
  <si>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</si>
  <si>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</si>
  <si>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</si>
  <si>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</si>
  <si>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</si>
  <si>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</si>
  <si>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</si>
  <si>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</si>
  <si>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</si>
  <si>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</si>
  <si>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</si>
  <si>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</si>
  <si>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</si>
  <si>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</si>
  <si>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</si>
  <si>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</si>
  <si>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</si>
  <si>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</si>
  <si>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</si>
  <si>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</si>
  <si>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</si>
  <si>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</si>
  <si>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</si>
  <si>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</si>
  <si>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</si>
  <si>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</si>
  <si>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</si>
  <si>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</si>
  <si>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</si>
  <si>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</si>
  <si>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</si>
  <si>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</si>
  <si>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</si>
  <si>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</si>
  <si>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</si>
  <si>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</si>
  <si>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</si>
  <si>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</si>
  <si>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</si>
  <si>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</si>
  <si>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</si>
  <si>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</si>
  <si>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</si>
  <si>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</si>
  <si>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</si>
  <si>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</si>
  <si>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</si>
  <si>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</si>
  <si>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</si>
  <si>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</si>
  <si>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</si>
  <si>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</si>
  <si>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</si>
  <si>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</si>
  <si>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</si>
  <si>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</si>
  <si>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</si>
  <si>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</si>
  <si>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</si>
  <si>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</si>
  <si>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</si>
  <si>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</si>
  <si>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</si>
  <si>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</si>
  <si>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</si>
  <si>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</si>
  <si>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</si>
  <si>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</si>
  <si>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</si>
  <si>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</si>
  <si>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</si>
  <si>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</si>
  <si>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</si>
  <si>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</si>
  <si>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</si>
  <si>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</si>
  <si>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</si>
  <si>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</si>
  <si>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</si>
  <si>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</si>
  <si>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</si>
  <si>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</si>
  <si>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</si>
  <si>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</si>
  <si>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</si>
  <si>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</si>
  <si>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</si>
  <si>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</si>
  <si>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</si>
  <si>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</si>
  <si>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</si>
  <si>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</si>
  <si>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</si>
  <si>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</si>
  <si>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</si>
  <si>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</si>
  <si>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</si>
  <si>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</si>
  <si>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</si>
  <si>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</si>
  <si>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</si>
  <si>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</si>
  <si>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</si>
  <si>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</si>
  <si>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</si>
  <si>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</si>
  <si>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</si>
  <si>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</si>
  <si>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</si>
  <si>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</si>
  <si>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</si>
  <si>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</si>
  <si>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</si>
  <si>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</si>
  <si>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</si>
  <si>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</si>
  <si>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</si>
  <si>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</si>
  <si>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</si>
  <si>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</si>
  <si>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</si>
  <si>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</si>
  <si>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</si>
  <si>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</si>
  <si>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</si>
  <si>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</si>
  <si>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</si>
  <si>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</si>
  <si>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</si>
  <si>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</si>
  <si>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</si>
  <si>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</si>
  <si>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</si>
  <si>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</si>
  <si>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</si>
  <si>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</si>
  <si>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</si>
  <si>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</si>
  <si>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</si>
  <si>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</si>
  <si>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</si>
  <si>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</si>
  <si>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</si>
  <si>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</si>
  <si>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</si>
  <si>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</si>
  <si>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</si>
  <si>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</si>
  <si>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</si>
  <si>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</si>
  <si>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</si>
  <si>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</si>
  <si>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</si>
  <si>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</si>
  <si>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</si>
  <si>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</si>
  <si>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</si>
  <si>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</si>
  <si>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</si>
  <si>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</si>
  <si>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</si>
  <si>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</si>
  <si>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</si>
  <si>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</si>
  <si>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</si>
  <si>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</si>
  <si>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</si>
  <si>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</si>
  <si>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</si>
  <si>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</si>
  <si>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</si>
  <si>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</si>
  <si>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</si>
  <si>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</si>
  <si>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</si>
  <si>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</si>
  <si>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</si>
  <si>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</si>
  <si>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</si>
  <si>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</si>
  <si>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</si>
  <si>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</si>
  <si>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</si>
  <si>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</si>
  <si>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</si>
  <si>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</si>
  <si>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</si>
  <si>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</si>
  <si>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</si>
  <si>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</si>
  <si>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</si>
  <si>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</si>
  <si>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</si>
  <si>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</si>
  <si>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</si>
  <si>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</si>
  <si>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</si>
  <si>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</si>
  <si>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</si>
  <si>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</si>
  <si>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</si>
  <si>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</si>
  <si>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</si>
  <si>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</si>
  <si>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</si>
  <si>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</si>
  <si>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</si>
  <si>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</si>
  <si>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</si>
  <si>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</si>
  <si>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</si>
  <si>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</si>
  <si>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</si>
  <si>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</si>
  <si>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</si>
  <si>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</si>
  <si>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</si>
  <si>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</si>
  <si>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</si>
  <si>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</si>
  <si>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</si>
  <si>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</si>
  <si>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</si>
  <si>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</si>
  <si>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</si>
  <si>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</si>
  <si>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</si>
  <si>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</si>
  <si>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</si>
  <si>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</si>
  <si>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</si>
  <si>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</si>
  <si>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</si>
  <si>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</si>
  <si>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</si>
  <si>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</si>
  <si>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</si>
  <si>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</si>
  <si>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</si>
  <si>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</si>
  <si>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</si>
  <si>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</si>
  <si>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</si>
  <si>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</si>
  <si>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</si>
  <si>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</si>
  <si>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</si>
  <si>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</si>
  <si>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</si>
  <si>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</si>
  <si>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</si>
  <si>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</si>
  <si>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</si>
  <si>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</si>
  <si>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</si>
  <si>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</si>
  <si>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</si>
  <si>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</si>
  <si>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</si>
  <si>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</si>
  <si>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</si>
  <si>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</si>
  <si>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</si>
  <si>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</si>
  <si>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</si>
  <si>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</si>
  <si>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</si>
  <si>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</si>
  <si>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</si>
  <si>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</si>
  <si>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</si>
  <si>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</si>
  <si>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</si>
  <si>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</si>
  <si>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</si>
  <si>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</si>
  <si>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</si>
  <si>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</si>
  <si>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</si>
  <si>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</si>
  <si>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</si>
  <si>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</si>
  <si>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</si>
  <si>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</si>
  <si>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</si>
  <si>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</si>
  <si>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</si>
  <si>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</si>
  <si>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</si>
  <si>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</si>
  <si>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</si>
  <si>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</si>
  <si>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</si>
  <si>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</si>
  <si>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</si>
  <si>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</si>
  <si>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</si>
  <si>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</si>
  <si>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</si>
  <si>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</si>
  <si>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</si>
  <si>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</si>
  <si>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</si>
  <si>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</si>
  <si>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</si>
  <si>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</si>
  <si>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</si>
  <si>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</si>
  <si>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</si>
  <si>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</si>
  <si>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</si>
  <si>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</si>
  <si>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</si>
  <si>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</si>
  <si>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</si>
  <si>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</si>
  <si>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</si>
  <si>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</si>
  <si>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</si>
  <si>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</si>
  <si>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</si>
  <si>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</si>
  <si>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</si>
  <si>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</si>
  <si>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</si>
  <si>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</si>
  <si>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</si>
  <si>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</si>
  <si>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</si>
  <si>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</si>
  <si>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</si>
  <si>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</si>
  <si>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</si>
  <si>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</si>
  <si>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</si>
  <si>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</si>
  <si>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</si>
  <si>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</si>
  <si>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</si>
  <si>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</si>
  <si>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</si>
  <si>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</si>
  <si>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</si>
  <si>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</si>
  <si>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</si>
  <si>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</si>
  <si>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</si>
  <si>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</si>
  <si>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</si>
  <si>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</si>
  <si>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</si>
  <si>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</si>
  <si>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</si>
  <si>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</si>
  <si>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</si>
  <si>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</si>
  <si>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</si>
  <si>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</si>
  <si>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</si>
  <si>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</si>
  <si>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</si>
  <si>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</si>
  <si>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</si>
  <si>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</si>
  <si>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</si>
  <si>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</si>
  <si>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</si>
  <si>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</si>
  <si>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</si>
  <si>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</si>
  <si>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</si>
  <si>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</si>
  <si>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</si>
  <si>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</si>
  <si>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</si>
  <si>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</si>
  <si>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</si>
  <si>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</si>
  <si>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</si>
  <si>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</si>
  <si>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</si>
  <si>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</si>
  <si>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</si>
  <si>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</si>
  <si>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</si>
  <si>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</si>
  <si>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</si>
  <si>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</si>
  <si>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</si>
  <si>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</si>
  <si>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</si>
  <si>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</si>
  <si>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</si>
  <si>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</si>
  <si>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</si>
  <si>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</si>
  <si>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</si>
  <si>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</si>
  <si>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</si>
  <si>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</si>
  <si>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</si>
  <si>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</si>
  <si>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</si>
  <si>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</si>
  <si>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</si>
  <si>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</si>
  <si>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</si>
  <si>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</si>
  <si>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</si>
  <si>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</si>
  <si>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</si>
  <si>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</si>
  <si>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</si>
  <si>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</si>
  <si>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</si>
  <si>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</si>
  <si>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</si>
  <si>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</si>
  <si>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</si>
  <si>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</si>
  <si>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</si>
  <si>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</si>
  <si>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</si>
  <si>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</si>
  <si>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</si>
  <si>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</si>
  <si>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</si>
  <si>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</si>
  <si>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</si>
  <si>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</si>
  <si>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</si>
  <si>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</si>
  <si>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</si>
  <si>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</si>
  <si>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</si>
  <si>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</si>
  <si>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</si>
  <si>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</si>
  <si>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</si>
  <si>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</si>
  <si>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</si>
  <si>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</si>
  <si>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</si>
  <si>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</si>
  <si>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</si>
  <si>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</si>
  <si>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</si>
  <si>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</si>
  <si>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</si>
  <si>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</si>
  <si>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</si>
  <si>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</si>
  <si>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</si>
  <si>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</si>
  <si>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</si>
  <si>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</si>
  <si>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</si>
  <si>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</si>
  <si>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</si>
  <si>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</si>
  <si>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</si>
  <si>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</si>
  <si>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</si>
  <si>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</si>
  <si>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</si>
  <si>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</si>
  <si>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</si>
  <si>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</si>
  <si>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</si>
  <si>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</si>
  <si>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</si>
  <si>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</si>
  <si>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</si>
  <si>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</si>
  <si>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</si>
  <si>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</si>
  <si>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</si>
  <si>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</si>
  <si>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</si>
  <si>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</si>
  <si>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</si>
  <si>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</si>
  <si>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</si>
  <si>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</si>
  <si>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</si>
  <si>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</si>
  <si>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</si>
  <si>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</si>
  <si>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</si>
  <si>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</si>
  <si>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</si>
  <si>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</si>
  <si>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</si>
  <si>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</si>
  <si>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</si>
  <si>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</si>
  <si>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</si>
  <si>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</si>
  <si>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</si>
  <si>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</si>
  <si>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</si>
  <si>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</si>
  <si>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</si>
  <si>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</si>
  <si>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</si>
  <si>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</si>
  <si>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</si>
  <si>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</si>
  <si>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</si>
  <si>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</si>
  <si>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</si>
  <si>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</si>
  <si>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</si>
  <si>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</si>
  <si>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</si>
  <si>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</si>
  <si>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</si>
  <si>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</si>
  <si>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</si>
  <si>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</si>
  <si>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</si>
  <si>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</si>
  <si>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</si>
  <si>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</si>
  <si>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</si>
  <si>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</si>
  <si>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</si>
  <si>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</si>
  <si>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</si>
  <si>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</si>
  <si>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</si>
  <si>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</si>
  <si>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</si>
  <si>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</si>
  <si>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</si>
  <si>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</si>
  <si>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</si>
  <si>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</si>
  <si>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</si>
  <si>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</si>
  <si>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</si>
  <si>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</si>
  <si>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</si>
  <si>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</si>
  <si>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</si>
  <si>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</si>
  <si>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</si>
  <si>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</si>
  <si>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</si>
  <si>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</si>
  <si>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</si>
  <si>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</si>
  <si>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</si>
  <si>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</si>
  <si>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</si>
  <si>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</si>
  <si>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</si>
  <si>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</si>
  <si>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</si>
  <si>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</si>
  <si>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</si>
  <si>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</si>
  <si>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</si>
  <si>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</si>
  <si>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</si>
  <si>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</si>
  <si>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</si>
  <si>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</si>
  <si>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</si>
  <si>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</si>
  <si>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</si>
  <si>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</si>
  <si>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</si>
  <si>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</si>
  <si>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</si>
  <si>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</si>
  <si>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</si>
  <si>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</si>
  <si>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</si>
  <si>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</si>
  <si>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</si>
  <si>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</si>
  <si>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</si>
  <si>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</si>
  <si>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</si>
  <si>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</si>
  <si>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</si>
  <si>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</si>
  <si>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</si>
  <si>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</si>
  <si>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</si>
  <si>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</si>
  <si>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</si>
  <si>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</si>
  <si>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</si>
  <si>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</si>
  <si>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</si>
  <si>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</si>
  <si>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</si>
  <si>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</si>
  <si>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</si>
  <si>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</si>
  <si>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</si>
  <si>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</si>
  <si>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</si>
  <si>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</si>
  <si>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</si>
  <si>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</si>
  <si>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</si>
  <si>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</si>
  <si>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</si>
  <si>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</si>
  <si>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</si>
  <si>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</si>
  <si>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</si>
  <si>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</si>
  <si>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</si>
  <si>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</si>
  <si>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</si>
  <si>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</si>
  <si>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</si>
  <si>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</si>
  <si>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</si>
  <si>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</si>
  <si>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</si>
  <si>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</si>
  <si>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</si>
  <si>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</si>
  <si>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</si>
  <si>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</si>
  <si>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</si>
  <si>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</si>
  <si>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</si>
  <si>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</si>
  <si>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</si>
  <si>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</si>
  <si>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</si>
  <si>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</si>
  <si>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</si>
  <si>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</si>
  <si>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</si>
  <si>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</si>
  <si>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</si>
  <si>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</si>
  <si>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</si>
  <si>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</si>
  <si>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</si>
  <si>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</si>
  <si>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</si>
  <si>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</si>
  <si>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</si>
  <si>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</si>
  <si>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</si>
  <si>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</si>
  <si>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</si>
  <si>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</si>
  <si>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</si>
  <si>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</si>
  <si>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</si>
  <si>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</si>
  <si>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</si>
  <si>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</si>
  <si>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</si>
  <si>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</si>
  <si>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</si>
  <si>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</si>
  <si>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</si>
  <si>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</si>
  <si>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</si>
  <si>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</si>
  <si>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</si>
  <si>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</si>
  <si>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</si>
  <si>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</si>
  <si>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</si>
  <si>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</si>
  <si>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</si>
  <si>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</si>
  <si>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</si>
  <si>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</si>
  <si>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</si>
  <si>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</si>
  <si>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</si>
  <si>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</si>
  <si>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</si>
  <si>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</si>
  <si>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</si>
  <si>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</si>
  <si>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</si>
  <si>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</si>
  <si>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</si>
  <si>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</si>
  <si>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</si>
  <si>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</si>
  <si>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</si>
  <si>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</si>
  <si>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</si>
  <si>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</si>
  <si>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</si>
  <si>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</si>
  <si>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</si>
  <si>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</si>
  <si>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</si>
  <si>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</si>
  <si>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</si>
  <si>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</si>
  <si>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</si>
  <si>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</si>
  <si>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</si>
  <si>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</si>
  <si>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</si>
  <si>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</si>
  <si>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</si>
  <si>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</si>
  <si>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</si>
  <si>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</si>
  <si>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</si>
  <si>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</si>
  <si>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</si>
  <si>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</si>
  <si>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</si>
  <si>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</si>
  <si>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</si>
  <si>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</si>
  <si>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</si>
  <si>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</si>
  <si>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</si>
  <si>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</si>
  <si>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</si>
  <si>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</si>
  <si>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</si>
  <si>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</si>
  <si>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</si>
  <si>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</si>
  <si>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</si>
  <si>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</si>
  <si>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</si>
  <si>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</si>
  <si>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</si>
  <si>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</si>
  <si>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</si>
  <si>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</si>
  <si>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</si>
  <si>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</si>
  <si>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</si>
  <si>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</si>
  <si>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</si>
  <si>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</si>
  <si>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</si>
  <si>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</si>
  <si>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</si>
  <si>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</si>
  <si>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</si>
  <si>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</si>
  <si>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</si>
  <si>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</si>
  <si>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</si>
  <si>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</si>
  <si>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</si>
  <si>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</si>
  <si>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</si>
  <si>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</si>
  <si>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</si>
  <si>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</si>
  <si>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</si>
  <si>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</si>
  <si>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</si>
  <si>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</si>
  <si>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</si>
  <si>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</si>
  <si>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</si>
  <si>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</si>
  <si>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</si>
  <si>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</si>
  <si>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</si>
  <si>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</si>
  <si>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</si>
  <si>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</si>
  <si>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</si>
  <si>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</si>
  <si>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</si>
  <si>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</si>
  <si>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</si>
  <si>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</si>
  <si>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</si>
  <si>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</si>
  <si>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</si>
  <si>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</si>
  <si>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</si>
  <si>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</si>
  <si>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</si>
  <si>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</si>
  <si>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</si>
  <si>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</si>
  <si>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</si>
  <si>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</si>
  <si>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</si>
  <si>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</si>
  <si>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</si>
  <si>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</si>
  <si>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</si>
  <si>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</si>
  <si>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</si>
  <si>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</si>
  <si>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units they buy?</t>
  </si>
  <si>
    <t>Which products are popular?</t>
  </si>
  <si>
    <t>Overall gender split</t>
  </si>
  <si>
    <t>Where do our customers live?</t>
  </si>
  <si>
    <t>How long we take to ship the orders</t>
  </si>
  <si>
    <t>How happy are our customers?</t>
  </si>
  <si>
    <t>Row Labels</t>
  </si>
  <si>
    <t>Grand Total</t>
  </si>
  <si>
    <t>Column Labels</t>
  </si>
  <si>
    <t>1</t>
  </si>
  <si>
    <t>2</t>
  </si>
  <si>
    <t>3</t>
  </si>
  <si>
    <t>4</t>
  </si>
  <si>
    <t>5</t>
  </si>
  <si>
    <t>6 To 10</t>
  </si>
  <si>
    <t>More than 10</t>
  </si>
  <si>
    <t>Amount</t>
  </si>
  <si>
    <t>Qty</t>
  </si>
  <si>
    <t>Amt</t>
  </si>
  <si>
    <t>Jan</t>
  </si>
  <si>
    <t>Feb</t>
  </si>
  <si>
    <t>Mar</t>
  </si>
  <si>
    <t>Shipping Analysis</t>
  </si>
  <si>
    <t>Satisfaction Analysis</t>
  </si>
  <si>
    <t/>
  </si>
  <si>
    <t>Mode Wise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</si>
</sst>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m\-yyyy"/>
    <numFmt numFmtId="165" formatCode="[$$-409]#,##0"/>
    <numFmt numFmtId="166" formatCode="0.0%"/>
  </numFmts>
  <fonts count="7" x14ac:knownFonts="1">
    <font>
      <sz val="11"/>
      <color theme="1"/>
      <name val="Calibri"/>
      <family val="2"/>
      <scheme val="minor"/>
    </font>
    <font>
      <b/>
      <sz val="11"/>
      <color theme="0"/>
      <name val="Calibri"/>
      <family val="2"/>
      <scheme val="minor"/>
    </font>
    <font>
      <b/>
      <sz val="11"/>
      <color rgb="FFFFFFFF"/>
      <name val="Arial"/>
      <family val="2"/>
    </font>
    <font>
      <sz val="10"/>
      <color rgb="FF1A1A1A"/>
      <name val="Arial"/>
      <family val="2"/>
    </font>
    <font>
      <b/>
      <sz val="11"/>
      <color theme="1"/>
      <name val="Calibri"/>
      <family val="2"/>
      <scheme val="minor"/>
    </font>
    <font>
      <sz val="11"/>
      <color theme="1"/>
      <name val="Calibri"/>
      <family val="2"/>
      <scheme val="minor"/>
    </font>
    <font>
      <sz val="11"/>
      <color theme="1"/>
      <name val="Aptos"/>
      <family val="2"/>
    </font>
  </fonts>
  <fills count="9">
    <fill>
      <patternFill patternType="none"/>
    </fill>
    <fill>
      <patternFill patternType="gray125"/>
    </fill>
    <fill>
      <patternFill patternType="solid">
        <fgColor rgb="FFEE4D2D"/>
        <bgColor rgb="FFC0504D"/>
      </patternFill>
    </fill>
    <fill>
      <patternFill patternType="solid">
        <fgColor rgb="FFFFFFFF"/>
        <bgColor rgb="FFF9F9F9"/>
      </patternFill>
    </fill>
    <fill>
      <patternFill patternType="solid">
        <fgColor rgb="FFFFF3F0"/>
        <bgColor rgb="FFF9F9F9"/>
      </patternFill>
    </fill>
    <fill>
      <patternFill patternType="solid">
        <fgColor theme="9"/>
        <bgColor indexed="64"/>
      </patternFill>
    </fill>
    <fill>
      <patternFill patternType="solid">
        <fgColor rgb="FFF1582C"/>
        <bgColor indexed="64"/>
      </patternFill>
    </fill>
    <fill>
      <patternFill patternType="solid">
        <fgColor theme="0"/>
        <bgColor theme="4" tint="0.79998168889431442"/>
      </patternFill>
    </fill>
    <fill>
      <patternFill patternType="solid">
        <fgColor theme="0" tint="-4.9989318521683403E-2"/>
        <bgColor indexed="64"/>
      </patternFill>
    </fill>
  </fills>
  <borders count="11">
    <border>
      <left/>
      <right/>
      <top/>
      <bottom/>
      <diagonal/>
    </border>
    <border>
      <left style="thin">
        <color rgb="FFCCCCCC"/>
      </left>
      <right style="thin">
        <color rgb="FFCCCCCC"/>
      </right>
      <top style="thin">
        <color rgb="FFCCCCCC"/>
      </top>
      <bottom style="thin">
        <color rgb="FFCCCCCC"/>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s>
  <cellStyleXfs count="2">
    <xf numFmtId="0" fontId="0" fillId="0" borderId="0"/>
    <xf numFmtId="9" fontId="5" fillId="0" borderId="0" applyFont="0" applyFill="0" applyBorder="0" applyAlignment="0" applyProtection="0"/>
  </cellStyleXfs>
  <cellXfs count="44">
    <xf numFmtId="0" fontId="0" fillId="0" borderId="0" xfId="0"/>
    <xf numFmtId="0" fontId="2" fillId="2" borderId="1" xfId="0" applyFont="1" applyFill="1" applyBorder="1" applyAlignment="1">
      <alignment horizontal="center" vertical="center"/>
    </xf>
    <xf numFmtId="3" fontId="0" fillId="0" borderId="0" xfId="0" applyNumberFormat="1"/>
    <xf numFmtId="0" fontId="3" fillId="4" borderId="1" xfId="0" applyFont="1" applyFill="1" applyBorder="1"/>
    <xf numFmtId="0" fontId="3" fillId="4" borderId="1" xfId="0" applyFont="1" applyFill="1" applyBorder="1" applyAlignment="1">
      <alignment horizontal="center" vertical="center"/>
    </xf>
    <xf numFmtId="164" fontId="3" fillId="4" borderId="1" xfId="0" applyNumberFormat="1" applyFont="1" applyFill="1" applyBorder="1"/>
    <xf numFmtId="3" fontId="3" fillId="4" borderId="1" xfId="0" applyNumberFormat="1" applyFont="1" applyFill="1" applyBorder="1"/>
    <xf numFmtId="0" fontId="3" fillId="3" borderId="1" xfId="0" applyFont="1" applyFill="1" applyBorder="1"/>
    <xf numFmtId="0" fontId="3" fillId="3" borderId="1" xfId="0" applyFont="1" applyFill="1" applyBorder="1" applyAlignment="1">
      <alignment horizontal="center" vertical="center"/>
    </xf>
    <xf numFmtId="164" fontId="3" fillId="3" borderId="1" xfId="0" applyNumberFormat="1" applyFont="1" applyFill="1" applyBorder="1"/>
    <xf numFmtId="3" fontId="3" fillId="3" borderId="1" xfId="0" applyNumberFormat="1" applyFont="1" applyFill="1" applyBorder="1"/>
    <xf numFmtId="0" fontId="1" fillId="5" borderId="0" xfId="0" applyFont="1" applyFill="1" applyAlignment="1">
      <alignment horizontal="center"/>
    </xf>
    <xf numFmtId="0" fontId="0" fillId="0" borderId="0" xfId="0" applyAlignment="1">
      <alignment horizontal="center"/>
    </xf>
    <xf numFmtId="0" fontId="0" fillId="0" borderId="0" xfId="0" pivotButton="1"/>
    <xf numFmtId="0" fontId="1" fillId="5" borderId="0" xfId="0" applyFont="1" applyFill="1" applyAlignment="1">
      <alignment horizontal="center" vertical="center"/>
    </xf>
    <xf numFmtId="0" fontId="0" fillId="0" borderId="0" xfId="0" applyAlignment="1">
      <alignment horizontal="left"/>
    </xf>
    <xf numFmtId="165" fontId="0" fillId="0" borderId="0" xfId="0" applyNumberFormat="1"/>
    <xf numFmtId="1" fontId="0" fillId="0" borderId="0" xfId="0" applyNumberFormat="1"/>
    <xf numFmtId="0" fontId="4" fillId="7" borderId="0" xfId="0" applyFont="1" applyFill="1"/>
    <xf numFmtId="166" fontId="0" fillId="0" borderId="0" xfId="0" applyNumberFormat="1"/>
    <xf numFmtId="9" fontId="0" fillId="0" borderId="0" xfId="1" applyFont="1" applyAlignment="1">
      <alignment horizontal="center"/>
    </xf>
    <xf numFmtId="9" fontId="0" fillId="0" borderId="2" xfId="1" applyFont="1" applyBorder="1" applyAlignment="1">
      <alignment horizontal="center"/>
    </xf>
    <xf numFmtId="9" fontId="0" fillId="0" borderId="3" xfId="1" applyFont="1" applyBorder="1" applyAlignment="1">
      <alignment horizontal="center"/>
    </xf>
    <xf numFmtId="9" fontId="0" fillId="0" borderId="4" xfId="1" applyFont="1" applyBorder="1" applyAlignment="1">
      <alignment horizontal="center"/>
    </xf>
    <xf numFmtId="9" fontId="0" fillId="0" borderId="5" xfId="1" applyFont="1" applyBorder="1" applyAlignment="1">
      <alignment horizontal="center"/>
    </xf>
    <xf numFmtId="9" fontId="0" fillId="0" borderId="6" xfId="1" applyFont="1" applyBorder="1" applyAlignment="1">
      <alignment horizontal="center"/>
    </xf>
    <xf numFmtId="9" fontId="0" fillId="0" borderId="7" xfId="1" applyFont="1" applyBorder="1" applyAlignment="1">
      <alignment horizontal="center"/>
    </xf>
    <xf numFmtId="9" fontId="0" fillId="0" borderId="8" xfId="1" applyFont="1" applyBorder="1" applyAlignment="1">
      <alignment horizontal="center"/>
    </xf>
    <xf numFmtId="9" fontId="0" fillId="0" borderId="9" xfId="1" applyFont="1" applyBorder="1" applyAlignment="1">
      <alignment horizontal="center"/>
    </xf>
    <xf numFmtId="9" fontId="0" fillId="0" borderId="10" xfId="1" applyFont="1" applyBorder="1" applyAlignment="1">
      <alignment horizontal="center"/>
    </xf>
    <xf numFmtId="0" fontId="0" fillId="0" borderId="0" xfId="0" pivotButton="1" applyAlignment="1">
      <alignment horizontal="center"/>
    </xf>
    <xf numFmtId="0" fontId="6" fillId="0" borderId="0" xfId="0" applyFont="1" applyAlignment="1">
      <alignment horizontal="left"/>
    </xf>
    <xf numFmtId="0" fontId="6" fillId="0" borderId="0" xfId="0" applyFont="1" applyAlignment="1">
      <alignment horizontal="center" vertical="center"/>
    </xf>
    <xf numFmtId="166" fontId="6" fillId="0" borderId="2" xfId="1" applyNumberFormat="1" applyFont="1" applyBorder="1" applyAlignment="1">
      <alignment horizontal="center" vertical="center"/>
    </xf>
    <xf numFmtId="166" fontId="6" fillId="0" borderId="3" xfId="1" applyNumberFormat="1" applyFont="1" applyBorder="1" applyAlignment="1">
      <alignment horizontal="center" vertical="center"/>
    </xf>
    <xf numFmtId="166" fontId="6" fillId="0" borderId="4" xfId="1" applyNumberFormat="1" applyFont="1" applyBorder="1" applyAlignment="1">
      <alignment horizontal="center" vertical="center"/>
    </xf>
    <xf numFmtId="166" fontId="6" fillId="0" borderId="5" xfId="1" applyNumberFormat="1" applyFont="1" applyBorder="1" applyAlignment="1">
      <alignment horizontal="center" vertical="center"/>
    </xf>
    <xf numFmtId="166" fontId="6" fillId="0" borderId="6" xfId="1" applyNumberFormat="1" applyFont="1" applyBorder="1" applyAlignment="1">
      <alignment horizontal="center" vertical="center"/>
    </xf>
    <xf numFmtId="166" fontId="6" fillId="0" borderId="7" xfId="1" applyNumberFormat="1" applyFont="1" applyBorder="1" applyAlignment="1">
      <alignment horizontal="center" vertical="center"/>
    </xf>
    <xf numFmtId="166" fontId="6" fillId="0" borderId="8" xfId="1" applyNumberFormat="1" applyFont="1" applyBorder="1" applyAlignment="1">
      <alignment horizontal="center" vertical="center"/>
    </xf>
    <xf numFmtId="166" fontId="6" fillId="0" borderId="9" xfId="1" applyNumberFormat="1" applyFont="1" applyBorder="1" applyAlignment="1">
      <alignment horizontal="center" vertical="center"/>
    </xf>
    <xf numFmtId="166" fontId="6" fillId="0" borderId="10" xfId="1" applyNumberFormat="1" applyFont="1" applyBorder="1" applyAlignment="1">
      <alignment horizontal="center" vertical="center"/>
    </xf>
    <xf numFmtId="0" fontId="0" fillId="8" borderId="0" xfId="0" applyFill="1"/>
    <xf numFmtId="0" fontId="1" fillId="6" borderId="0" xfId="0" applyFont="1" applyFill="1" applyAlignment="1">
      <alignment horizontal="center"/>
    </xf>
  </cellXfs>
  <cellStyles count="2">
    <cellStyle name="Normal" xfId="0" builtinId="0"/>
    <cellStyle name="Percent" xfId="1" builtinId="5"/>
  </cellStyles>
  <dxfs count="12">
    <dxf>
      <numFmt numFmtId="166" formatCode="0.0%"/>
    </dxf>
    <dxf>
      <numFmt numFmtId="165" formatCode="[$$-409]#,##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colors>
    <mruColors>
      <color rgb="FFEE4D2D"/>
      <color rgb="FFF1582C"/>
      <color rgb="FFF63D2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[Shoppe_Project.xlsx]Pivots!Trend</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Trend in the last 13 weeks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cap="rnd">
            <a:solidFill>
              <a:schemeClr val="accent5"/>
            </a:solidFill>
            <a:round/>
          </a:ln>
          <a:effectLst/>
        </c:spPr>
        <c:marker>
          <c:symbol val="circle"/>
          <c:size val="4"/>
          <c:spPr>
            <a:solidFill>
              <a:schemeClr val="bg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cap="rnd">
            <a:solidFill>
              <a:schemeClr val="accent6"/>
            </a:solidFill>
            <a:round/>
          </a:ln>
          <a:effectLst/>
        </c:spPr>
        <c:marker>
          <c:symbol val="circle"/>
          <c:size val="4"/>
          <c:spPr>
            <a:solidFill>
              <a:schemeClr val="bg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cap="rnd">
            <a:solidFill>
              <a:schemeClr val="accent5"/>
            </a:solidFill>
            <a:round/>
          </a:ln>
          <a:effectLst/>
        </c:spPr>
        <c:marker>
          <c:symbol val="circle"/>
          <c:size val="4"/>
          <c:spPr>
            <a:solidFill>
              <a:schemeClr val="bg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cap="rnd">
            <a:solidFill>
              <a:schemeClr val="accent6"/>
            </a:solidFill>
            <a:round/>
          </a:ln>
          <a:effectLst/>
        </c:spPr>
        <c:marker>
          <c:symbol val="circle"/>
          <c:size val="4"/>
          <c:spPr>
            <a:solidFill>
              <a:schemeClr val="bg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cap="rnd">
            <a:solidFill>
              <a:schemeClr val="accent5"/>
            </a:solidFill>
            <a:round/>
          </a:ln>
          <a:effectLst/>
        </c:spPr>
        <c:marker>
          <c:symbol val="circle"/>
          <c:size val="4"/>
          <c:spPr>
            <a:solidFill>
              <a:schemeClr val="bg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cap="rnd">
            <a:solidFill>
              <a:schemeClr val="accent6"/>
            </a:solidFill>
            <a:round/>
          </a:ln>
          <a:effectLst/>
        </c:spPr>
        <c:marker>
          <c:symbol val="circle"/>
          <c:size val="4"/>
          <c:spPr>
            <a:solidFill>
              <a:schemeClr val="bg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cap="rnd">
            <a:solidFill>
              <a:schemeClr val="accent5"/>
            </a:solidFill>
            <a:round/>
          </a:ln>
          <a:effectLst/>
        </c:spPr>
        <c:marker>
          <c:symbol val="circle"/>
          <c:size val="4"/>
          <c:spPr>
            <a:solidFill>
              <a:schemeClr val="bg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cap="rnd">
            <a:solidFill>
              <a:schemeClr val="accent6"/>
            </a:solidFill>
            <a:round/>
          </a:ln>
          <a:effectLst/>
        </c:spPr>
        <c:marker>
          <c:symbol val="circle"/>
          <c:size val="4"/>
          <c:spPr>
            <a:solidFill>
              <a:schemeClr val="bg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19050" cap="rnd">
            <a:solidFill>
              <a:schemeClr val="accent5"/>
            </a:solidFill>
            <a:round/>
          </a:ln>
          <a:effectLst/>
        </c:spPr>
        <c:marker>
          <c:symbol val="circle"/>
          <c:size val="4"/>
          <c:spPr>
            <a:solidFill>
              <a:schemeClr val="bg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19050" cap="rnd">
            <a:solidFill>
              <a:schemeClr val="accent6"/>
            </a:solidFill>
            <a:round/>
          </a:ln>
          <a:effectLst/>
        </c:spPr>
        <c:marker>
          <c:symbol val="circle"/>
          <c:size val="4"/>
          <c:spPr>
            <a:solidFill>
              <a:schemeClr val="bg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1"/>
          <c:order val="1"/>
          <c:tx>
            <c:strRef>
              <c:f>Pivots!$C$10</c:f>
              <c:strCache>
                <c:ptCount val="1"/>
                <c:pt idx="0">
                  <c:v>Sum of Quantity</c:v>
                </c:pt>
              </c:strCache>
            </c:strRef>
          </c:tx>
          <c:spPr>
            <a:ln w="19050" cap="rnd">
              <a:solidFill>
                <a:schemeClr val="accent5"/>
              </a:solidFill>
              <a:round/>
            </a:ln>
            <a:effectLst/>
          </c:spPr>
          <c:marker>
            <c:symbol val="circle"/>
            <c:size val="4"/>
            <c:spPr>
              <a:solidFill>
                <a:schemeClr val="bg1"/>
              </a:solidFill>
              <a:ln w="9525">
                <a:solidFill>
                  <a:schemeClr val="tx1"/>
                </a:solidFill>
              </a:ln>
              <a:effectLst/>
            </c:spPr>
          </c:marker>
          <c:cat>
            <c:strRef>
              <c:f>Pivots!$A$11:$A$24</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Pivots!$C$11:$C$24</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A534-4DAD-8FF2-8E47061DCAA6}"/>
            </c:ext>
          </c:extLst>
        </c:ser>
        <c:dLbls>
          <c:showLegendKey val="0"/>
          <c:showVal val="0"/>
          <c:showCatName val="0"/>
          <c:showSerName val="0"/>
          <c:showPercent val="0"/>
          <c:showBubbleSize val="0"/>
        </c:dLbls>
        <c:marker val="1"/>
        <c:smooth val="0"/>
        <c:axId val="1219261568"/>
        <c:axId val="1219262528"/>
      </c:lineChart>
      <c:lineChart>
        <c:grouping val="standard"/>
        <c:varyColors val="0"/>
        <c:ser>
          <c:idx val="0"/>
          <c:order val="0"/>
          <c:tx>
            <c:strRef>
              <c:f>Pivots!$B$10</c:f>
              <c:strCache>
                <c:ptCount val="1"/>
                <c:pt idx="0">
                  <c:v>Sum of Amount($)</c:v>
                </c:pt>
              </c:strCache>
            </c:strRef>
          </c:tx>
          <c:spPr>
            <a:ln w="19050" cap="rnd">
              <a:solidFill>
                <a:schemeClr val="accent6"/>
              </a:solidFill>
              <a:round/>
            </a:ln>
            <a:effectLst/>
          </c:spPr>
          <c:marker>
            <c:symbol val="circle"/>
            <c:size val="4"/>
            <c:spPr>
              <a:solidFill>
                <a:schemeClr val="bg1"/>
              </a:solidFill>
              <a:ln w="9525">
                <a:solidFill>
                  <a:schemeClr val="tx1"/>
                </a:solidFill>
              </a:ln>
              <a:effectLst/>
            </c:spPr>
          </c:marker>
          <c:cat>
            <c:strRef>
              <c:f>Pivots!$A$11:$A$24</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Pivots!$B$11:$B$24</c:f>
              <c:numCache>
                <c:formatCode>[$$-409]#,##0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A534-4DAD-8FF2-8E47061DCAA6}"/>
            </c:ext>
          </c:extLst>
        </c:ser>
        <c:dLbls>
          <c:showLegendKey val="0"/>
          <c:showVal val="0"/>
          <c:showCatName val="0"/>
          <c:showSerName val="0"/>
          <c:showPercent val="0"/>
          <c:showBubbleSize val="0"/>
        </c:dLbls>
        <c:marker val="1"/>
        <c:smooth val="0"/>
        <c:axId val="1227376160"/>
        <c:axId val="1227375680"/>
      </c:lineChart>
      <c:catAx>
        <c:axId val="1219261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262528"/>
        <c:crosses val="autoZero"/>
        <c:auto val="1"/>
        <c:lblAlgn val="ctr"/>
        <c:lblOffset val="100"/>
        <c:noMultiLvlLbl val="0"/>
      </c:catAx>
      <c:valAx>
        <c:axId val="1219262528"/>
        <c:scaling>
          <c:orientation val="minMax"/>
        </c:scaling>
        <c:delete val="0"/>
        <c:axPos val="l"/>
        <c:majorGridlines>
          <c:spPr>
            <a:ln w="9525" cap="flat" cmpd="sng" algn="ctr">
              <a:solidFill>
                <a:schemeClr val="tx1">
                  <a:lumMod val="15000"/>
                  <a:lumOff val="85000"/>
                </a:schemeClr>
              </a:solidFill>
              <a:prstDash val="sysDash"/>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261568"/>
        <c:crosses val="autoZero"/>
        <c:crossBetween val="between"/>
      </c:valAx>
      <c:valAx>
        <c:axId val="1227375680"/>
        <c:scaling>
          <c:orientation val="minMax"/>
        </c:scaling>
        <c:delete val="0"/>
        <c:axPos val="r"/>
        <c:numFmt formatCode="[$$-4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7376160"/>
        <c:crosses val="max"/>
        <c:crossBetween val="between"/>
      </c:valAx>
      <c:catAx>
        <c:axId val="1227376160"/>
        <c:scaling>
          <c:orientation val="minMax"/>
        </c:scaling>
        <c:delete val="1"/>
        <c:axPos val="b"/>
        <c:numFmt formatCode="General" sourceLinked="1"/>
        <c:majorTickMark val="out"/>
        <c:minorTickMark val="none"/>
        <c:tickLblPos val="nextTo"/>
        <c:crossAx val="122737568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[Shoppe_Project.xlsx]Pivots!Units Bought</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How many units they buy?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158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158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158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Pivots!$B$29</c:f>
              <c:strCache>
                <c:ptCount val="1"/>
                <c:pt idx="0">
                  <c:v>Total</c:v>
                </c:pt>
              </c:strCache>
            </c:strRef>
          </c:tx>
          <c:spPr>
            <a:solidFill>
              <a:srgbClr val="F158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Pivots!$A$30:$A$37</c:f>
              <c:strCache>
                <c:ptCount val="7"/>
                <c:pt idx="0">
                  <c:v>1</c:v>
                </c:pt>
                <c:pt idx="1">
                  <c:v>2</c:v>
                </c:pt>
                <c:pt idx="2">
                  <c:v>3</c:v>
                </c:pt>
                <c:pt idx="3">
                  <c:v>4</c:v>
                </c:pt>
                <c:pt idx="4">
                  <c:v>5</c:v>
                </c:pt>
                <c:pt idx="5">
                  <c:v>6 To 10</c:v>
                </c:pt>
                <c:pt idx="6">
                  <c:v>More than 10</c:v>
                </c:pt>
              </c:strCache>
            </c:strRef>
          </c:cat>
          <c:val>
            <c:numRef>
              <c:f>Pivots!$B$30:$B$37</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BA6D-4CBA-9E50-DC06330B3A8B}"/>
            </c:ext>
          </c:extLst>
        </c:ser>
        <c:dLbls>
          <c:dLblPos val="outEnd"/>
          <c:showLegendKey val="0"/>
          <c:showVal val="1"/>
          <c:showCatName val="0"/>
          <c:showSerName val="0"/>
          <c:showPercent val="0"/>
          <c:showBubbleSize val="0"/>
        </c:dLbls>
        <c:gapWidth val="50"/>
        <c:overlap val="-27"/>
        <c:axId val="1011299536"/>
        <c:axId val="1011300496"/>
      </c:barChart>
      <c:catAx>
        <c:axId val="1011299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300496"/>
        <c:crosses val="autoZero"/>
        <c:auto val="1"/>
        <c:lblAlgn val="ctr"/>
        <c:lblOffset val="100"/>
        <c:noMultiLvlLbl val="0"/>
      </c:catAx>
      <c:valAx>
        <c:axId val="10113004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29953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[Shoppe_Project.xlsx]Pivots!Gender Wise top Products</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Which products are popular?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EE4D2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EE4D2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EE4D2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Pivots!$B$42:$B$43</c:f>
              <c:strCache>
                <c:ptCount val="1"/>
                <c:pt idx="0">
                  <c:v>Female</c:v>
                </c:pt>
              </c:strCache>
            </c:strRef>
          </c:tx>
          <c:spPr>
            <a:solidFill>
              <a:srgbClr val="EE4D2D"/>
            </a:solidFill>
            <a:ln>
              <a:noFill/>
            </a:ln>
            <a:effectLst/>
          </c:spPr>
          <c:invertIfNegative val="0"/>
          <c:cat>
            <c:strRef>
              <c:f>Pivots!$A$44:$A$64</c:f>
              <c:strCache>
                <c:ptCount val="20"/>
                <c:pt idx="0">
                  <c:v>T-Shirts</c:v>
                </c:pt>
                <c:pt idx="1">
                  <c:v>Jeans</c:v>
                </c:pt>
                <c:pt idx="2">
                  <c:v>Sneakers</c:v>
                </c:pt>
                <c:pt idx="3">
                  <c:v>Tank Tops</c:v>
                </c:pt>
                <c:pt idx="4">
                  <c:v>Batik Shirt</c:v>
                </c:pt>
                <c:pt idx="5">
                  <c:v>Sundresses</c:v>
                </c:pt>
                <c:pt idx="6">
                  <c:v>Graphic Tees</c:v>
                </c:pt>
                <c:pt idx="7">
                  <c:v>Shorts</c:v>
                </c:pt>
                <c:pt idx="8">
                  <c:v>Sandals</c:v>
                </c:pt>
                <c:pt idx="9">
                  <c:v>Hoodies &amp; Sweatshirts</c:v>
                </c:pt>
                <c:pt idx="10">
                  <c:v>Casual Dresses</c:v>
                </c:pt>
                <c:pt idx="11">
                  <c:v>Leggings</c:v>
                </c:pt>
                <c:pt idx="12">
                  <c:v>Maxi Dresses</c:v>
                </c:pt>
                <c:pt idx="13">
                  <c:v>Crop Tops</c:v>
                </c:pt>
                <c:pt idx="14">
                  <c:v>Workout Tops</c:v>
                </c:pt>
                <c:pt idx="15">
                  <c:v>Pajama Sets</c:v>
                </c:pt>
                <c:pt idx="16">
                  <c:v>Sunglasses</c:v>
                </c:pt>
                <c:pt idx="17">
                  <c:v>Tote Bags</c:v>
                </c:pt>
                <c:pt idx="18">
                  <c:v>Baseball Caps</c:v>
                </c:pt>
                <c:pt idx="19">
                  <c:v>Jewelry</c:v>
                </c:pt>
              </c:strCache>
            </c:strRef>
          </c:cat>
          <c:val>
            <c:numRef>
              <c:f>Pivots!$B$44:$B$64</c:f>
              <c:numCache>
                <c:formatCode>General</c:formatCode>
                <c:ptCount val="20"/>
                <c:pt idx="0">
                  <c:v>744</c:v>
                </c:pt>
                <c:pt idx="1">
                  <c:v>716</c:v>
                </c:pt>
                <c:pt idx="2">
                  <c:v>627</c:v>
                </c:pt>
                <c:pt idx="3">
                  <c:v>568</c:v>
                </c:pt>
                <c:pt idx="4">
                  <c:v>482</c:v>
                </c:pt>
                <c:pt idx="5">
                  <c:v>445</c:v>
                </c:pt>
                <c:pt idx="6">
                  <c:v>431</c:v>
                </c:pt>
                <c:pt idx="7">
                  <c:v>428</c:v>
                </c:pt>
                <c:pt idx="8">
                  <c:v>296</c:v>
                </c:pt>
                <c:pt idx="9">
                  <c:v>264</c:v>
                </c:pt>
                <c:pt idx="10">
                  <c:v>234</c:v>
                </c:pt>
                <c:pt idx="11">
                  <c:v>189</c:v>
                </c:pt>
                <c:pt idx="12">
                  <c:v>179</c:v>
                </c:pt>
                <c:pt idx="13">
                  <c:v>153</c:v>
                </c:pt>
                <c:pt idx="14">
                  <c:v>146</c:v>
                </c:pt>
                <c:pt idx="15">
                  <c:v>127</c:v>
                </c:pt>
                <c:pt idx="16">
                  <c:v>99</c:v>
                </c:pt>
                <c:pt idx="17">
                  <c:v>75</c:v>
                </c:pt>
                <c:pt idx="18">
                  <c:v>43</c:v>
                </c:pt>
                <c:pt idx="19">
                  <c:v>26</c:v>
                </c:pt>
              </c:numCache>
            </c:numRef>
          </c:val>
          <c:extLst>
            <c:ext xmlns:c16="http://schemas.microsoft.com/office/drawing/2014/chart" uri="{C3380CC4-5D6E-409C-BE32-E72D297353CC}">
              <c16:uniqueId val="{00000000-E36A-4F5C-9E38-6A6154917736}"/>
            </c:ext>
          </c:extLst>
        </c:ser>
        <c:ser>
          <c:idx val="1"/>
          <c:order val="1"/>
          <c:tx>
            <c:strRef>
              <c:f>Pivots!$C$42:$C$43</c:f>
              <c:strCache>
                <c:ptCount val="1"/>
                <c:pt idx="0">
                  <c:v>Male</c:v>
                </c:pt>
              </c:strCache>
            </c:strRef>
          </c:tx>
          <c:spPr>
            <a:solidFill>
              <a:schemeClr val="accent5"/>
            </a:solidFill>
            <a:ln>
              <a:noFill/>
            </a:ln>
            <a:effectLst/>
          </c:spPr>
          <c:invertIfNegative val="0"/>
          <c:cat>
            <c:strRef>
              <c:f>Pivots!$A$44:$A$64</c:f>
              <c:strCache>
                <c:ptCount val="20"/>
                <c:pt idx="0">
                  <c:v>T-Shirts</c:v>
                </c:pt>
                <c:pt idx="1">
                  <c:v>Jeans</c:v>
                </c:pt>
                <c:pt idx="2">
                  <c:v>Sneakers</c:v>
                </c:pt>
                <c:pt idx="3">
                  <c:v>Tank Tops</c:v>
                </c:pt>
                <c:pt idx="4">
                  <c:v>Batik Shirt</c:v>
                </c:pt>
                <c:pt idx="5">
                  <c:v>Sundresses</c:v>
                </c:pt>
                <c:pt idx="6">
                  <c:v>Graphic Tees</c:v>
                </c:pt>
                <c:pt idx="7">
                  <c:v>Shorts</c:v>
                </c:pt>
                <c:pt idx="8">
                  <c:v>Sandals</c:v>
                </c:pt>
                <c:pt idx="9">
                  <c:v>Hoodies &amp; Sweatshirts</c:v>
                </c:pt>
                <c:pt idx="10">
                  <c:v>Casual Dresses</c:v>
                </c:pt>
                <c:pt idx="11">
                  <c:v>Leggings</c:v>
                </c:pt>
                <c:pt idx="12">
                  <c:v>Maxi Dresses</c:v>
                </c:pt>
                <c:pt idx="13">
                  <c:v>Crop Tops</c:v>
                </c:pt>
                <c:pt idx="14">
                  <c:v>Workout Tops</c:v>
                </c:pt>
                <c:pt idx="15">
                  <c:v>Pajama Sets</c:v>
                </c:pt>
                <c:pt idx="16">
                  <c:v>Sunglasses</c:v>
                </c:pt>
                <c:pt idx="17">
                  <c:v>Tote Bags</c:v>
                </c:pt>
                <c:pt idx="18">
                  <c:v>Baseball Caps</c:v>
                </c:pt>
                <c:pt idx="19">
                  <c:v>Jewelry</c:v>
                </c:pt>
              </c:strCache>
            </c:strRef>
          </c:cat>
          <c:val>
            <c:numRef>
              <c:f>Pivots!$C$44:$C$64</c:f>
              <c:numCache>
                <c:formatCode>General</c:formatCode>
                <c:ptCount val="20"/>
                <c:pt idx="0">
                  <c:v>713</c:v>
                </c:pt>
                <c:pt idx="1">
                  <c:v>598</c:v>
                </c:pt>
                <c:pt idx="2">
                  <c:v>393</c:v>
                </c:pt>
                <c:pt idx="3">
                  <c:v>306</c:v>
                </c:pt>
                <c:pt idx="4">
                  <c:v>295</c:v>
                </c:pt>
                <c:pt idx="5">
                  <c:v>202</c:v>
                </c:pt>
                <c:pt idx="6">
                  <c:v>187</c:v>
                </c:pt>
                <c:pt idx="7">
                  <c:v>293</c:v>
                </c:pt>
                <c:pt idx="8">
                  <c:v>275</c:v>
                </c:pt>
                <c:pt idx="9">
                  <c:v>318</c:v>
                </c:pt>
                <c:pt idx="10">
                  <c:v>93</c:v>
                </c:pt>
                <c:pt idx="11">
                  <c:v>168</c:v>
                </c:pt>
                <c:pt idx="12">
                  <c:v>76</c:v>
                </c:pt>
                <c:pt idx="13">
                  <c:v>246</c:v>
                </c:pt>
                <c:pt idx="14">
                  <c:v>94</c:v>
                </c:pt>
                <c:pt idx="15">
                  <c:v>118</c:v>
                </c:pt>
                <c:pt idx="16">
                  <c:v>69</c:v>
                </c:pt>
                <c:pt idx="17">
                  <c:v>103</c:v>
                </c:pt>
                <c:pt idx="18">
                  <c:v>90</c:v>
                </c:pt>
                <c:pt idx="19">
                  <c:v>35</c:v>
                </c:pt>
              </c:numCache>
            </c:numRef>
          </c:val>
          <c:extLst>
            <c:ext xmlns:c16="http://schemas.microsoft.com/office/drawing/2014/chart" uri="{C3380CC4-5D6E-409C-BE32-E72D297353CC}">
              <c16:uniqueId val="{00000001-E36A-4F5C-9E38-6A6154917736}"/>
            </c:ext>
          </c:extLst>
        </c:ser>
        <c:ser>
          <c:idx val="2"/>
          <c:order val="2"/>
          <c:tx>
            <c:strRef>
              <c:f>Pivots!$D$42:$D$43</c:f>
              <c:strCache>
                <c:ptCount val="1"/>
                <c:pt idx="0">
                  <c:v>Other</c:v>
                </c:pt>
              </c:strCache>
            </c:strRef>
          </c:tx>
          <c:spPr>
            <a:solidFill>
              <a:srgbClr val="FFFF00"/>
            </a:solidFill>
            <a:ln>
              <a:noFill/>
            </a:ln>
            <a:effectLst/>
          </c:spPr>
          <c:invertIfNegative val="0"/>
          <c:cat>
            <c:strRef>
              <c:f>Pivots!$A$44:$A$64</c:f>
              <c:strCache>
                <c:ptCount val="20"/>
                <c:pt idx="0">
                  <c:v>T-Shirts</c:v>
                </c:pt>
                <c:pt idx="1">
                  <c:v>Jeans</c:v>
                </c:pt>
                <c:pt idx="2">
                  <c:v>Sneakers</c:v>
                </c:pt>
                <c:pt idx="3">
                  <c:v>Tank Tops</c:v>
                </c:pt>
                <c:pt idx="4">
                  <c:v>Batik Shirt</c:v>
                </c:pt>
                <c:pt idx="5">
                  <c:v>Sundresses</c:v>
                </c:pt>
                <c:pt idx="6">
                  <c:v>Graphic Tees</c:v>
                </c:pt>
                <c:pt idx="7">
                  <c:v>Shorts</c:v>
                </c:pt>
                <c:pt idx="8">
                  <c:v>Sandals</c:v>
                </c:pt>
                <c:pt idx="9">
                  <c:v>Hoodies &amp; Sweatshirts</c:v>
                </c:pt>
                <c:pt idx="10">
                  <c:v>Casual Dresses</c:v>
                </c:pt>
                <c:pt idx="11">
                  <c:v>Leggings</c:v>
                </c:pt>
                <c:pt idx="12">
                  <c:v>Maxi Dresses</c:v>
                </c:pt>
                <c:pt idx="13">
                  <c:v>Crop Tops</c:v>
                </c:pt>
                <c:pt idx="14">
                  <c:v>Workout Tops</c:v>
                </c:pt>
                <c:pt idx="15">
                  <c:v>Pajama Sets</c:v>
                </c:pt>
                <c:pt idx="16">
                  <c:v>Sunglasses</c:v>
                </c:pt>
                <c:pt idx="17">
                  <c:v>Tote Bags</c:v>
                </c:pt>
                <c:pt idx="18">
                  <c:v>Baseball Caps</c:v>
                </c:pt>
                <c:pt idx="19">
                  <c:v>Jewelry</c:v>
                </c:pt>
              </c:strCache>
            </c:strRef>
          </c:cat>
          <c:val>
            <c:numRef>
              <c:f>Pivots!$D$44:$D$64</c:f>
              <c:numCache>
                <c:formatCode>General</c:formatCode>
                <c:ptCount val="20"/>
                <c:pt idx="0">
                  <c:v>90</c:v>
                </c:pt>
                <c:pt idx="1">
                  <c:v>18</c:v>
                </c:pt>
                <c:pt idx="2">
                  <c:v>29</c:v>
                </c:pt>
                <c:pt idx="3">
                  <c:v>22</c:v>
                </c:pt>
                <c:pt idx="4">
                  <c:v>8</c:v>
                </c:pt>
                <c:pt idx="5">
                  <c:v>14</c:v>
                </c:pt>
                <c:pt idx="6">
                  <c:v>14</c:v>
                </c:pt>
                <c:pt idx="8">
                  <c:v>9</c:v>
                </c:pt>
                <c:pt idx="9">
                  <c:v>15</c:v>
                </c:pt>
                <c:pt idx="10">
                  <c:v>19</c:v>
                </c:pt>
                <c:pt idx="11">
                  <c:v>10</c:v>
                </c:pt>
                <c:pt idx="12">
                  <c:v>3</c:v>
                </c:pt>
                <c:pt idx="13">
                  <c:v>30</c:v>
                </c:pt>
                <c:pt idx="14">
                  <c:v>4</c:v>
                </c:pt>
                <c:pt idx="15">
                  <c:v>13</c:v>
                </c:pt>
                <c:pt idx="16">
                  <c:v>3</c:v>
                </c:pt>
                <c:pt idx="17">
                  <c:v>4</c:v>
                </c:pt>
                <c:pt idx="18">
                  <c:v>8</c:v>
                </c:pt>
                <c:pt idx="19">
                  <c:v>4</c:v>
                </c:pt>
              </c:numCache>
            </c:numRef>
          </c:val>
          <c:extLst>
            <c:ext xmlns:c16="http://schemas.microsoft.com/office/drawing/2014/chart" uri="{C3380CC4-5D6E-409C-BE32-E72D297353CC}">
              <c16:uniqueId val="{00000002-E36A-4F5C-9E38-6A6154917736}"/>
            </c:ext>
          </c:extLst>
        </c:ser>
        <c:ser>
          <c:idx val="3"/>
          <c:order val="3"/>
          <c:tx>
            <c:strRef>
              <c:f>Pivots!$E$42:$E$43</c:f>
              <c:strCache>
                <c:ptCount val="1"/>
                <c:pt idx="0">
                  <c:v>Unknown</c:v>
                </c:pt>
              </c:strCache>
            </c:strRef>
          </c:tx>
          <c:spPr>
            <a:solidFill>
              <a:schemeClr val="accent3"/>
            </a:solidFill>
            <a:ln>
              <a:noFill/>
            </a:ln>
            <a:effectLst/>
          </c:spPr>
          <c:invertIfNegative val="0"/>
          <c:cat>
            <c:strRef>
              <c:f>Pivots!$A$44:$A$64</c:f>
              <c:strCache>
                <c:ptCount val="20"/>
                <c:pt idx="0">
                  <c:v>T-Shirts</c:v>
                </c:pt>
                <c:pt idx="1">
                  <c:v>Jeans</c:v>
                </c:pt>
                <c:pt idx="2">
                  <c:v>Sneakers</c:v>
                </c:pt>
                <c:pt idx="3">
                  <c:v>Tank Tops</c:v>
                </c:pt>
                <c:pt idx="4">
                  <c:v>Batik Shirt</c:v>
                </c:pt>
                <c:pt idx="5">
                  <c:v>Sundresses</c:v>
                </c:pt>
                <c:pt idx="6">
                  <c:v>Graphic Tees</c:v>
                </c:pt>
                <c:pt idx="7">
                  <c:v>Shorts</c:v>
                </c:pt>
                <c:pt idx="8">
                  <c:v>Sandals</c:v>
                </c:pt>
                <c:pt idx="9">
                  <c:v>Hoodies &amp; Sweatshirts</c:v>
                </c:pt>
                <c:pt idx="10">
                  <c:v>Casual Dresses</c:v>
                </c:pt>
                <c:pt idx="11">
                  <c:v>Leggings</c:v>
                </c:pt>
                <c:pt idx="12">
                  <c:v>Maxi Dresses</c:v>
                </c:pt>
                <c:pt idx="13">
                  <c:v>Crop Tops</c:v>
                </c:pt>
                <c:pt idx="14">
                  <c:v>Workout Tops</c:v>
                </c:pt>
                <c:pt idx="15">
                  <c:v>Pajama Sets</c:v>
                </c:pt>
                <c:pt idx="16">
                  <c:v>Sunglasses</c:v>
                </c:pt>
                <c:pt idx="17">
                  <c:v>Tote Bags</c:v>
                </c:pt>
                <c:pt idx="18">
                  <c:v>Baseball Caps</c:v>
                </c:pt>
                <c:pt idx="19">
                  <c:v>Jewelry</c:v>
                </c:pt>
              </c:strCache>
            </c:strRef>
          </c:cat>
          <c:val>
            <c:numRef>
              <c:f>Pivots!$E$44:$E$64</c:f>
              <c:numCache>
                <c:formatCode>General</c:formatCode>
                <c:ptCount val="20"/>
                <c:pt idx="0">
                  <c:v>98</c:v>
                </c:pt>
                <c:pt idx="1">
                  <c:v>214</c:v>
                </c:pt>
                <c:pt idx="2">
                  <c:v>137</c:v>
                </c:pt>
                <c:pt idx="3">
                  <c:v>16</c:v>
                </c:pt>
                <c:pt idx="4">
                  <c:v>22</c:v>
                </c:pt>
                <c:pt idx="5">
                  <c:v>39</c:v>
                </c:pt>
                <c:pt idx="6">
                  <c:v>15</c:v>
                </c:pt>
                <c:pt idx="7">
                  <c:v>24</c:v>
                </c:pt>
                <c:pt idx="8">
                  <c:v>23</c:v>
                </c:pt>
                <c:pt idx="9">
                  <c:v>9</c:v>
                </c:pt>
                <c:pt idx="10">
                  <c:v>24</c:v>
                </c:pt>
                <c:pt idx="11">
                  <c:v>31</c:v>
                </c:pt>
                <c:pt idx="13">
                  <c:v>8</c:v>
                </c:pt>
                <c:pt idx="14">
                  <c:v>28</c:v>
                </c:pt>
                <c:pt idx="15">
                  <c:v>12</c:v>
                </c:pt>
                <c:pt idx="16">
                  <c:v>24</c:v>
                </c:pt>
                <c:pt idx="17">
                  <c:v>6</c:v>
                </c:pt>
                <c:pt idx="18">
                  <c:v>6</c:v>
                </c:pt>
              </c:numCache>
            </c:numRef>
          </c:val>
          <c:extLst>
            <c:ext xmlns:c16="http://schemas.microsoft.com/office/drawing/2014/chart" uri="{C3380CC4-5D6E-409C-BE32-E72D297353CC}">
              <c16:uniqueId val="{00000003-E36A-4F5C-9E38-6A6154917736}"/>
            </c:ext>
          </c:extLst>
        </c:ser>
        <c:dLbls>
          <c:showLegendKey val="0"/>
          <c:showVal val="0"/>
          <c:showCatName val="0"/>
          <c:showSerName val="0"/>
          <c:showPercent val="0"/>
          <c:showBubbleSize val="0"/>
        </c:dLbls>
        <c:gapWidth val="150"/>
        <c:overlap val="100"/>
        <c:axId val="1011317472"/>
        <c:axId val="1011322272"/>
      </c:barChart>
      <c:catAx>
        <c:axId val="101131747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322272"/>
        <c:crosses val="autoZero"/>
        <c:auto val="1"/>
        <c:lblAlgn val="ctr"/>
        <c:lblOffset val="100"/>
        <c:noMultiLvlLbl val="0"/>
      </c:catAx>
      <c:valAx>
        <c:axId val="1011322272"/>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317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[Shoppe_Project.xlsx]Pivots!Gender Spilt </c:name>
    <c:fmtId val="4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rgbClr val="EE4D2D"/>
          </a:solidFill>
          <a:ln w="19050">
            <a:solidFill>
              <a:schemeClr val="lt1"/>
            </a:solidFill>
          </a:ln>
          <a:effectLst/>
        </c:spPr>
        <c:dLbl>
          <c:idx val="0"/>
          <c:layout>
            <c:manualLayout>
              <c:x val="0.1340848183450753"/>
              <c:y val="0.29496257508174228"/>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3964881582784608"/>
                  <c:h val="0.26150702081255467"/>
                </c:manualLayout>
              </c15:layout>
            </c:ext>
          </c:extLst>
        </c:dLbl>
      </c:pivotFmt>
      <c:pivotFmt>
        <c:idx val="8"/>
        <c:spPr>
          <a:solidFill>
            <a:schemeClr val="accent5"/>
          </a:solidFill>
          <a:ln w="19050">
            <a:solidFill>
              <a:schemeClr val="lt1"/>
            </a:solidFill>
          </a:ln>
          <a:effectLst/>
        </c:spPr>
        <c:dLbl>
          <c:idx val="0"/>
          <c:layout>
            <c:manualLayout>
              <c:x val="-6.1575615741530761E-2"/>
              <c:y val="0.27777777777777779"/>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rgbClr val="FFFF00"/>
          </a:solidFill>
          <a:ln w="19050">
            <a:solidFill>
              <a:schemeClr val="lt1"/>
            </a:solidFill>
          </a:ln>
          <a:effectLst/>
        </c:spPr>
        <c:dLbl>
          <c:idx val="0"/>
          <c:layout>
            <c:manualLayout>
              <c:x val="-0.17168052135897874"/>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3"/>
          </a:solidFill>
          <a:ln w="19050">
            <a:solidFill>
              <a:schemeClr val="lt1"/>
            </a:solidFill>
          </a:ln>
          <a:effectLst/>
        </c:spPr>
        <c:dLbl>
          <c:idx val="0"/>
          <c:layout>
            <c:manualLayout>
              <c:x val="0.38537313222884839"/>
              <c:y val="-7.6821729897768726E-2"/>
            </c:manualLayout>
          </c:layout>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31754416662829421"/>
                  <c:h val="0.2341097802396144"/>
                </c:manualLayout>
              </c15:layout>
            </c:ext>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2"/>
        <c:spPr>
          <a:solidFill>
            <a:srgbClr val="EE4D2D"/>
          </a:solidFill>
          <a:ln w="19050">
            <a:solidFill>
              <a:schemeClr val="lt1"/>
            </a:solidFill>
          </a:ln>
          <a:effectLst/>
        </c:spPr>
        <c:dLbl>
          <c:idx val="0"/>
          <c:layout>
            <c:manualLayout>
              <c:x val="0.1340848183450753"/>
              <c:y val="0.29496257508174228"/>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3964881582784608"/>
                  <c:h val="0.26150702081255467"/>
                </c:manualLayout>
              </c15:layout>
            </c:ext>
          </c:extLst>
        </c:dLbl>
      </c:pivotFmt>
      <c:pivotFmt>
        <c:idx val="13"/>
        <c:spPr>
          <a:solidFill>
            <a:schemeClr val="accent5"/>
          </a:solidFill>
          <a:ln w="19050">
            <a:solidFill>
              <a:schemeClr val="lt1"/>
            </a:solidFill>
          </a:ln>
          <a:effectLst/>
        </c:spPr>
        <c:dLbl>
          <c:idx val="0"/>
          <c:layout>
            <c:manualLayout>
              <c:x val="-6.1575615741530761E-2"/>
              <c:y val="0.27777777777777779"/>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4"/>
        <c:spPr>
          <a:solidFill>
            <a:srgbClr val="FFFF00"/>
          </a:solidFill>
          <a:ln w="19050">
            <a:solidFill>
              <a:schemeClr val="lt1"/>
            </a:solidFill>
          </a:ln>
          <a:effectLst/>
        </c:spPr>
        <c:dLbl>
          <c:idx val="0"/>
          <c:layout>
            <c:manualLayout>
              <c:x val="-0.17168052135897874"/>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5"/>
        <c:spPr>
          <a:solidFill>
            <a:schemeClr val="accent3"/>
          </a:solidFill>
          <a:ln w="19050">
            <a:solidFill>
              <a:schemeClr val="lt1"/>
            </a:solidFill>
          </a:ln>
          <a:effectLst/>
        </c:spPr>
        <c:dLbl>
          <c:idx val="0"/>
          <c:layout>
            <c:manualLayout>
              <c:x val="0.38537313222884839"/>
              <c:y val="-7.6821729897768726E-2"/>
            </c:manualLayout>
          </c:layout>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31754416662829421"/>
                  <c:h val="0.2341097802396144"/>
                </c:manualLayout>
              </c15:layout>
            </c:ext>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7"/>
        <c:spPr>
          <a:solidFill>
            <a:srgbClr val="EE4D2D"/>
          </a:solidFill>
          <a:ln w="19050">
            <a:solidFill>
              <a:schemeClr val="lt1"/>
            </a:solidFill>
          </a:ln>
          <a:effectLst/>
        </c:spPr>
        <c:dLbl>
          <c:idx val="0"/>
          <c:layout>
            <c:manualLayout>
              <c:x val="0.1340848183450753"/>
              <c:y val="0.29496257508174228"/>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3964881582784608"/>
                  <c:h val="0.26150702081255467"/>
                </c:manualLayout>
              </c15:layout>
            </c:ext>
          </c:extLst>
        </c:dLbl>
      </c:pivotFmt>
      <c:pivotFmt>
        <c:idx val="18"/>
        <c:spPr>
          <a:solidFill>
            <a:schemeClr val="accent5"/>
          </a:solidFill>
          <a:ln w="19050">
            <a:solidFill>
              <a:schemeClr val="lt1"/>
            </a:solidFill>
          </a:ln>
          <a:effectLst/>
        </c:spPr>
        <c:dLbl>
          <c:idx val="0"/>
          <c:layout>
            <c:manualLayout>
              <c:x val="-6.1575615741530761E-2"/>
              <c:y val="0.27777777777777779"/>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9"/>
        <c:spPr>
          <a:solidFill>
            <a:srgbClr val="FFFF00"/>
          </a:solidFill>
          <a:ln w="19050">
            <a:solidFill>
              <a:schemeClr val="lt1"/>
            </a:solidFill>
          </a:ln>
          <a:effectLst/>
        </c:spPr>
        <c:dLbl>
          <c:idx val="0"/>
          <c:layout>
            <c:manualLayout>
              <c:x val="-0.17168052135897874"/>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0"/>
        <c:spPr>
          <a:solidFill>
            <a:schemeClr val="accent3"/>
          </a:solidFill>
          <a:ln w="19050">
            <a:solidFill>
              <a:schemeClr val="lt1"/>
            </a:solidFill>
          </a:ln>
          <a:effectLst/>
        </c:spPr>
        <c:dLbl>
          <c:idx val="0"/>
          <c:layout>
            <c:manualLayout>
              <c:x val="0.38537313222884839"/>
              <c:y val="-7.6821729897768726E-2"/>
            </c:manualLayout>
          </c:layout>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31754416662829421"/>
                  <c:h val="0.2341097802396144"/>
                </c:manualLayout>
              </c15:layout>
            </c:ext>
          </c:extLst>
        </c:dLbl>
      </c:pivotFmt>
    </c:pivotFmts>
    <c:plotArea>
      <c:layout/>
      <c:doughnutChart>
        <c:varyColors val="1"/>
        <c:ser>
          <c:idx val="0"/>
          <c:order val="0"/>
          <c:tx>
            <c:strRef>
              <c:f>Pivots!$I$42</c:f>
              <c:strCache>
                <c:ptCount val="1"/>
                <c:pt idx="0">
                  <c:v>Total</c:v>
                </c:pt>
              </c:strCache>
            </c:strRef>
          </c:tx>
          <c:explosion val="1"/>
          <c:dPt>
            <c:idx val="0"/>
            <c:bubble3D val="0"/>
            <c:spPr>
              <a:solidFill>
                <a:srgbClr val="EE4D2D"/>
              </a:solidFill>
              <a:ln w="19050">
                <a:solidFill>
                  <a:schemeClr val="lt1"/>
                </a:solidFill>
              </a:ln>
              <a:effectLst/>
            </c:spPr>
            <c:extLst>
              <c:ext xmlns:c16="http://schemas.microsoft.com/office/drawing/2014/chart" uri="{C3380CC4-5D6E-409C-BE32-E72D297353CC}">
                <c16:uniqueId val="{00000001-DA32-4E0F-9643-62599B7F6729}"/>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DA32-4E0F-9643-62599B7F6729}"/>
              </c:ext>
            </c:extLst>
          </c:dPt>
          <c:dPt>
            <c:idx val="2"/>
            <c:bubble3D val="0"/>
            <c:spPr>
              <a:solidFill>
                <a:srgbClr val="FFFF00"/>
              </a:solidFill>
              <a:ln w="19050">
                <a:solidFill>
                  <a:schemeClr val="lt1"/>
                </a:solidFill>
              </a:ln>
              <a:effectLst/>
            </c:spPr>
            <c:extLst>
              <c:ext xmlns:c16="http://schemas.microsoft.com/office/drawing/2014/chart" uri="{C3380CC4-5D6E-409C-BE32-E72D297353CC}">
                <c16:uniqueId val="{00000005-DA32-4E0F-9643-62599B7F6729}"/>
              </c:ext>
            </c:extLst>
          </c:dPt>
          <c:dPt>
            <c:idx val="3"/>
            <c:bubble3D val="0"/>
            <c:spPr>
              <a:solidFill>
                <a:schemeClr val="accent3"/>
              </a:solidFill>
              <a:ln w="19050">
                <a:solidFill>
                  <a:schemeClr val="lt1"/>
                </a:solidFill>
              </a:ln>
              <a:effectLst/>
            </c:spPr>
            <c:extLst>
              <c:ext xmlns:c16="http://schemas.microsoft.com/office/drawing/2014/chart" uri="{C3380CC4-5D6E-409C-BE32-E72D297353CC}">
                <c16:uniqueId val="{00000007-DA32-4E0F-9643-62599B7F6729}"/>
              </c:ext>
            </c:extLst>
          </c:dPt>
          <c:dLbls>
            <c:dLbl>
              <c:idx val="0"/>
              <c:layout>
                <c:manualLayout>
                  <c:x val="0.1340848183450753"/>
                  <c:y val="0.29496257508174228"/>
                </c:manualLayout>
              </c:layout>
              <c:showLegendKey val="0"/>
              <c:showVal val="1"/>
              <c:showCatName val="1"/>
              <c:showSerName val="0"/>
              <c:showPercent val="0"/>
              <c:showBubbleSize val="0"/>
              <c:extLst>
                <c:ext xmlns:c15="http://schemas.microsoft.com/office/drawing/2012/chart" uri="{CE6537A1-D6FC-4f65-9D91-7224C49458BB}">
                  <c15:layout>
                    <c:manualLayout>
                      <c:w val="0.23964881582784608"/>
                      <c:h val="0.26150702081255467"/>
                    </c:manualLayout>
                  </c15:layout>
                </c:ext>
                <c:ext xmlns:c16="http://schemas.microsoft.com/office/drawing/2014/chart" uri="{C3380CC4-5D6E-409C-BE32-E72D297353CC}">
                  <c16:uniqueId val="{00000001-DA32-4E0F-9643-62599B7F6729}"/>
                </c:ext>
              </c:extLst>
            </c:dLbl>
            <c:dLbl>
              <c:idx val="1"/>
              <c:layout>
                <c:manualLayout>
                  <c:x val="-6.1575615741530761E-2"/>
                  <c:y val="0.2777777777777777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A32-4E0F-9643-62599B7F6729}"/>
                </c:ext>
              </c:extLst>
            </c:dLbl>
            <c:dLbl>
              <c:idx val="2"/>
              <c:layout>
                <c:manualLayout>
                  <c:x val="-0.17168052135897874"/>
                  <c:y val="-7.870370370370370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A32-4E0F-9643-62599B7F6729}"/>
                </c:ext>
              </c:extLst>
            </c:dLbl>
            <c:dLbl>
              <c:idx val="3"/>
              <c:layout>
                <c:manualLayout>
                  <c:x val="0.38537313222884839"/>
                  <c:y val="-7.6821729897768726E-2"/>
                </c:manualLayout>
              </c:layout>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31754416662829421"/>
                      <c:h val="0.2341097802396144"/>
                    </c:manualLayout>
                  </c15:layout>
                </c:ext>
                <c:ext xmlns:c16="http://schemas.microsoft.com/office/drawing/2014/chart" uri="{C3380CC4-5D6E-409C-BE32-E72D297353CC}">
                  <c16:uniqueId val="{00000007-DA32-4E0F-9643-62599B7F6729}"/>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Pivots!$H$43:$H$47</c:f>
              <c:strCache>
                <c:ptCount val="4"/>
                <c:pt idx="0">
                  <c:v>Female</c:v>
                </c:pt>
                <c:pt idx="1">
                  <c:v>Male</c:v>
                </c:pt>
                <c:pt idx="2">
                  <c:v>Other</c:v>
                </c:pt>
                <c:pt idx="3">
                  <c:v>Unknown</c:v>
                </c:pt>
              </c:strCache>
            </c:strRef>
          </c:cat>
          <c:val>
            <c:numRef>
              <c:f>Pivots!$I$43:$I$47</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DA32-4E0F-9643-62599B7F6729}"/>
            </c:ext>
          </c:extLst>
        </c:ser>
        <c:dLbls>
          <c:showLegendKey val="0"/>
          <c:showVal val="1"/>
          <c:showCatName val="0"/>
          <c:showSerName val="0"/>
          <c:showPercent val="0"/>
          <c:showBubbleSize val="0"/>
          <c:showLeaderLines val="1"/>
        </c:dLbls>
        <c:firstSliceAng val="0"/>
        <c:holeSize val="68"/>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[Shoppe_Project.xlsx]Pivots!Shipping Duration</c:name>
    <c:fmtId val="6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How long we take to ship the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Pivots!$B$108</c:f>
              <c:strCache>
                <c:ptCount val="1"/>
                <c:pt idx="0">
                  <c:v>Total</c:v>
                </c:pt>
              </c:strCache>
            </c:strRef>
          </c:tx>
          <c:spPr>
            <a:solidFill>
              <a:schemeClr val="accent5"/>
            </a:solidFill>
            <a:ln>
              <a:noFill/>
            </a:ln>
            <a:effectLst/>
          </c:spPr>
          <c:invertIfNegative val="0"/>
          <c:cat>
            <c:strRef>
              <c:f>Pivots!$A$109:$A$124</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Pivots!$B$109:$B$124</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020A-41F0-9053-99BF907D8D6E}"/>
            </c:ext>
          </c:extLst>
        </c:ser>
        <c:dLbls>
          <c:showLegendKey val="0"/>
          <c:showVal val="0"/>
          <c:showCatName val="0"/>
          <c:showSerName val="0"/>
          <c:showPercent val="0"/>
          <c:showBubbleSize val="0"/>
        </c:dLbls>
        <c:gapWidth val="20"/>
        <c:overlap val="100"/>
        <c:axId val="2118667711"/>
        <c:axId val="2118672991"/>
      </c:barChart>
      <c:catAx>
        <c:axId val="2118667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672991"/>
        <c:crosses val="autoZero"/>
        <c:auto val="1"/>
        <c:lblAlgn val="ctr"/>
        <c:lblOffset val="100"/>
        <c:noMultiLvlLbl val="0"/>
      </c:catAx>
      <c:valAx>
        <c:axId val="2118672991"/>
        <c:scaling>
          <c:orientation val="minMax"/>
        </c:scaling>
        <c:delete val="0"/>
        <c:axPos val="l"/>
        <c:majorGridlines>
          <c:spPr>
            <a:ln w="9525" cap="flat" cmpd="sng" algn="ctr">
              <a:solidFill>
                <a:schemeClr val="tx1">
                  <a:lumMod val="15000"/>
                  <a:lumOff val="85000"/>
                </a:schemeClr>
              </a:solidFill>
              <a:prstDash val="sysDot"/>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667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[Shoppe_Project.xlsx]Pivots!Rating</c:name>
    <c:fmtId val="6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How happy are our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60000"/>
              <a:lumOff val="40000"/>
            </a:schemeClr>
          </a:solidFill>
          <a:ln>
            <a:noFill/>
          </a:ln>
          <a:effectLst/>
        </c:spPr>
        <c:marker>
          <c:symbol val="none"/>
        </c:marker>
      </c:pivotFmt>
      <c:pivotFmt>
        <c:idx val="1"/>
        <c:spPr>
          <a:solidFill>
            <a:schemeClr val="accent6">
              <a:lumMod val="40000"/>
              <a:lumOff val="60000"/>
            </a:schemeClr>
          </a:solidFill>
          <a:ln>
            <a:noFill/>
          </a:ln>
          <a:effectLst/>
        </c:spPr>
        <c:marker>
          <c:symbol val="none"/>
        </c:marker>
      </c:pivotFmt>
      <c:pivotFmt>
        <c:idx val="2"/>
        <c:spPr>
          <a:solidFill>
            <a:schemeClr val="accent5">
              <a:lumMod val="40000"/>
              <a:lumOff val="60000"/>
            </a:schemeClr>
          </a:solidFill>
          <a:ln>
            <a:noFill/>
          </a:ln>
          <a:effectLst/>
        </c:spPr>
        <c:marker>
          <c:symbol val="none"/>
        </c:marker>
      </c:pivotFmt>
      <c:pivotFmt>
        <c:idx val="3"/>
        <c:spPr>
          <a:solidFill>
            <a:schemeClr val="accent6"/>
          </a:solidFill>
          <a:ln>
            <a:noFill/>
          </a:ln>
          <a:effectLst/>
        </c:spPr>
        <c:marker>
          <c:symbol val="none"/>
        </c:marker>
      </c:pivotFmt>
      <c:pivotFmt>
        <c:idx val="4"/>
        <c:spPr>
          <a:solidFill>
            <a:schemeClr val="accent5"/>
          </a:solidFill>
          <a:ln>
            <a:noFill/>
          </a:ln>
          <a:effectLst/>
        </c:spPr>
        <c:marker>
          <c:symbol val="none"/>
        </c:marker>
      </c:pivotFmt>
      <c:pivotFmt>
        <c:idx val="5"/>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Pivots!$F$108:$F$109</c:f>
              <c:strCache>
                <c:ptCount val="1"/>
                <c:pt idx="0">
                  <c:v>1</c:v>
                </c:pt>
              </c:strCache>
            </c:strRef>
          </c:tx>
          <c:spPr>
            <a:solidFill>
              <a:schemeClr val="accent5">
                <a:lumMod val="60000"/>
                <a:lumOff val="40000"/>
              </a:schemeClr>
            </a:solidFill>
            <a:ln>
              <a:noFill/>
            </a:ln>
            <a:effectLst/>
          </c:spPr>
          <c:invertIfNegative val="0"/>
          <c:cat>
            <c:strRef>
              <c:f>Pivots!$E$110:$E$113</c:f>
              <c:strCache>
                <c:ptCount val="3"/>
                <c:pt idx="0">
                  <c:v>Jan</c:v>
                </c:pt>
                <c:pt idx="1">
                  <c:v>Feb</c:v>
                </c:pt>
                <c:pt idx="2">
                  <c:v>Mar</c:v>
                </c:pt>
              </c:strCache>
            </c:strRef>
          </c:cat>
          <c:val>
            <c:numRef>
              <c:f>Pivots!$F$110:$F$113</c:f>
              <c:numCache>
                <c:formatCode>General</c:formatCode>
                <c:ptCount val="3"/>
                <c:pt idx="0">
                  <c:v>7</c:v>
                </c:pt>
                <c:pt idx="1">
                  <c:v>8</c:v>
                </c:pt>
                <c:pt idx="2">
                  <c:v>6</c:v>
                </c:pt>
              </c:numCache>
            </c:numRef>
          </c:val>
          <c:extLst>
            <c:ext xmlns:c16="http://schemas.microsoft.com/office/drawing/2014/chart" uri="{C3380CC4-5D6E-409C-BE32-E72D297353CC}">
              <c16:uniqueId val="{00000000-C1FA-4D4F-A159-0EA47631D1C5}"/>
            </c:ext>
          </c:extLst>
        </c:ser>
        <c:ser>
          <c:idx val="1"/>
          <c:order val="1"/>
          <c:tx>
            <c:strRef>
              <c:f>Pivots!$G$108:$G$109</c:f>
              <c:strCache>
                <c:ptCount val="1"/>
                <c:pt idx="0">
                  <c:v>2</c:v>
                </c:pt>
              </c:strCache>
            </c:strRef>
          </c:tx>
          <c:spPr>
            <a:solidFill>
              <a:schemeClr val="accent6">
                <a:lumMod val="40000"/>
                <a:lumOff val="60000"/>
              </a:schemeClr>
            </a:solidFill>
            <a:ln>
              <a:noFill/>
            </a:ln>
            <a:effectLst/>
          </c:spPr>
          <c:invertIfNegative val="0"/>
          <c:cat>
            <c:strRef>
              <c:f>Pivots!$E$110:$E$113</c:f>
              <c:strCache>
                <c:ptCount val="3"/>
                <c:pt idx="0">
                  <c:v>Jan</c:v>
                </c:pt>
                <c:pt idx="1">
                  <c:v>Feb</c:v>
                </c:pt>
                <c:pt idx="2">
                  <c:v>Mar</c:v>
                </c:pt>
              </c:strCache>
            </c:strRef>
          </c:cat>
          <c:val>
            <c:numRef>
              <c:f>Pivots!$G$110:$G$113</c:f>
              <c:numCache>
                <c:formatCode>General</c:formatCode>
                <c:ptCount val="3"/>
                <c:pt idx="0">
                  <c:v>37</c:v>
                </c:pt>
                <c:pt idx="1">
                  <c:v>51</c:v>
                </c:pt>
                <c:pt idx="2">
                  <c:v>39</c:v>
                </c:pt>
              </c:numCache>
            </c:numRef>
          </c:val>
          <c:extLst>
            <c:ext xmlns:c16="http://schemas.microsoft.com/office/drawing/2014/chart" uri="{C3380CC4-5D6E-409C-BE32-E72D297353CC}">
              <c16:uniqueId val="{00000001-C1FA-4D4F-A159-0EA47631D1C5}"/>
            </c:ext>
          </c:extLst>
        </c:ser>
        <c:ser>
          <c:idx val="2"/>
          <c:order val="2"/>
          <c:tx>
            <c:strRef>
              <c:f>Pivots!$H$108:$H$109</c:f>
              <c:strCache>
                <c:ptCount val="1"/>
                <c:pt idx="0">
                  <c:v>3</c:v>
                </c:pt>
              </c:strCache>
            </c:strRef>
          </c:tx>
          <c:spPr>
            <a:solidFill>
              <a:schemeClr val="accent5">
                <a:lumMod val="40000"/>
                <a:lumOff val="60000"/>
              </a:schemeClr>
            </a:solidFill>
            <a:ln>
              <a:noFill/>
            </a:ln>
            <a:effectLst/>
          </c:spPr>
          <c:invertIfNegative val="0"/>
          <c:cat>
            <c:strRef>
              <c:f>Pivots!$E$110:$E$113</c:f>
              <c:strCache>
                <c:ptCount val="3"/>
                <c:pt idx="0">
                  <c:v>Jan</c:v>
                </c:pt>
                <c:pt idx="1">
                  <c:v>Feb</c:v>
                </c:pt>
                <c:pt idx="2">
                  <c:v>Mar</c:v>
                </c:pt>
              </c:strCache>
            </c:strRef>
          </c:cat>
          <c:val>
            <c:numRef>
              <c:f>Pivots!$H$110:$H$113</c:f>
              <c:numCache>
                <c:formatCode>General</c:formatCode>
                <c:ptCount val="3"/>
                <c:pt idx="0">
                  <c:v>150</c:v>
                </c:pt>
                <c:pt idx="1">
                  <c:v>182</c:v>
                </c:pt>
                <c:pt idx="2">
                  <c:v>163</c:v>
                </c:pt>
              </c:numCache>
            </c:numRef>
          </c:val>
          <c:extLst>
            <c:ext xmlns:c16="http://schemas.microsoft.com/office/drawing/2014/chart" uri="{C3380CC4-5D6E-409C-BE32-E72D297353CC}">
              <c16:uniqueId val="{00000002-C1FA-4D4F-A159-0EA47631D1C5}"/>
            </c:ext>
          </c:extLst>
        </c:ser>
        <c:ser>
          <c:idx val="3"/>
          <c:order val="3"/>
          <c:tx>
            <c:strRef>
              <c:f>Pivots!$I$108:$I$109</c:f>
              <c:strCache>
                <c:ptCount val="1"/>
                <c:pt idx="0">
                  <c:v>4</c:v>
                </c:pt>
              </c:strCache>
            </c:strRef>
          </c:tx>
          <c:spPr>
            <a:solidFill>
              <a:schemeClr val="accent6"/>
            </a:solidFill>
            <a:ln>
              <a:noFill/>
            </a:ln>
            <a:effectLst/>
          </c:spPr>
          <c:invertIfNegative val="0"/>
          <c:cat>
            <c:strRef>
              <c:f>Pivots!$E$110:$E$113</c:f>
              <c:strCache>
                <c:ptCount val="3"/>
                <c:pt idx="0">
                  <c:v>Jan</c:v>
                </c:pt>
                <c:pt idx="1">
                  <c:v>Feb</c:v>
                </c:pt>
                <c:pt idx="2">
                  <c:v>Mar</c:v>
                </c:pt>
              </c:strCache>
            </c:strRef>
          </c:cat>
          <c:val>
            <c:numRef>
              <c:f>Pivots!$I$110:$I$113</c:f>
              <c:numCache>
                <c:formatCode>General</c:formatCode>
                <c:ptCount val="3"/>
                <c:pt idx="0">
                  <c:v>312</c:v>
                </c:pt>
                <c:pt idx="1">
                  <c:v>373</c:v>
                </c:pt>
                <c:pt idx="2">
                  <c:v>351</c:v>
                </c:pt>
              </c:numCache>
            </c:numRef>
          </c:val>
          <c:extLst>
            <c:ext xmlns:c16="http://schemas.microsoft.com/office/drawing/2014/chart" uri="{C3380CC4-5D6E-409C-BE32-E72D297353CC}">
              <c16:uniqueId val="{00000003-C1FA-4D4F-A159-0EA47631D1C5}"/>
            </c:ext>
          </c:extLst>
        </c:ser>
        <c:ser>
          <c:idx val="4"/>
          <c:order val="4"/>
          <c:tx>
            <c:strRef>
              <c:f>Pivots!$J$108:$J$109</c:f>
              <c:strCache>
                <c:ptCount val="1"/>
                <c:pt idx="0">
                  <c:v>5</c:v>
                </c:pt>
              </c:strCache>
            </c:strRef>
          </c:tx>
          <c:spPr>
            <a:solidFill>
              <a:schemeClr val="accent5"/>
            </a:solidFill>
            <a:ln>
              <a:noFill/>
            </a:ln>
            <a:effectLst/>
          </c:spPr>
          <c:invertIfNegative val="0"/>
          <c:cat>
            <c:strRef>
              <c:f>Pivots!$E$110:$E$113</c:f>
              <c:strCache>
                <c:ptCount val="3"/>
                <c:pt idx="0">
                  <c:v>Jan</c:v>
                </c:pt>
                <c:pt idx="1">
                  <c:v>Feb</c:v>
                </c:pt>
                <c:pt idx="2">
                  <c:v>Mar</c:v>
                </c:pt>
              </c:strCache>
            </c:strRef>
          </c:cat>
          <c:val>
            <c:numRef>
              <c:f>Pivots!$J$110:$J$113</c:f>
              <c:numCache>
                <c:formatCode>General</c:formatCode>
                <c:ptCount val="3"/>
                <c:pt idx="0">
                  <c:v>224</c:v>
                </c:pt>
                <c:pt idx="1">
                  <c:v>247</c:v>
                </c:pt>
                <c:pt idx="2">
                  <c:v>250</c:v>
                </c:pt>
              </c:numCache>
            </c:numRef>
          </c:val>
          <c:extLst>
            <c:ext xmlns:c16="http://schemas.microsoft.com/office/drawing/2014/chart" uri="{C3380CC4-5D6E-409C-BE32-E72D297353CC}">
              <c16:uniqueId val="{00000001-69DA-4B9E-81E1-96E0FDA745A8}"/>
            </c:ext>
          </c:extLst>
        </c:ser>
        <c:dLbls>
          <c:showLegendKey val="0"/>
          <c:showVal val="0"/>
          <c:showCatName val="0"/>
          <c:showSerName val="0"/>
          <c:showPercent val="0"/>
          <c:showBubbleSize val="0"/>
        </c:dLbls>
        <c:gapWidth val="219"/>
        <c:overlap val="-27"/>
        <c:axId val="524570463"/>
        <c:axId val="524590623"/>
      </c:barChart>
      <c:catAx>
        <c:axId val="524570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590623"/>
        <c:crosses val="autoZero"/>
        <c:auto val="1"/>
        <c:lblAlgn val="ctr"/>
        <c:lblOffset val="100"/>
        <c:noMultiLvlLbl val="0"/>
      </c:catAx>
      <c:valAx>
        <c:axId val="5245906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570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Where do our customers live?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Where do our customers live?</a:t>
          </a:r>
        </a:p>
      </cx:txPr>
    </cx:title>
    <cx:plotArea>
      <cx:plotAreaRegion>
        <cx:series layoutId="regionMap" uniqueId="{81EF685B-38AD-416A-919C-62005F7F0027}">
          <cx:tx>
            <cx:txData>
              <cx:f>_xlchart.v5.2</cx:f>
              <cx:v>Qty</cx:v>
            </cx:txData>
          </cx:tx>
          <cx:dataId val="0"/>
          <cx:layoutPr>
            <cx:geography cultureLanguage="en-US" cultureRegion="IN" attribution="Powered by Bing">
              <cx:geoCache provider="{E9337A44-BEBE-4D9F-B70C-5C5E7DAFC167}">
                <cx:binary>7H1pb9xGuu5fEfz5UinWyhpMDjDshZJly46XOM4XQpEV7vvOX38eSpbTze40o8RzcQVczyCZEU2+
9e576d+3/b9u47ub8qxP4rT6123/4wu/rvN//fBDdevfJTfVeRLcllmV/V6f32bJD9nvvwe3dz98
KW+6IPV+oMTkP9z6N2V917/4n3/ja95d9iq7vamDLP2puSuHd3dVE9fViWdHH53dfEmCdB1UdRnc
1uaPL/5ze+e/OLtL66AePgz53Y8v9v7Gi7Mf5t85gHkW41h18wXv8nMmLcEtS+qHP+rFWZyl3tfH
Wp0TKqjWRJH7P+wR9PVNgteXDnN/lJsvX8q7qgIm9/9+fGvv2PjhyjBfnN1mTVpPxPJAtx9fXKZf
svSuCm5enAVVtnp4uMqmk1+u71H9YZ/U//Pv2Q+A/OwnO9yYU2rp0QEz7Js4eKTIP2eGYZ1TqkyQ
m33lBsi9ww3TFOemxn8Up49QH/iwdI7jfHh4a8YH+z8GxdefHSNSL7o5s+9iSG7qPVLnO/CEnisi
KBRE7POCyHMmLCHw4F4zILwPSvnIkelAxuOBzi6r+Cb9Uj3+pWMH+zMm/cmH5nyzn6H+vG+Sm/qu
vDl7fwebdJOeIs/TDJtBz7VlWZSzr5aLgEG7ukT4uRKwfeZMld5nTe2f3R+shNn5c0N7nF2z12dM
mj19fkpW331PHslzzgWzCCVHvY8JHTOZEkJp65ET37Rr4STHuWPfpPfvzdhif3iONu/qLm/im+Ym
PQNa/9/6Qb+fmz7dgW1N3DzK9jGn8ESrx86VptQSiBK+/plZPXpOJWUWFV9V7hH2V736Cyf6E836
9uZct749eGbcWV9+PvucecNNhKj+pCd4Io8UeGSZTIv9WNs0CYJxpYhEAHj/Z5837/O72+AmPnuI
jc+y3//i6Y7z6/TXZjz8/OY52sf11eXZy+/OPbgkJTgRhD1kRGQWo8NnWQjilclmudIjxVc3eVDv
8fEvHPI0E098csbJl1fPkZNOVmYpaJY9asQ/t5TkXJmWNBVTX5VNz7SR0nMuEN5rqo/F93/pSMe5
tvPqjDvOG2OSmmdmKL8F8R/rm9Mh89MMJUWyS5kwrUdfhiBwJ4LX+pxZJjWVlg+aiABgNwO7zsp/
EsjPXp9x6v3HZ5htvbxJfvue5QrzHK5KohxBv5pCcGCHQSZh55IoZREu91mzeJDjivP1tRkrvv70
mSnNy5sO5QroS/1Imn9u0wy4HguRH3lUmClt2mOIOpeccEX5TFc+3VU1fGV7Msw5zpSdV+eMsZ+j
r7lnzAcErTffscxqqHNGGMiOuPubsdrlDGI/Qjg/rOytYNJKRAt/jzn7b8/58yyz3gf+BElTfkfF
gV5opdijJyEERaE99iAY0CY3pZ4FdZubv604O6/OGXP5HBXnCrXwBPWV+3rE97VrBGUgiqz1sUmB
kG3GH/OcaGlpxo4Ztj9OdkpkTpi33Q/MeHX1HMuuf+Dz3ym8ogAhra9R2aEuifOpJqtMfrQE8f6+
/vrHCZ/OssMvzHn2/jmG2X+Q5Oy7uycT5k0Li82L5CY7R/rDqDUvwD46lj8O9XQ+HfvGnFPP0kX9
QZSzD9/XUSFrtSwOP/WQkyKUmFUfTHmOKENr1JEeGfJQ2bv3Nn8c7PHhsaDzuCE8+MCcVZfPXKm+
c/bK0DlHgxAR3cxVgUOET55qxqGHhPOfsOjwC3MefXyOPLpuqpt7k+chXfruOZMFldKTwxJfC0Gz
JNZU5yZHocgUD43EYwHG3gmfrlr3KdTsGzPOXdvPkXN/dKjeBTffs82BgFBwZfFHnh0EhOjuCoug
dyhnWjYd5O834/ffnvHo6t0zrAm9ukny5rsOTPBzTEUIwsnjEAuKP7u5FBGwjIpqpY8q1F840HEH
9e3FGVte/ecZsuX1TdxE31Nj2LlpWhZT5mNtaFYaovqcUxTrJJspzPJJjrPj8b0ZN17/x+DwiM+s
Wvd9zRc5F2jCcsH/yGdnKoJ4XMDhoFP76E0eorilcxxnxcNbM0Y8/PCZ8eFBqM6+c6hGziUyH2qK
x5YemcVsVJ1rFLnpfX502GN4FPWnzgo9xGuPb8/48/rjc1SUvSjme2c/mI9EmCaVNfMoFAzU+Clq
Cg8x3L7S3Gcuewd7fP7E7Gf2jRnDrj88xxDt7U3enKz6P61nh7E7rqZSqXrMUGfhNLPOicUxcmzO
TNviQY7btq+vzXjx9ll6mXtcvnuCQ6d4jAmBCs/XP/vOhjGwDJ3UbzNDj9rx4HLuk5O/yZzdd+cc
sp+jeXuPgbsO8+j/hbIpeqWcS1iweetBn2uOWQVUDPYZ81DmfDzR47O/btLm788Y9P76OZqzR3L8
F0IEJDXodT/qkJ77II4OBJZAwKdHVjzoz+McwYPgPD7762yavz9n07O0dN/Y9F+oZKNHh5kDCTbs
Zp2IESxiWYKZmOPfDeEeq9CPR3p8+tc5dPiFOY+eZWTwSJBvpbdTlHlilMDO4Y6mVPRP2uHUPFcU
gz1y3s+7N1p3U9P18XinTnU8ZDj2jTnHnOdp/L5uU3zvuRIkrJhpnLZgvk4vzNsOBBE4Bh4Zlw9d
v2NF0r+9UnEfRXx7e8ap/Ye3/2+vj/358XZTx72/9cR9PoNg7YVgksH8xqpZLmtyVIJMhp2mr/W5
RwV6cFc7G3d/fqbjerXz6h4K/xfW+P58xe/b8uMa+0Wb+63JnS2/00/v0cQe5+zVvZ2gPUwfSXn5
5ccXIPIO76ZP7LmdHWI90PnbO5N1w+scIw0mgj4oncC+n4mJB0SeeKJRP8WsuClR/laEYaToxVk6
zTr++EKcY1GTTuuahElikqn3VE399B9fGCa+B8HAQ04Uer3o6D7i9zaLBy9LvxHj6/8/S5vkbRak
dQWgL87yh781nVNZCns7GOujxELMQ5A94PntzTuswuIvm/9HlBZ3RaPFNknq2lpL02t8m466i6+6
3MyTbWX4pL/uzC5ILgqfJMbKqmNvXO3Q7MgxTHLkHFjx0oi9GFHAef8cviJhn7sN37YsVtTxo6xL
r4lso97WQUF+H9IkKOzCrePbkWkcSAxBtiZx4b8/fRKEf/sEUcixMOE1eS1QxkIUv0uQnnq6KvqK
b2mR3RrYeLqNRdR9NtLa3DQ67BcQP6A/wE1DFJpIC4VdBRnYBedSy6jrqOdbv1b0OgoVv/JpMQZ2
R3x2bZC+1asoMsbfVGqKC8ld66fT+EKSDvBV6GGaHCtcAnXj/QNU1I9lwTu+5VWstzpu4nfcqxLn
b0BBoRSjCZgWue+l7qKpWNpYQ2eCqnGZfcpk7G68uA5fn4YyEWtPmNEmwmAetRgFNcm0l7ELJYPw
el5XsG3WVdXLjlTDqiGxXPV93dinQR2STaKbKIGLENjTUTMxqXQ4jJnmdNvVcXQlykpeBSEJPpyG
cogQaDWtNnJpTZsmk9bsaGfambluS6PddiqsNzIj6mVt8NZ2myj+fBrUAUKamRxGRTEm8V85A1V4
XmTEojK20ZCoFcmiZEX6XC2Q7QAhDdZIiXFwjSQZMr+PEBv1IESm3G01BEa2Kf0iCuyxsjJ/NQSW
+eWpOAkkcpSZUmLVQ9MJ5x3yeWFg6Vaa7jZsUu6v2sLLuhXr6vrj0+FglURRwCKoPs/kru3LTDZN
6W5z7Sc/WSSmtuIR+fTPoMxoVypReDyv3G1jFM1lFolh2xZh8kQOwQ+oiWoSxogIzmZQCj9ktI3S
bquSfHjttVG7akae/uz5ZX55GqG5MADUNFaBETMLo8zEmp7vsCdMvSQKy7rbVm5C7d4z4sIuSUN+
URbsxQJebG5pJ2jcFARooSNjyZkwJImqfZ/U/TYdWcC2lZ+Fru0r4V5FrG3Sn7ksSbie/sFfhonv
0ite5aK9brq4TFbMb0y2tqqxI3bgkqa3w2rMP3HeNu1Khnna/IyLD7LifWVF2rdVHanGTsyoGGwu
unzcMBXnP2WJEVjrkuu8vqwLFXw2aVp1Dq85sVZN2ZT9tktGM70K8ly7lwmppDP6QjdOrjozueyk
UTedHbWkLC4GGqU/U9KWr6RZprUd18zor57KIkoYw96uhPFB6XEm2U3j0tBLSLdN3JDZRc/YmheB
te3DuF5g0PSpXeM9bQ8j4Yf1hv8XALgvDYNh+alHebeNCtO4amug7rbFuE3T0nhLciu7MjBQ9e7J
+CECg7dglGGifoqzdkUQwz1Fn/nVsJWRQTaB12StTbhrXqgmT/wFDA/lncLE3mfKmHFl02zyLrDK
q1IfJO63Q9I3q97t+suJDjZrQmv9ZLwwCkOw8wRLOzncGaiImtIrvGE7GNp3wjyJPsuuTy66uGK/
ngY1GYQZ3xjmNzC2K4lFydxxENdrWZv3/dYQYbfWQ6xf5p0aL4I0oa8yYvSfdGM1mU2H0HiyAaEM
lkpMk3QWYuVZ0Bi2eaysJO23ZRKSaM2yMI9XVlUM46rVSdduTmN6yD+owuSQgS/V9z3EXf4Vli5p
1rRkm9Y53TBf/lSOPlsnUZosQJrEbp+mjFnwj4jIkB7AQO6zT1pBEElXj1vaiC9VLdxtbQzRk3Ub
QIAITLCcsoCZOCIIl7UeMrLNgty3i1LWF7rxm5VHGvXEIBMTPHugZrqdVTL3giEh27w1ud1bfu70
2pRPFgdAQXSBCobQlpKzUBZ+ObFIbY3bcUgKm4m6cWI/z23Xl9kC7Y4wiGPPw0R+hnIJZHCfQVVu
hKNZBGRrasE2aSMHO+eFWNDieS4Csk2rCpiyQSwrkOvvQ9GlUZMK9nJLwzDN7FZ2jNppToLfSnOo
NmwYjWAB5BEZn8ZOUc+zKCXQrH2Q8CaSJIUkW6uiHz0jqK9U7P9KVVU+nVlIOxEF4loIE/I3AySS
ofKitCFbmQbDh3bwmpftWPvOoPxhQZuO4IQAg0A0oLOmJWbaxFkXRuNIhy33QldfeL7KqdOLulR2
xpjbX5w2E9PJZ8qLPI5KUyI3sLBgvE/CpLGMLMnEiDhN96uiLD7XXSYX8sYjorEHZG764E0DZo2w
EKbfRbbOCnNd+P3KaIbxAyujdEEuzONYadwwhXVAMG1GxLTKx6JUdNyWrCpj203jrtu4oh17uzB9
2axYkgprNcQNhe7l6P6vAu7n0UqpIn7vmiS64kGTdRsCRrm/DrzMPz+V7oiSMGmDiTVkZXqeSg/M
C6wcwda2CjvfCar8F8l6tkD3QzJM2w4QJIUhBQp7s8/c0vDyLBRRv+UWKX5NXOV+wI+CBSiH3IVp
QTgkcPONBXgzKKYRI5b0jW47qDiw+7G/Dof8i5uMvyufLPhvdhQY4g6sUVPJ5f3znTDcHHgREd/r
tmVqee0mC2hjrKIkzMbrnjZ8tFs/yTonz6sku8iGXGav+qQtXpekNOhbL4vy+DpRpZb1qjFY2V55
UVaUtpG6ulr1jTcktiwFTzYNEdADnVh5fxlCWoYLlo69WNeSBNQpmcjfR4TXbwhKA2ayMnJff4iK
CEGH7Xdx2r8M62BM1yOJgvYLLWVuWHYSFeUtEoyc2QEsaWsj6AnficaL6JOtCEe5FVSCecTYA53I
uEMmrxqaLFYcIZXF4w3z3HDVBFyvKCdLoA6FDHEfkn64lmkJdF5cyAtlwLkU3VZnae8MQ0vXhQjE
Qjh6UHOzEKwRipkBgNAcjmwfI5rx0Msb1m4rFf6WdGP/hXZVspWeNlbBMOavvGbIXlV1Nq4M2tM3
KUkXD3FomzGSPbVbMUiCU5CZpHeKNZGXF+027oPY9kLdfPJbxexausH1U+0DypwocQoUXSd0Z3Y5
krpIkiptt5I3jU0yBN2jp4cFQ3kEIfhNuH2Mz6BHOd1KtSsmnJVGGhZACJlTaodipO/GEbkTDQv6
8jRCx0EJBPgKUYIW0/MdiSRGVNVeXgFU2MbvvDho7SmT/UyMLvw7WEmKaUcp4UrvvcMOKEuZnZEH
ebstqqByMjkkv+RUiGvpmUm0IJeHiSD4hPEwjd6vhQWLSTt2YJE+tFwtGsDSehOYwbaJrPe6dt8I
n2a2irm7APAYHSfDpyxkRUhkZnQclWoGLSeAGfHWML3xJiW8v0iRzD2ZjqivoVqIAjNciKIzt10E
vBhSk7bb2ndD24qL0E6ErzZJ3o/b09KhQab9MMSiqE8iIkZpBfeYTM93yKhL1fh50dMtqUZl2J0o
i2LTIyoubNIUhWHDv2XMDukQXA/maNEVtfg4PLEki149xcV6UHIL0y84z/4pxppzg1o4BStG07Nd
Yxxta6jrS1917QJxJ8GYY4xyOkYIoeBIH2aCI/vYq7uUsK2qgU3CYtMmhh9tTtP1UFosrNGhZTOV
K2CbZ9KSVnFcGUFOt3ooP+gmLi/8FE5aCe05pyEdw0fzyZKgGCegd/u0G0Tt52Vf021vxs3bWFZi
5cVWsCAnR6DgFil0nwTlaAdNVzzsyomZMssQQWlsOWXpyssFdaZK8ZMzQM1QKMcugWkiWxczXxOo
jI1GV3kOGj1JA2uYpNT2jKzLFoh2yB7NJKJviBzuckVRex8dkeQ68oXnO1WaBS9lycNNg39cydGV
C3bj0FABFHIYNM6w8I9obR8UjwrmDsboOaxIKV/lQ4PowKhi1C5xbav5c9OZTeAMPFlE8pBnU/Nv
8trYeEK7Y+bKjD5yNZdB4ISI2ULbT4ugR2I4ZE+VDUShiD8hgGAZqmQzDCMfLi4aE7rNKqPfDCMR
tnKtdiHaPcAGDhkVWYrdcMRKKP7t07GlrRuoCtWOtJfWquZdv+qQ3y+k7Af2EI1c5Ae4KAg35eIG
1pk2IaTUfpiSfltVUd3iEtvatGxJapKuuiRso0sUN7VxV1OeylUe08a0e6FHP3yq1Exd+/vogFGM
a85p2uZ16bZRjHPw5BXavGLdCfk61ubbLo2btdRVtgDxCH05TBaRXFt8irVm9EV1oR4kihWstwqn
HaxuW/fMe/VEayXhZXAHJEqBk0qoGRSZtmYqSSqdJinIOlUFNKLr0gWJPFBvQIGQQOuACIZZZv4k
yEC/RI/CyZvBt8vAUquOll/SODPWp/E5BglbNlNBCdUkxOP7VOuSwkzSAb1oldAvEjHJp0zhauNw
9KwFyZwos+e3gBPsu6nQvjSRvc4scGH4JdVVzBw/48SO+yxY90Kh/5aEw/vEEPKKkaF41efZkysj
95CBG1reMP7zGCFvqrDts4w5tJIxEhvPumiHJF03Ye0ukHNC4gBJJRXiuQlFMUOyt+jIGgJQfmdG
rwfdkVWGntJH3yjil3Jso9vT7DsQeiR9qJ+aICncjhQz9tVjl/JQFMyxmFGvZVslG9aLbMF03RfS
Z2jBAKOagd4puvjTtvau96y8vnUpQz2pdo0yXMk8UmQzWEVT2m2aDMweutRH9BXnOt4SrxDXoxiK
T2PAs+RSJQm1bFjYMViZGAW4zboi8VYDJ1lm9zQSzRsRV+3SzMERyZ5CGJhD5Puw7XT/zIK5LUcb
ljpG0tdO7sb+xneJdyUqbj3V9IALbLoIkSCXha+ccX3QIUR/7KjjGk2M6YKhvpBGRC5P8/oYQihV
ol4Oo8AxxrKPkKJRRU2r4Cj6mKndeIm2U4EiVdAG4cXfADWZN2To1KRzK1chI04CM+eObmm6jlmU
22nADKfT3VPTVZBuWpIR8OQCPaoZUn5blr1LE+7EmRxfFjzgqyg2k4W47BjpMICEKgACQMTNMyhh
lPiwsgZz+NC1dtQpyxbEd9faj40FM3dfT5jrCoJzhObIi4mYd4qGqqk6XYXcCTNZb7tO6k09DuaG
e2a1oWafXhkRy17Jagw/hFk5vMn9LlsrA2bPYGK0kZjxp1slNArgiEFjhDjTdey76msZevBchFkO
pqqCN1z08nNsFP0F3Iy3SkejXnCSR6zg1JgAoSWFuSWzwC2lsVlEXiAcM9JkVY7pdaOMdROY2ToM
gi+nZfWYCcRlSOAfugcYVpmZQN3oxmgNTzg++m9osvvsXR1qdwGlYxKkp9gNORFuvpprRBB16eih
iOgEokyu21FU6xwV4guj9cwFUEcQwqW4iDJMLPnhf82cv6fTNh9agFJxLZ3EiCE7KZMLGcRBWI/7
h9BXRKmISC0gFPsywfMwFkYPa5JGqlxnqus33A+SDyNLssvM5/lVKLOl3uKRGGDquUzVXgTAyJL2
gYoQt+9lZSSdPhrDfB02Tf5bg6NUNun6srwMYytq7X6g7g1R4fj5tKQc4SFSMgycomiFacNpRnFX
DTLRW2GfcMRutEZVP/fz94k0uOMrv9icBjV9amYEcGHuNCsjYAIwDbQPqs/KEdMPQBTctMSmKsZE
rqIarf+rDKM61NaRy3u7DGnz1uJd1TtF3kbe9vQpjpLbgrQi40B+Y03Pd4ojfpZmdTaY0pFDHkV2
GLtNvI7i0X9NTLfL7FIVzTsE6fla9SlbAH6M2mAnbsKauuaocO0DxxBjERoqV05b08qpyry7IIaU
W4ON4QK1j2nMLqiZLFdtW6NWVymnSUu5ImNPbdPj2fo0NY9BsVDWYqgeIIycJ8JBN7YsRRPIUW44
XHAz1pc0pHr1N6AghsAfbPAgV9wnW6C7tLJi8EwnfLisWPjLVLZaUP6jqOwAmXi3IxgdG1U55L10
hM/4loj+PRktb4ErxywM9ovgBabRW6lmXoANmDHl02xP1NWvYL9de4iKV6iK+bbXBTccNwosiNwx
tDTSXwvOF1OYc62joRWUZYrkDHPAwSfU9qNXHbpl6UK4d0yy8UtPpgFadCcPSuyp4QcsDGKACVT/
UiKLtovRNbY+yegCRoegpsVUxJQo82jC5zLnpSxRA4HMpQGCiWmid52gbmWPY/LltNwdhYR4Bc0Y
hGMoKu2LRO/XfZ9EhnAC2hUbmRrGejALta6LdKl5IPGpfeMIpDiGkRD6IUCfZxMxM8ewhyd3hk5W
H3vo2sofTXfdNCbdurIOLv8GaoAEQ4glnoPp7zgrrRGuFMY4IvW7qUO4xiB7d91iInhB5g8l8L6T
hd17jXEGXKC5T0WFtDKJkwyiEcb+BSlyY6XjjKxPI3QUiqYoV2GSjBxolhpzUlYjEAq9aLhoSNK+
LrouXmi8HPow1DhwKZSc0mZECDP9DUPCqqli65gjY7blK7KqO6910jDotnHXslXXV+WqKjt60Zko
Np1G8piUoBXzMKWBCtxEhB0bpWoDlVrVwUbFnblKMU5ok6opXruBWzjWELkLgfuhs9RQMmqZWMxH
Pd+cOcusTLIMyZBwhFViXKjPSBZjKt+LvpQt6lZrjFZYP2Ei0L2u0HVYsimHxnKCjoE5jDTgJo15
x93ExoSl6w7qp8XQXkZalt1l3xU8cdzSF/G6brT8ooYKqdhpOh8RpqnFjyUcJEgYLJj56SiuJOPI
PBxKU2utZe6uSR8t9fqPmBcT+o57qZCFQfsn/He4ycMIixexL5wKqEJwMDNCU26uaF2nC4JzDBRD
Swi7JlAN/D6wfVCtn5UkFhQIhZ3KbZXF6aUe9fjeH/J4wZEehTWFeKhgTtMSM1hBlCARLBPp+C4b
V7ERxa+CDi4vD/ql5ZGjoDB8iBEfTBNDQvfRSo18mo3OpVOUpF9ngiKRLRBeKdQ3FkTimCpMv9sB
9VSEIXy6a36XWaUKdUVZiUinVsNr6nV0TV2PrdrO4h85T/OLImGjHeSLNueYMKJajGgA9UjkQDN6
DsR1aTsgbh55IDZlViROKEmxgN8xKIiGMUqJcjF+o8+MlHGukmBAp8Mx27HbFF1lrbsuWmq4HoWi
URjSqENhQGrmUZFVNH4RC+HEZRi8KTlPXhtmy94/XX0FlBe1E7S2MEqzz6vO8jmHqeaOZ3hY0SBd
sJYRKReM4xHhk0hHIQ5oHT8s9+9KRNrkTGdEhA6NlL9CBhOsFKZ8IQLjk8kGl4bwA7u0iH8xzDYT
AbRRA3SXq9DRWezauvPDLUv7pULtAXMAhXM4OBPBDkzvDApCfAqHpnwHRqm46NQQrvVoRQvVrQOy
AcoUiE6tVMyTzdesvIqStFSD7yDwamO7j936tis8ax0HpHpyY3gChk05JJ1w2gdVl7aLKqxZYSis
cIPsNmmmKnvr90udncMCFyYjQDX0A3Ez5MNt+buykLmy1VEdBU4/VYU/FlaozNwegmIIfzaY9sp1
YtRh8Xuee0rY5pD16UqLmhWbIpN9fyFGlxjbsG9l8GYQOi9+Oa0R0+bifnyJKh/CS9gP+Bn0gmYe
jXRJHRsVhLXok3STsLBL79igSrbWqm/NcuUXoiUfR6hUuc1zYwjfDykJ2Ls67dtu1Zoyrf0Fp3Q4
WaimOQWESxg9g3BNe/27VCvCUCfaCgMHY7pBv27qIm5tnrnu8A4FQ0u+C6yqvS3dRJifYiNsi19y
oXK+8migglcYHw29jeGbrnw5BogLr0yV5UtD7gcRH86Ik7FpiAFlmvnskFFYjZ8JEjheWUfZJnA9
s11Zos37VYrRjfStmSZC2ChUBC3WCECttfI7otcLDJwiy70EAck1yrVw4RhzwAz6zKZRrHwUZdJG
ThZldblOA0i1bTHXjT+7XtOrD2ZPs47hQv8g9GObpkzEN1lGit+KFFOh5ub0eQ4iURwH1VyYA4lZ
GIQv+6yLAmKwyMoih4ohQR9am+lqHF3zjRl4w+u6dvMFYTk0TmjeTp4XEQVa3/NCFYY+Giu34Pu0
Ibw3SW3Gt5D0J9czphYxNtQwyAUtQXdshhbx0X/24wSFU1rbVCfpKg9JvZDB3sfNM2YqTDnxafEW
RT9rBiYLR67qlIQOYkBUFWMZqMEumjYZRpsHJfUuxKA6ayVi1xRXKIXl8SWHotw2aT6mb/qEsvEi
s1qdrzylDKwkUb9J1rRmbbEJDZOD9V1IEm63rFblUqxwqBPo9oJGGOhA+RcZ9j6VBtW4UuRl4gTS
y/RKm94Q2F7iCrJyrRx7LSiiqnZj0NgrNphopXJlsp4bCyJx6EmQt2KyCJ0flPLQ4N8/hkbpmQ+I
a51GDOVFV1a3hfbCl1jUWspEjkg7hpnue7WodaOOvw+pJu0YYp8gcuJWJh+x7emvc5JEHyM6yPXY
pMaCgBwR9um2Bomsh0Pk54XoMUqKvBy9yAmJ77+tB1eMGxmaY/x0LUZtaOraY/UTO1AzvNB/Dr0u
FIkjMEeyGYiUvh2G0fCqD+vx1zaOlqqShywDqwS0C5HTlD5PiO+kPEbNUuryMXOKxoyvezYYGxGj
ZZDqqn6ydKAniL1y7K6hwY6ewT6ojmoI6RhmTiMDfyMHS2DfNBNY9GvD9KmhICYTMF2B6gOzpis0
Zsa58MrWs5Igc0YrrexBNsGmFthsrJFILjiCYxTcBTXp5g4FE8MYB1FGoOCYqlVKu95WHc2hckQs
UPBQ6oEVdjSg4QjYNZ3Z+L5HupDJMnMiERerRsQvI7MtseFomHYUqWEB3KHQT+BwVQLWXRBDTdcz
7WLGqwQ1nCLPnLAOx6uwwjYBMtRqIfw8nH2eeLUDZmY1mhExRY/fXY09pNJfV13o3lj90K5H7hV2
jKbciiFi62xPhsNL3ab1r10SWwu4HuMi+iBIjlFlQA4xw3WIzMZAzxECMwbNm3jAFPxgkPai5Ga+
oOPHQGGAD7dRoOmA4VO2T9bBzzCo6UZT0hi+xcJr6Zglxqzb3tLbp8YEGPDAtBiursc+BrKVfUgF
QVaMolnsjIUs7Nxyo1U8Vi8NgpF+4uZfTkM7hhemrZFBoH0NiDMS6hpNJJkniWO0gq5JMJgXBNdh
XNQt9RdIeEwyd0HNRCaqPeXKzJ/8XQPTP2AMNVm3VRvLBTsynXk/LsCvJZyGGKeyE27DnNksZZaa
JpaXONj19T6g0FD+XuN6ji01qv7KDFu5wLHJLh3Aw7UJ01gy2qtzGo5G6GHlAzTMY5KtDYzJX6rU
Ld9Wmnh3CPHGN6xp25f4bYhioZB6lKToSGBwA+KHMat9WelZEPaNAaksdaNesT7AhSN9B0B/g3XT
LStYUcXMNfru+3DG1BC+wM0izuBXbMWViznUOhwW6DgJwJyOiM1RKkVbZ1pj2odS5hkKsIkCFATN
a1YJ+WGA5r8zzdJE6aEyr5LcagL7tAYcoyFGjxClIgZC33qmb0wMAlvLMnZMAyOUJRqZmxIp9IfT
UI7pGRoSaPQjZ0ewOsMtjjjuBYiAWxq21Y3o4j6+8T0MKr1FtT2I1qehTV+bUxKju6h0cezbwFrs
UxIaQIrAt2KnkzT+iFsp4otIi3Lruln1iSYhdU7DO6IBWANHu38qcqP1P9M4M2kSo/TC2ME8N0ne
F8mQ5Z+MUIfIaeJyTOykNUZ+WbVj6t/UeZgvOdkjTMTsDUrrWMlBbj4PYhEQoVQ2NLGTWYN8ScIq
v+ZptoTmMSiY+kLuiMQG0jKru+GGj4gH4Zg4mCy44diSxW07xpPnyTFCMC1KTfPxGPWezxSyCDfr
iIzCIucRy1fMtehLpFlutqDTRyQScAAF1UoUNOZzJxlDicXHcLUTkSpe9XSgV1FAtV0FRXR5WjyO
0o3jAhbkGRiSmAd2SHIN5Vdd4niKYawszDLs7+PGlMy7+BuA8EufYYSx1YaV332574c0t3gILauy
wt0YXuq9xhpg+9PToWBNEpE3wgHctzSzughg4wEDp7C6GKdZ1X74v5yd2ZLbRpBFvwgR2JdXgCRI
dasltxbLekHIso193/H1c0qeiWmCCCJo228KK1morKyszHtvVqdCs/Z6mVsfTfAK4GIQFMkcr9dC
2aAtNJlbJR7y6MUIwcoDzRvHdif+bcQKUX5VIKXqNDLXTY0aKouSSHLhU3lvD7ms18Mh1vUq8sKp
4iUz6/TLdhK3rbWhGEH3mcYzi1t9Qb2t7TGtyB5bSZXhOMbjMY1T/fT4PvHXi4SNVjcaQNdfcDJi
kGQ8Y315oNYjqTwlxkLZ6z9tFAUhGtJwRlcYvhVk7Gszi4bWVh92hQ9j6Hm28tmTdAdA3PhJDbvP
Utc+9YP+rtSM8zLPqddoibOzhZufk3sTz6fejEjG9S9I2qnV8mQpfE3Lu+Ow8M7oIqnaOVxbAYP0
lxotlHPa0OLP376ZFruXnSwr/IwFn6q+al+qmo5+aSZ7KNGtBXG06D6Q2/OsXp1jQ50SCghN4Sdj
Zbp9Y1ruFIUPt/OItDooQkQcmE8EcOt6QY3az8k81Hh+m9qGF2lB3L0wCL0PnqTZKP5+3Bt1ofhN
yMWcvTrPcyqn1FoLHmbkZ241xM1zVWjzzk28uUn/b2WdqYFcqVpF5/lX6+VwWhR1OmbGFHtmP+3d
uRvpmoJ4qWhyIPmmr3nP8NUp/ulZ6auDpbwgL9dNLtJUgdtWge2W1NE/cSz2mpVbVsVICAH0A76y
9vVs1tIlTqXCrzSok8du6pL2czlky1dzyZ3vM8W2xp16Wan/Q9TnVSZYXlSUSDKuvQUzqcSmsX9J
1nsxMInB7Q2r22NFbfk+OBlNFE8h/a130InSpZssKE9NHc+HLA3bI2SaficCb0YtwoXGo4V7jEbz
9XJAGKeSpQ2lLyW58rHX0+IY5Frt1U5rfpbycPameJQvWSWNf+gRtYpyGWa/sztr55dsbuibH7IK
n1ok12CoKWbl8/AN+bnclRzpNZWa37t0rNwpnr4+fhApnDk2amMW/6xWTjAYEhyo9PWqjg5jC+nd
aOs9ZPTWNgKjEZxN3qHkPtffN4ij2qwU/JT6+gQfKv1Dzpz4P5z2t0ZWPmkCrjSRASt9Q42D46jP
rafwjDo3llI//tSEEcp0CdYEcmZNsgG3H8emQmDRTMn5QvkndTU1SHaC5EYLEMWWN2aEt7y5ZEK9
DioFjUN/6McfymJ6ha1+cuT4uyW3x1oKn7u2/xBNnRuo3UumjYdC+qc0997VW1HUFMkQkB2uh/VV
Z0qzakpKSX4yj8FT4gzlRRnS6l0PHHTnuwr3Xj3VFCFTCx4bbD+Tj68XLPelIdEgyv1M6/6RtUFy
E3m4KMX0NUFLbuesbRqjLkILHE4ExfFrY4o52UXURIW/WHWbuM5USvVllKyl8IYkVodzkpKX/Ye8
gfwSGL3Ja9RUV8me1Qx211SzqPssi2dBZvbafA6P4SiPO+dh69CJ2xyqngy4bE0PiLpMrfSBlko+
VS2soaXsG8+wijE63Y8hWw4CUFdkWzQT6Ytff8jZhPSVGUnhT+QMv7X6qB2zriy9WZubnT3bXBNw
RpCaAm+9DtRBbakRvIfC7zordLUilE7Gkhk7NbOtBXG3caHDk6bSv3rBN5HTDZPaFj7aeIU/TFPk
xUPfHNtcWnay1W1T4AnANlGbuEH/lXOXlUtVAL+rC90Na/DqXjjUdGLVSacTdn+rNr4fH02UXoQY
DB/yeqvktI4ize4LX08DYv6szp496svOE3djUbwIUYwDEQ/7YR0elXGB+gMch16T6cSu0Y9ldWn7
UlM9uZnSvYMsfvQqatBMAPxBmZgiwZqaMg2RkcfLkPhLGmbSe4rxduhGYdpUnlkHWvZSVo6ZnevU
MpuzFkR2u3PSttYreLhAokG70G24/qqhAX00UbXEl/O5/9g183SJJcs+q2Rej9/XPAR+VSqEKu1a
HbRQJkmVIJX4taHk0aUujPJ3Yke0hyrfWBIYF00FgsI7jjH110sajTbXrFTJ/G6GGGNRefftxtS8
BGnXnSOw4ZOYElIggl1JS/TaVKbMZhZneuZPqsGKBpQFS2d6GIsPmg9/JMETOO8bnmKumqU+NVhJ
sir3hlQzPOCl3eHh8yXEoiDaUQG8FVnT+6kRvVesALv8Cecr94w0sP65b2Vrc2ARc4Ggo8lbe+Vv
SW/2cidRpQ1yJ/lEZ9zW3Ext+ksmzeFOpi++/upwkbSRG2KHxvG6Tz2Tz/XjGGf+YLTVc1Q0vHFL
dhJBlSE4dgpPQ6juuwqrG0s0BWeKXJzxKpBur51i/AXziVMaP1kyem1SJV6hjUAntGnc2bOt9h0K
D2LHaErSuBCJwps0q9aKoh2SIOORofwpKRGwk8r8MRTNN3vMLXehh/eiePrOJbPh9gICDZkOCgpE
lNUmOn0dJ/08UZ4rBuu0mJJ6NLXGejyjEkqaQvkJjXcc83ptDkqzMh3WzI+tJXXlpSzc0Vku8UgB
TcuD/3CWAV6BwqRbh9esi8JWbw1geNXUlyO7/Gjlph57OaW26Xj/BGx9PHzyF7AG+aV11XEEGWXr
UDhpcYa9C8iwvAAM6Xbi+p6VVZVCQrcnBKmd+XJVamc7CNInzUzHR4mINMlErewXqBB0+mqL8qit
8tYoCLUVb+m0nSs3Nvp2x8u3DtRbK6ubfzAnfrqSETP6AJHhGPG0ZBrzoxou+sMBnVBBDYQWMV13
KvfXPjfMRSxbmalBzZ2o3Ie19bVALeLnoy7A04jsVtD/6HCupS+qoYvCeWxVP8xxgWTR2mOcxHtK
zxvBgT4f5BmhpQDGxFotpmj6MR2lWPFDWXcLaf5oZsVp7prOjeXKT9XkPerc59bMfWCa3v0lisBz
HXtNAGpC0RI8HI+Gtf+FUQl0Gj51JtlWf0o7Lf2qofqso+agF++CPA33NKVuXR5BdUYIAAqmwUl5
53rvVL3n+RVi0u6d7pzn6XTMl6jbSRB/acpcr4yaFTcyCwOye+PztpOEvaPGte/UCehQR2RlXhb2
bepHYV5EB4BMWeNPQDoSv4PA2hy0tA8a1xi1LHHHKpRmV46mrHtXZoomnaOhTGVX79S0OevjTD4E
QaB13NhKh+YpieX6R1zO5T+DMlf5IZQm/v9cV4LWJf9tZi9qiihyc0oXqZcHataenCJp0mNbaunP
ygDy++H+3t6KPVBsBbHE3pKOANpb3To9qVtP+Y5SD926xItKswwvUm10EFK6LgwPKcDQ0auXMf7Q
aVXZeeO4LJ+DFLHQA2lBCCpUGbPkkGhF2h3auu81lxJkqDwFQ2nFnpprnb7jkbdRRPxoOsRkA3BO
1ygyXSq1OAwcKqqzbD210Ri7xTBEJ1np0x1Tt56IKdyDDEBwCNalP6MDwFx0WulbWl0dsn7pvWbI
m537cdsKvQq60EJAfuXvWYkU3dRIpW9mXeXT2+heoqCSH46IrEVjnISQ0abKvtprZxh4zMV26WfI
STzPjmGi55oGj8qjCY/SHFGrATLGHl2fXS2pZKdZWEuRUrEsy4IpBUuxIAo37En43WaFmIItRoDn
uUP74dpUZtdF3S9l5cdd1rwfJln51DZJfwyNcfYbJdC8OG6LnVRU/KWroCHgHaJ7xb0CfPraaJXX
swoiovKHcVI/mVzO57YtQ/RCQ8cNZak99SU9SMeSjPPOYRXJ2Nq0aCZRagf8BzDv2nTtWK0UQFjz
1SDLqnPalmno0f6mljJ2dftNNwLjjzzixJzHQe5ipGuDxDxOi1xbXksLwtxJgG6vBt7wcKGAGJDY
UR+//kGdbkUTjbgS5NUEMTZ3AnDuStF9oVCWncYqm77f/wR7BlfpqqwwxCApcC7ZSn/rh8L4EAbj
8Cob6fwSBnu8kU1rAvqIYgJ+ttbFq9TAaJqe5UVp0b0Co+9/05GD+jzI/THIxn5nf7eiAJIT+LPo
ZN/wy5RFj4oiIqzZQxn83gKV8kZ0YX/e/4RbwZOkSKhwc0rp/l/vmZzMmh3IhBmFLuExnlLpUzpp
7ft5ksJv901tfT849DJpJVqePEivTQVxpYOptDGFIMBfTmMXZ0YvOS4f3PbtKcx3IJBbS6OXhw4J
RU1us9X5cBCYneuwLv0qN7P3VWCpHipa2lGRE2Mnd9hamsDWUDwlKYNBfL00KQ4GybCpvUd0NXow
loszIRNmOZPLfBsrfCeXkpPs3NZbDkI9mnRFILaRW7g2GgWSmnY57b1cG9rWbZAorp5GWZ6Lz49v
HEkGIZXhvBzr1TGT8nmc+zSvfFsKci81w/CzEcnZQUID5igp2bKzsK2viQo31zlEcZpsq41LlqUO
BpWD1lBL9XK6RLVXKGZ5yIEivkMteN4jNt1a5DbHLxEuRUHAXGNyo3mZZtQ6cE1mjLlB7cwuLMSf
qN5/6eEH7WQRW9Y0GrM4J/p4KKJdb1wz1VGnjS1KdYtaJJ7VIBE9OLP1lyGl9pcpkcyP9zfw9iTg
HaJhCUoF8ZP1yauCsuJLJo2vtZJ+1Fu5fW2rsTlEcLq/3De1tTa4K2LkDW1n+ILXazO1VickG5Vf
gY76FGRTl7pBIOuMx+BGvFjMw9kb6HN7DqBYgm0ThDQwCWt1xbpZLDmu2TyEt+KjMenpYZkWbSdd
2vqG1LWo1YF7pygo/vxNQYZMHsogI9z8ENb84EvjNP/Ia8leDoGmJTsbtrUk5HrJnQTukTb6tbHC
yLNhoPvpR0VgeUFUTocG1c+H80ygXm+srM6ZZSLBlUhl7WsIcxwKPdYOyZRmOx/uNi3DCqRKtkjV
cArhMW8+3KQvcVNPE96u1cklnVXl916J9eNoNOVvs6Q0I6CfYNqJIZtfEMYRvVAFCMQaaBaN8MOl
rKj9kJlFtasMBgr+RgjN7XDf4bf8QlCb/s/QKvSXWqilepfXft4F2buyNaRjj4jjV6fb1Zq7zTX5
krwIyLAYzoLg2/WXtPrUNIzBrHxjVqL8iC694k1Kqx8KRaI3o9u9feozPfWtIV92spHNXRSys6LP
JTDA17bNATSxFiY1aiTGJdfkv0MmhCDX1Pl1k5zicPxx/7Nu7t8be6sT0PeWs8Q19syg6g+6Hc9u
qgZ71MxNK9QVLMiiNjXC1c02FMgkFRabNwxNgdBE3YPg05TT/bVsuQgoBjYMrBSdXfEr3pwAK15U
Lav0yi+KPjzTLSRUQa/81FB9+3Tf1NaC3ppaRSnGE5RzbuIifR4mhqeB3Oi9vNaDz//BDrM5f2l9
s02r+qBiNBY4pr72Mx7mfwCwTE1PGoNob1DA1nVC6iEYTqI1ba+uSqmfhiTXCVFyWc8/mf2RUbvL
bOosZm35UjNre+Fqa7PIKOgyQddF6GcVrkLFHLNBxSUAskfMb2iMs16G05Paqsbr/Y+4sTihT0lO
zPgxIshqcVYcaPBFpsYv9aqDLi0P7XPVo5BzoM/c/azLoHu81ypGSSFlx7wYoSCzCiG9HGf0iMDt
5flk/ihmple4ti4Ve5PANkqUpFMg9kTOyFNo/Ri35J5IpE+FL6W986pUZnxs7Lh+0uU6eAZrYH9N
2zo56ZNp+8DunK/GLMWPDmMkL6YUwNuYCgfvqPXjJtS0GXwrsEszA9IZ9VJ5mocwil0psKaHXxtX
ttaSV0VgJlYZK3zZUZO82UlN8siu9JYGUuN9v9lwUfGEonMiUMeAza/jiVagd5ZGbekziqw7N0bX
XtQwDr4EUZXsrGojnsD0EG1s4iMp+SpAauXSZ0sywy6M4ampVlC+TsyAfLjbILRN/9/K6nKJIbZa
cd4LumRiniernL4V0mDvHLfNteCLtIJA7UOOu/5s02Klmp6yFsMaRre2A+3YW9W4k9xveb6BgAg1
cvGcwPmvzeg5W1OpOB2TEz/PhtT8ptLcpfcQub05vqub8TQqcJkVU/IWrel2LuqNVWIerBJpPsj0
9WXTtHkzd6jE+lI2xK0QanEOetZX9c46N4IXGR1kC/GmUIAOXS9z7JiTY7cg28B/Rb5jL/Uxa2Xb
BTmuXYIme5zhxFwTnjBIh/FNSfdX9gaKzOgYFeC2lfTHlDjyqzwv1uH+0dr6em+trDZPDqCRN2ZQ
+NEQVMd+rAavy5t/HjcCg0oRysFgodbYkD6bJKMMrcJX60B9LuTBPOIMexpeW0sRVDAobwiFYe76
g9WMB0yyglCvgER5GrIuejb6ydxJOMSFcV2EBM5Fo0s8vigmrxVLg2UxYwqKYOshSvyZJsnwTVEz
5/vQhXXzylAEqUFRPLWfyGxHx7//Ibd8EM1+IF50LHh1rnwi0AfLGJOcErajPRVLEHpVMb2oav+t
bMkU7hvb+p6MoYGUjCVoaKsgZRlFAjQPVGqcp9VTHpr6u6JVkj0t+43gTvWa1Iq8gErqutkFc2qo
ogE+t1JE8/exkXSvlrP0EMmx8/gbibKR0EuhSkbRY5UMOM7Qp62Ms5dLmH+H/qNccrimx/vfbWtB
QjwIuB+r4uVy7YdSbmR5kmn4YadKz8HYMA8gH7QXxsiFOzFpa4soGcFLBU4mpEyuTdWVQhlRw5Re
l/khZ9LsYUl3M0RRwli7PLsDy4tUCmmfVYkjCpjcHgVOAcnMHg+TE3uDZrnMLf5gWs3fvKoZeRPS
92JS6ONQBgp9uABSaoqoHa2+pQNDV4kqdqxqkd9rlEH9LqEGvnOmNz/jGyurzxguUrRkDQvMJiNh
cGasx096koc71fvN70h6CExThKf1dKeiRqLdqKD4R0U1Ai+Q50bIyIenOOqnj7oURS9MAGnfZc5A
3qibvb3jmRuxS5Tzqa7zRTVq0tfu0pm9MkcRBC4075z3Zagkx0GW5N/mZjTfFzGq8bZVWj7/sxO6
Dx8KMCkUtqGzGuSmq9Q/ihk62UrAUzvHal5USGPfcmUyvpdQrx+PW0RHEMygwuntrqFsjWTUdSfF
YEYdkwnAvVq+yIlqfrm/oA2fubKyiiWMuoyYpAIIdqma9CmU69A4m07V7Okab9oh+BKvhFjcryHY
b97STh8PbVqzmnw0OleD9NG46RzNe7r+G1GLpxkjtWW2CLDX6qRVlVzaE40ev+/KYzZX+tEek9+r
unwcNUSb95e4OBIJDFhYfThFXRScAUNxVDhPUVt/CBTH2kmwt1bDdFgkO2ACCTj0tafbpAFxv0BZ
1WSOUlf1H8zFjA55n8x/3fcDkSCtgiOcZvjTogjM428VHMuBWX5lq2CpHrygh23kaaWsHdO+63ov
U+yC6bgoSl3um91yC2qzAscohheua8BMCOuJJbFQf5hM11aq9KAjMfD4/WLypCReCZIdrazrz5gt
TppLFuh1I8kTr9bU8RRbuxnA1looR4GnVVH8oRSxstKDTdHqLvdt9Bhcq+7Lj6MWpjsFto3oSzmF
2ii8eqY8rdfSmVlVgenAipMNz9LcycaRB6f9LUz70guj2v6CAlXqGVEo5a5dJ8rOx9zwSQrbjJgA
aAbOdh19pWZReJEDaF8WuAZ5DwcO2Y7paa4ZAP+wd1yZWuWJpeEkWhJBAIX7Zx3sxvqhcYP/JyNg
lFSuMxFvr7etz/Uq6+gWoaKc1WDZ2x+DHJrn/7ASi7IUSCVGWqwTgEpp1Xxk/KhfyBFApZHbQiHL
P963srU1DAYScrRibPy6iaPlGuocCd+rzULGMjtxJ3mDkXXPTFEbv9y3teHtYt4BnWcxMOLmmRJr
td6OCs/lrqvpKzqCXiaH1af/YIUmOpLdAHhBa1xvTi3NTQUYA2cbGdjiKnqd+eksL3/eN7NxqAD+
8foGAgh5Z02LlTt9qpJ4INdNuvnjMkdmX7tNOkJY1ZEYat1cjvr54PQtowrTKOqfhj4Y42nnaG19
UyIhXQ+Gq4MsX0WQilHGUTkGub9M4Z9zEisvthLnO92jrbXSMSUMwtgELbf6pHkrg2/UuLicXotc
BAFtRNqGr4bR/Rap2rOWDO+HDnW5VFl2UMpb7slNxkFjfaBuVlfmCIl6UPKc41wZ1oHnmHwMuxIM
eJ3uKYdtLvIX4JueC7jo1SIh+C+VYsLHCozurzpDfLe1mpPlBN8WazlJ8YRyjPZHrmc7p0IsYXWN
/upJ0DDgfUsp+tpfuz4I6zSFdBYUbZ17tREuf2i12n6yG6mxPkWdnJinGJJOc6SYMC87l8PmF+Ya
BQVNveVGVAwxECmOUidHTd82mWKoSYMnK9lwNECgqO79Q7PxihfTxGEs0tsiOVkFTgZFpbWlkQsr
sWwcmLCmNXCOBs0NdZ72VmoYe9XprfMhjocoHIj59atdnQNdXbIR151KIdcwS8ZwyANZ63ZWtmmH
xxpqyuJCX2uzQUHrpVmyc39QnIKBI8Pi2WAVH6/RWmDAeAHxykYxf7Uava80lgPYt4yh70lGVT2H
ybSnhLm1FnHmSIa5r3n6XnukvrRRqXa4RCnJKSK2Vejbemq93veFLcd7a0X8ijfpfWq2tNkHDfnL
1kn+KivEJxwnDL9nwSg//i5CbJ3yETQShVGTK1NGLvUVdVw2p2+dw1hX4WEBsHu6v6DNz0YWh1/z
mr1hccuBnZWFwWejo5v+hZBX4Jqlrf1938rWEaKTAdOf/6jGrTaHqkfEkF/CBcCZ7xAsX5Whdbys
kQY3mfaQEBspPnqNlMIMkVTdqHbACJDtDD0Lfx7al8iugvdSbs6/cSGan2AKAPLQ9gYCbLkFdQ+0
T5g6QAV/5eL5WFkSouWFT0er9pARMtwqUhZPII53zuzW6qhIgIZjThEZ1qpsGinpUIeSyuUS9/2n
WGmKzO1UIzy2wRL83jFx7oiayMOnCxeE7uPwtMAyfJ9rv1+SYYpGqy3Olt1WH7Q0tzxmsTfH+25y
44xY4dWMViT1S4GRvbZCSamRmeGan3tbm7IXtRq75aNlBtne1MCb/cKQUPzHhE57YI2+kAYw4G2c
ZWdIdA08VT1iYKxTukna7t0eG2sS0AvIEGBhyXZWrt/Gkjompp2dk6B3bOZEyMmpmTT10RNGkfQX
2xwFZ2T41oQYukng3esoPeM60btiNII/EA9tvdBgEJ+XKmZ1uL9Xt5+QypQQ2xavPeLQ2g/7djKm
vk7ORhQ1r44kjz+DeuwvsB+cHYz2rdQEzWdgTUJcjZyVZ/u1XxTG3A1R0iRnZYLpyxTJ8WlgbPaH
YZb7P5pSs4+y1DtPzjC2TwWzrc5lW8QfQ2BKO4u+3UxCpZAxRymHvVz3LIbcaAMjz1k0Qt7vZJSo
T3GSKDtWbo64EAaH5ctVgjA307uvl4swujF0lR2fG1mVkAiZ7NfRGWYvjJf+z2aS54/luMgP126F
VfqoYMUpGN5MHrCRIqF2MMdnuZ+bT70mT68NVeaP991m6wtihxlnILBv6y8SOp92ZujxuUYMzUvr
rndrihY7X/DmvmEtIn9CSo4DDsv++gvaZl4p4WjEZ+Yp5h8bLWLCU+FEegbkvR7/NnQgovfX9Wv4
1VVGjEkh4YjgFlqYOOq1yTgfehRwq+S8qKkSf3WkJh1cU2k07YNE5Xg520ul5Z6GzO/i9dZg/5h0
swkO9FPk4ChXadM9qfT9JV9ji3Wvybs+dZdgmDK3JyqqPQX7pMw/yL2dMHZiVOdC+hToThe8KAy/
HJ8yxPnMd0qXSvExCeKhudxf4u2JJ4OjRSK+J6XAdSTjOd4sshZJvmQyFtJDXSb94dRFCOTWSto/
7hu7eWCIvIcDJt7CTOhaP/GjUatCnjYJSiRVdbKWrnpaCrv5YJft8KxngfzXDBCMmrEz+Pct33qo
AfSEAdUYB5e9xgOao8LQP1OOz4qU2UezLQCAMOX70WucRglXKlIafElBZ712FyO1a1NpTc546Czd
E49ENT3BbmprF3A/E6fAVfTpuTYzkHQPLpA3E20NziDnT5z5a9O5FvJ3B1J4diQzkN10kNRDhnbx
HtLgxl8QyQdjKzIw6N0w167txJMUm0azxGdtSO2PlIuYdtbFtnrqhg4M0f1F3Zz4X4r80Pu5JSga
rp2zFmp+ldbHZ2lSfjI2FFrXrLyMjvRhkZod39xaGGPDecuQQGhYu15Y4yx9KZVmdC7VoDl2WWCe
Cc31UwD6cSc9v7kKKH0KEpQQjaR/vYY1BiWy4YyMIJDNiZK8b8fYMF7HVLV/FNYQRV7TS+HiFp2V
7/ReN9ZI/QLuFU9DAMNrwyCW1Xxi6uZ5aAfFMxvi9NDZqTfZ054Uxc2BY41iCg37Bn4fosfqc05j
ROuBo2AnSN8xRapxA2UMdrx+a0H4PS942ryiAnZtBbU53UbKPTnDTY2OWSixFk1Ojkta7qH1bxfE
R4OnztuNxI9G7LWpUVqW0pn18Fzl03BcZlt5zZxmD+J4uyCyfwvoBGGKuuS6A5Sbdbg0dqT6WZem
f2Y273ZHq5IvYUPH9/7huvVCTCGdIOQ6aCn/omW+efUW5HmVjJA6V5PxOW/Cd1UfvxaF8r2ei5e2
qR4+X7oAdInoT3i8Yf7JMdVdWA2KX0WdfQ565lUlhlq9yxCf3QkbGx8RhwCYQ6KAm5tiK9+srAH4
FwH/V3y5sD4zZGe5gDVPXUXqop1rZcMSfAPaMuIVQFhcOUUPMwtesqL42ZxrTBives+sTNlnysHe
QIbbWMiDAw9ES5ctgwp2vaiimbPRtBGvLcOh83pIMEqW/rQT6dDQBdjxjQ1nJ9wKegM5sQIr/9qY
qYWq3AIo81vZ0j7I8ZA8dzIDo+974KYVHuhQfsX0wjUQWgFHW8HpUfyuNeeXGI2coxwle6/czT0C
AU3qKFRp1oATtKEZKg6/yHcK+EMunF1KfbUTxD/r2mz3Oqvb1oQgGhAr7pPVl4vsEPJXZSkoLY6W
p4xKc1qYOXTKqse15HiCkrOR2CBsS6V45eatphdSDCzFt6PGeIrrIjkXc/OwurGwIh5GCKaKmber
uncbO3bqJAafb1DGS1vo/SlY6mbnBXEbjHAz8MGQWgEL8Pq8drgoqCc7jFIVdpIQOZRzOW9Pi2Xk
z2owFYo75LDO3IAhzfOOq99umCEmq1JmpxiGfvNqfWggSXHS6IgYJqHzlCPS4HaTY7+Lluph8T/u
KCAnAscF+oML8nqR0jQFVq9P8IIb+vuK3RmeYs97M69vT5WAt+AQcHgoJq1RHkA+ZerYzuznYTa6
VtxVbpbPe6rsW1Zog4itUpkIurZSRfmCQnq0QOOJRo8HvnqoOnuvdnTzYIAADtwCwVdFjIha4z2l
SrKdNpsmqBK69mQHhfmP3jPFobDL+I9mWexDGznFt6zs9jgAt25BxICnDtSUfIn30fVeyQz1ijR4
L34bTs05H8KFtMyqj3mVPIwIEsGJu4oIhU4IL6RrU1nQWGMEFd5vbSixcHMN26U/nl3mtq09ZlhY
J/Fjcq+bEuXboyEYhBxZOsko//LftW1dLRe032KTC0wJ/orhTTEArKv/etgKhTmyJ0wJ4OYqUlly
Yg1B0RtITkUmimR2Pnzpkkrfa31sbBrgJoBVorQEWm2Vw2dOnkR1Hmp+0UbyEfbrcGjmOT/EYHuO
Dy2J21Gg8UBai+ghbpbrDyf15RzKeoROohUFiztrQxh6hTzvFaFX5+xfO4wMZMCIOAvrGm3aEHpL
wFQXbbYlT4ki/RjBotgJgqvw+68VB84LZUZGId5IyJTLMkUJVpoi6X/C67IYjxSEQ3OQc3X+Z8jt
VLvEs23kO4Y3l/fG8CokhlwvYILM6lKh5vYpoxTyuaOJvPMu37LC8EUWJ6aMwu693qyyg309MYbp
Ulg85ooud85RI80/HneJt1ZWa5Es5uu0eV5fDL1f3kel7XxMkNDYGxC2SgR/7RUYMWooALgIUCsz
6hiUS8dk80sSDc9mN34qWJln9P3iThV6f48vipuRNjQZLpCZlTU7zIIl6fLuAuNRnw7g0SoG4M2L
vEeo3XJBslsiIbaoYqzOLvitTrPKtEPktAVIVUjoRtD2K6f5t6ivh+K9HERhdWTGlT6f769x44sa
QLgAFdB+Af60CsClPqQ6Vbj+0nbAk7xBBhpysqYceeWmCzTjzzTPRhBe961uLBhnhDOBuhBt6LWS
f2kq9WJwpVyyJEzc1DAD3yJDiF0yRWa9KXXyZEt6++D4ZeE+QLAYVkzvVoxEWD3Ml6kJ0zFbMKtK
I1O0Sid+yqNFfb2/uo0jR6EN76S9xJbKKzMOw/RSJ46aixG0Qe8uLTnJlyiewz0tlE1DgEgp4CNZ
Tbnh+mwj/FToQ2xytgcrdqcQaTxpmB4cuyC+Gq0y2ktEfaKkJn7F2yflXDHLByHNi6aWz5Nk9WdD
WQL//jdbZTsYgZ4vIgingHL9+mSnvaUG9dzWl8no0ierav/s65p6M+PPnuxMXaqPQRgY0SEr1HJP
W//2DADK44FOZQOOCPf09QJLR207qk7VJanG9rWqMmatSco4I/lnWcwnMMK2fLDr+Wu9Aq8pIB9k
d+t3umHmsjVqrFcvSUS8mmL+a5VDfTlW2ThfdGvoDvQ+uz/vf+atpTLjkhQZMBvk5VVq10hdDKVE
bS4KjevGl6cZ5Giuk4Yh+JDFqtsXpT7vnIfb0w6ghScO148ouazXCnFUsUO0vy9zMjUvldP3ym8F
wgTZe8lB38qFJSbF56pcnOb3+8u9PSCiZAvWUbgvlavVAQGPYk7tkJeXsAvyp4CJVHQwqgeZUmIv
Ia6CGaKNzetjPcIbemBjzuNYXvp6Sn1JreuPY1fvteo2tk7QY7keGFRKfFltHThju0iyrLzI6IU9
mXnh/MNkwOHAs7JgDpqSPzgZ9d9lAW+QqcXxnF9XTG09A5evquWlCccUbbSeeboxE4fvb9Eqb/1f
K7x0qMly9NZvUIgpht6lyImX5lx6ZWj2rhoA2dPKYK+MtOkN0FUEwpwos47LjRwoGsQYvuBo9Ce7
H4uLlk17WcPmgmjVwDMGUXzj7VyokQJ4orwECflQGDfLYdCH8XVs4vZ0/9ttugT7I2julOLWpao6
MawWSkx5UaNxGd08aNQTA4QRXlBmw3pWgkp9rIr+725R1aaQifAiWP3rUKmGJXkqw5guk5Za3w1E
uN1StuLX3LH2JnZt7RbxEb+AUscFt0qKmPLA4Cp5xjFUZTiidGUeIgBd7v1PuLVbsAGg8JN9iQkI
1wtqBVlk0sPqAvu3/5Jkjfk6hE77LqzlPfb5lilw8RwojioQzlV5bJA6s24yTEU8ub2wTfvj3BXG
Ye6LaCer2/p2b02JP39zZfM2W2pafuXF0ZK6PFDpNpNDRSK4c51s2QEBwpHiBqUYstojpVAWZVLC
8mLm2nRKI8P0Gx2118f3CLQEUCN6KqKYeb2asgbIXNcJEweKqgqe4RQXuqdAcAiexoKphv/BJRAc
FEganNz6JVv55uMl8tjZhbXgeHNfHfTQic6JWufurKbZzgHe+n7kiP+yD0Vv8XplMDcQ82iJ6Xy1
5VBq+eI2VVcfHv5+oivKNSjKOmg1X1vpys7BTs2h7aTRYIpJ331FvFcd3lPRUcIdaxu3PRAkEmxq
p2jprGcWJokRFv/D2ZntyG0s3fqJCHAebllTF1tqydZgyzeEvbfNeR6TT3++bP/AUZGFImoDgmDA
UEdnMjMyhrVW6KWHbw0d9SUtkN+MdOGLyPUzRsUfMjPKdo77xg/SkIV9LUFkkvW4ruQkCowJhOHK
q1Mo6mc7favrQ60u/XFCKP30eDPv2qI9xTtCo4pS5u1mjqZeK63LkXeXmKhJyYe2Pldly1frotT4
3CrOtON0N6eEJILEkPCUdoHEK9yarHMrNkMaOFdVJOJjTmX4kDP045fHC9u4JwIF2c6hnUghBDu3
VpRwNnO3z7FSWdFBb3vzrapE+ZJ6jdhxG/dMSSo7vCowJrArbk0lU6WWboly/TxHlU/xuz3X0rX3
aRI9B11/l4qUoACGFHGfeSNvTanlqJcMi42uTZFbL6Giem/64OQf2t5Wnw02ZQGfV1/2dGj7rjfQ
qNW4coQVXaPUYZir0nwvM7E3C3Fz/OQkD0JZoPigW6nd3a4nL/PQSbrRedGt5a3QtCAJJ9dndMnX
UQmf7A/g02kO0aAiV2bqC52QW2MheI/SYIrHNSW8P9l9GOe+G6bhseGfPckZejcmR1IQQ/+LO7o1
Zmp9JGfLlNfUSvVjGS+evxjlHlDyvTj/E6xJmuG9IpkFCCDLv6vHBB7zVHngW6+u3oejn5dDVx/i
ISnMl9xyuyro0S+ZXwH45se25nXzyymJ35pY660dHPnmW8pkF4fF8GSwwjiv2xVbi5xH47psryg9
BmGHnvoC7s/64abt/LFDOEbsPG1bizhlqrYyYpRKpquXoFadsC+bPr8mvd3+3jla+AH+b5EF7pA5
xRH4TKLtmNw4L8SK4HXK8qOHXNyaDev1vWu1tZlfWxjUfpEU2sGdzT2i4MajIJ8MBx00F3hbkE6r
kxp3HOI5tMbrJOjGEKkMPqIc7aFarD1J4vfX5PYEkbOjK0UWJtOi9YrcnNsQdU1/jYdo/mhqgjk+
TdxFWFTTD17OAEBXswbfYJropdbL8gN5m/PnFFmOn4Rm8iS5ghNNLQ0FbYSuwFduGLqQOQCQNkV7
Lcu+/QGOUPdbr892Duv2O5JDA854DyN0AFC3h1XttHCZvai7DqM5xKfZNhSGPyFn8GywJ9NocjMp
aEv/fR1SLmHCYNS466+uovWfisrKz8Losh8MzdWPj1+87ZJo4YGvohrIwugm3y4JWsCUT8pYXqsU
sWTfXhTr105X56+PzWzPJpEreAJayA5DVNbAYpE3BoHegpneNg9EMGjUD2S4yYI48GNTm/tNaYCV
SEFm8MUk7rcrEovbwIOslmsTTY0f12PkZ6mRHWlWtsycr348NrdZGWgx0Ly8e3ROQKqtYqHObABx
ecZwzRbmGud1r6FwiewOj/sehPiOKQI8KB3SayMIvjp+zRCprrDEeK2GSBwdVvo2FFrzWtXh00Uj
iYamf0wlnjSAZPd2E+OutBHDS/XrUKBIgLxbDQvLLnYCE/kL33gR+loQoeih2SAXN9CMxa69utFy
nWywj87xFDoMQ82SP0eT0WNWWesfigaPunO75BfZWKUQR1NZyjKtcxtjNjxFeLN+VUcjPLVx256W
3k3OXpNPb9rSj69OaRZvrZ2H/0XXY69gsblxFHhAxkl1cjp66rrda1Z1CunCE1eltdUjgv4zIoPd
0wkcVsg/0JUFB8WZWeX0IDLdPNO4BV05l0cx2v9YXaMfJ1vbq8mt10N4RKIoZfCRJJcg29ujEkLs
z7O5UwOYOcqniXse1Ia518JbH5V3K1QWkRWSykLrB2cmrC28xF2CUHVrCW/92prTLzrwBr+PrT9A
MZ8f3+u1G5EGic4p1hI0856uLhsjGVLhIL0f5IU9+5ET20cxx45vGvn3roy/PLZ2ZxMl6UInf2OC
10ZysG2s2nayZg4GqP1Hs1XCQ5/0zY5rlJ/i55NPuIO8D414CrQ443V/XJERNfC7KYiysvqvVWnm
sZqX8TI3Yf4SNp3xe56m5bmvdkP2e5YZoEUlSbY4OP23h6Q3wqawnHQKTC1tjnO3dEe96bojv444
u4VTfe5m9GzCpvW+Pd7ZtdOUayYuonGDVpQklt9abvO5XoxpGoOsL9UTUHzlwOAG1S/D5Vn/zEwt
2mqMvOL9Il1dR5ZzAgxFH8o+GOrF/orUAczvRou/1s68x/B7/1m3n5KSEwVwKcEvE8iVg/b6XI2T
URuC2bBTlXmoSxEHqdLZ4zcexzw5xuZUpF/dqY2iFzEa8eJ3c5G6b9roxdrBU0EJBQRVkXISuTpH
R8tkRtGOp93uvUGVWSLUeLS2FJ/JNKdJn+chgEcF7oPRgfWnMXWrszfke1Che7bIC4FJcIjp4642
xBqrJO2YiBskhV0dBkppH6ZiirlL9fzt8ZHaXlYOMpB0xsnz9m8kNLMo1koY5xyprO6+eG6vfxN5
+uScNtpFwFcZL4I6iySgrEELalhUnRvZXTAOXnhIcjs/RLbZ73yiTS74bgaEE0kfVqjL3t4PvdRD
AMaMj1lMo/pTZZ7pP3OEhGbfp/0pq23xGjMR5Ew/Wj01vRtfrXhyXx5v6J1vB83tXSmI1hjs/tvf
oQitZU5dtQuyVC3frLBOP7Z6P1PKKuYdAYE7pghoCNfgI+La13WkxC7S2q2EF+TjkgV6CpSmsZTh
YvdPY1vgSHD0pcoERR42WB6jn2qo+lL03RgWbqDmteZHbZeeo6gOd96pdTQjrfC84+Fkgxont7Li
mACDCOOD2BmiM3OaXSBJafWCqHZ47rox+2YS8AReUSTnWtjZ5fGn2zp2SqoQ22QuSJ6+7msuRTky
+i50ggY84Ecx2B8aIu4ruc1yJlpozsuoaZ8MeA7Hx4a37zMfT9J7pcwU5NzVmdHDvrOsJXUD08l/
jxs00tGwzRC3zIXfRepe/LG981x25OXxYrL9v346EfhpM7JPJ1CSDAnPaJiCjgfn9HhR77Pubt06
1QFOjVTGo2SwrgpS228A8ih6oBtMpwNtGFtjQJyqDkcHFDOO25vjvzvbqDSkjxu3+lS6vdFei6Kt
ElCSvDy0zHtd+5QVrZNcQaiHv01JY+u+cOdBeenaKvy45BVa0D4sCSvyc3ABkQ/hpdsTut6eDVDD
xDLIsPNUkdPeHk0qkoIsyNICOj6wTETYqwYDu+Z8+qRRcZnOpdJZAAwahZKTa4ta2+GYbs8IOTrN
C84nU3rIcW9/gSlceuSuIz3INcZU+4xg7d1vUemK39zZcZZDzL4MOw5mc1CwJedCwQSzJZpz5U8V
AgNYrX0atEs+XzIvTs4dIIiXxwflnhWyW4mpJMXdCDYKM6wsOkBZYNZKHF7NsBnqA1IJIt95H+4Y
ghEMt4bDz3LWCFwIYL2WLVMW5G4Ne04t+1MTtfHXp5cjhX8AQXFaJMv/9kO1Sdsrc5zkAbgMKLGW
aA5pgs7hYysb30/NDzISJWN+DLgTudafHHLdJpY5T2ESVBOKTHZa6x8rHXkMQ8+fHGVIDCJNURiT
+C6ISaumVpdnTCG30zQATbQclWYODwyhcZ6sK75bkbgO8BYUFtcybl3ZxhVdmiTAWENqouVVc8jm
uNrzfpvsi+XwQksEL1UOvtPtzpXumJdeUSbBOLXuL322mKc8bazLbKrRx8lRmgutUe3J6oBcHW1p
oF1S7JeE5dYoFfBmThn6FsTMeP0TGof4M3fH+EPsjOmXxrCnz6mN2ObjMyLPwI0DJv2S1SM+moR8
rIuoqjUKU8vMNCh0pTiHTaKC6sV7Pm8F+h8EQBCAYJCM26V5i0tR1kyywEkT42RGaF2GmrkHrr1z
3jnnhJHgu+njrp/IOI6zQRROFjT6NKUXRoSZy9nIujg6FF6xC1+7Z47qHrV1Btrwdq2ul4MciGso
Ux00bRQG08yT73ZafAZsVO442c3LQpkXJ8tXAgJLcr5yspUY665v6iYIPWOqjx5AjPwThAi7OIBd
1hlVm3i1Tri1DOMlMmoEAB9/wO1aGSwCcI2alYzy1g3esdatwYUHExijtRzZ6f+qPN2HeFz27vj2
6mGJDX0Xn6RzsXKNUdSW6Bf2TYC4SvixVhSTYeyO8wuxuHHMZst7sZwleU66UaZQaGnwbkOtRA1i
XSKLR5DMVtJXJG7LfIHw2B2aGSzg2GTlzoW7s5Mgh1E4hsFJx8xc3fIwU0NPC+0qaDSGh1Nj0Zf0
MOlT1520Xg2VnXj1znbScSVUhhjFvVsfUhACTK/ziDdsI57OWtiLDwBsxGcH1uNne8m1z8x82pt3
tonRyUjxZnIyAYE6DaDb687o3DErwy4NHFKCN9TajJMzztUVip0W+WUdD+mXpWi86K3OFau79EXh
7Gzz1q+RRDJzBM62bGSufwUB5d2YRle5opmWMLzccX0ej73O4h0rPHm4ak/Ou6dYd7vQRug0XZI2
vC5NFH+GXfcdHmv65fHdu2dEdp5kLZxHVl0ZyfSltxorD69lUuTnUuT9wcgQZ31sZXsuDZgQQEQl
4oDEZvXNMlxKrJtlFAgNTYsF1cqgKmB1xpayp220NYXTpGwk030SxjX03YMVU1rGVAUFlLD5YDO3
CCFnS7ES9HgmZLgfr2x7GklhOPqMk0KpHTzM7UdS8mYUduvmQZ3l+rHIDSPIswVofTTPHxMGx501
J3aOdRdNpymanpTm5iKQrfJEwP7GIVNJuTVf5PLdVYYlYF5Wrhwr0wA2YlLtGH0GT4g9Mb3tacEc
xRr4kXJk5To/zuG3J71TLUGRC/Mlrj33yOiR5PR4T7efEAoQbSCgotSECGJvF9UTM0y5iJcgCm36
Ja3hdL7XF/SBQjS+9qp/d60xLFvuIDWvTXG/n5n4rTgi0NSmu1j2yJSfhlPaMaPp++OFbbePN475
ZgxABhdDp/52YV5STgjpzyNlcKOJqIOnKfwgE0T4YzvbJcm31PQIm3lu0Ila2SnB6JGpjYERjqrP
EMXqJUef4NwP6t5UqXtLIkUjM32v76+VeLyOGU8L+JHAUYbiRfXK4RwpiN4+XpDcmNtAUv58EkBT
TjHZvGv1rMwG7BUtcFTA9CiHGSVDumImc6NtPs3jmWBdfZJ9zN2SoGhiZZAdJFPrDqFTxtocurUW
ZCA1jinDsg9RmziHwcuenG3+boqeLiUKyi+AU1cnvi2KRV2KRAuMmT6uGPPiHDOWe+debb+V9IeE
ru9rAmJ+eywsvRZoARtqMFIpPbWRhqZXLfbGqd21AgSRyacymFsXd+JEQ6onctXAycLhLBpr8Y2+
3dNi2hZ35FZJjR2J06DvuFqMWBY0YMZZDRanjeYz59tM/pnzQi9fy1nvjYtDRcb83CtibA5ta6GR
MypI/pxwPfH0KVeHJn6py3pwX6LMApcZW2GsKL5aNJ0Fb7PI3e+aKLPipCK7zj8YS2aVpF1MZGp1
tbc3teretknatMYoLvSU16I66ay3LaGhoOSezt91ePavEp+/d5O2rgEGEdU3gFg8GlRvb89ARJCa
92IQgRMq5VktPdk2ytyDETVPirxyqCVZicAFEDQk7XX2x2cJE4Zx4ljNCix5PUE+Q3XKN5q2+/zY
P9zZPOrQnDXZxgHPu3KsZq0nTtGlIlAJAg9CNLrvjG50fGzlzt6BFqCeyLxW+Hvr+5PkIkLrRcxB
X7XNi2gRLEnqIj5Uot8b4LA1hUoA+0d3kchpI61tmYo3VGnYBLgG/S3PVe2P1JuNV7g2yg4O554p
Ss3ELyjo3AmYRDJ7zmy0QUfY/sI0lurQjxaq1LW7AwjdpgvIvcB+xBbtHkKI27PH6ItYT4e2CXQd
aJWfRYVi+0o7Ko0PCrEqzuOsxdUZyHHqPf0iyomf5EY0EsGWrzUhq75yrYErHzSV0K7gE/tTp2jO
uUhoBz0+Jdu3ihmj4I1kJQKq3poTGDGMzYxruw3aUileOif3XnqtLA/FUIyHcVDtnfR9e/bpM/He
E/1RlaVrerurVHqtaajMIognr7iC/TZPkTJ+fbyo7SHBCN+M3iKtUl7hWyNTVhRmUy5FUAo1/uFF
k3MUMFWu1BOm0/OmSEhk6x75yQ3AFvxzopJbFQFNq+EQ543l520YHcsqjv8HU2C8YTuSxVLxW60q
kzpyUzgVwWBbfxtLq7/AKouOUd2bOwnQ9lAQjAHyppVN73wjvuUJvcqZR9wEE53QvwrHLKuAER6D
OKtal8Z0KKgU7rirezY58OSOEnEBwvf2mwF8M+uUmQpBtMTDV5TWumNaGMk5SuvkD6Yxezv27pwR
mRlw7OkPIEKzKtNGVqWqi1LWweyZueIXeu0svtmoTUbmpdb/PD4md1aHRjtlI/7QE1/HuOM80S2n
ORCQ5aNybeq537ja93BWrvMy1+fH1u6sDXS+9F4sbIuDs5PJrA1EzehTMSrrXA+l1p4YF9BGL8Aw
+715o3fuNBBC2nFky1Qa1o1Vd+gWr84TsCVuPn9VI1LYqW7LL48XdWcLaYgjbvI+v3KTjkzCRKal
Dwe6nZV31uwkJgiqrUsPhvmaMX/06VcaMI4UrQKLybSAdTfHLBOqQ0M0BoALXD8yLBFYddTtvGd3
9k5K5AKfgrgBfHF17J2prAwdkmYwpyM4uMLrrinNqpfHe7d9y6Aa8NNxUDKOWmNwUhoFeqJkY6CA
Yv2uLmI8mktmX/rQqY4Mc+8+KsLQnnX1nAlJaWYbcSFoSt3e6FJNUjtB3jGYWs34kuhG/LltnB+P
V7bZP4xA/ZZD2YhD+V63RiLhJn0ZK2MQCbAJIk2LQ5nFe+K496yQBxPvUkkgSlw1QQrdEJ5CbB64
WZUf+8IcfdNb9kpom2srLxE6afTy0ZGk5Xa7FtR0nKFCVYyOvXA+MTeUMQBOk36ayiJ6/ttQDwFh
TDlUvv4rU2msDE2RtVOgTEqnB6pX9PMxZq7Rs7QG3A/5DuVdvj/FmHVZsDeViS9fTgHXzPziKGPj
G0zZ/fb0KXin7hAtkStQirndORgNjLhvOWrWHImegvUwXHvbtpKdzH5zDuSMTdqu4JhphSF9fmtn
GMKx5ymZg4SzfSR5nD8Ucd0+676xgpd7RzHTdnVXq4HL7I109tVAE3lyWKYu9qvRy091vyttuDly
0hSXlKAdTD8X6HZBaWQMQmi5GtjIhxV+4YYjQS4fiIA3pghzevydNvVHCy4N7Sj+Jryl7nlrbl6Y
fm0lrAyUY3pWu0H5Y5wG82tfJPE5JigB1qnNR8MI/26Rwr0+tn5nscQX1MHlxD6SSfl1f24Cz0o5
g0tRgyTWzFe7cjwGh5XJITGSZufx2DhcFmrRvZTiFGC51sz71LbSwYEdEKhUBg+iHD5NrnlS9Gw6
OU7xYSmqPYnk7dGUZEMutOTxAk1bpcqJURWGAA0RtO0wN76taP+Bpuc9Cy6W40M9IGmG1DyE6Lg+
m8JIU66BGihGDdJwdLjZlTqetNrpdh6t7edCmkoSdQBryRbmKgFLUUrImOqsBWpZhn9P/Tydytqp
DkY9qDv95jumSJKlIjm7JzECtyfDK8dFKdw2DMK5Sho/UWfrpEJY98PIE8/KsLCFMiOnESPRMdTs
bo0xzBH376UhibmS/GOXRhEYevPkGD66v7z33GmgS+DEqKveWmlzCI1FmDlBlkzlaah1KT7dVjuZ
wvacQxMAUCExfJzy9fRyF9RpHKqZHShNUp2zJMp6354y9wSjJLmGwzQfKBg8XcZllgANergQhJv8
9+qsl1HUZzw7TmDUxuRzeqqLYtZiZ22bgJN3hC6QNEBNlQ293cHR1MBLh7oRGI2hn2yjiX9JY3on
kaE4H9zIqJ59k2WlHZC2BEOSLKzlbGLZhyQq6F6NhsHlcCcrREnC/LcnnSDvo0Qqg5rnjYHAdbuq
MCwnhSmbWMmi8I9emKXvFe30YR6WaWcDb10S9wnXB0KJHEuqzW6Ac7QbQ/SUtOFcu3OBGZB0hj9r
k7LHCr29vv8aIoR+n2soOTmrLzWVIdnBMo3n1tPKczSPYAHGJvnAwKK9Zup9U2QhtCokWn91eY0o
jelliPE89cZpNozuU6X146/Dsgegvrd5vJAgvCWMmtbI7XeKOjgeWeeypp4q/uSlvV8IY0/kRL7v
/79V8e/OkRrAwyQW5FleLSdmlA9jl7DS9Wb0Gs2mdVYSozsACrMPObCDX+xKmV97ddjJ5m4jgXfD
5MM8VBwP4IHrY9gwOyjVmUFyjjRDuYCojgkM+1q9qPbcHtO0UV/ADGpnBtB6Rzs394YY3fmOMgCW
HTQetE13oWGwZ7os2O9LpfTVKcsOXVKKoCjrdCfsWAH2/2+tdF1pfcqm9VpHtVbM1kjyejqLEoWS
MNS9i1K248Uwo+5ooxfvD9oiXuWMcTms0jklGhMUhNs7vqXN1ctQIJ1SLpnz9bEruHPE4IxSYJR9
bpkX3h6xOGuhR4wpe9CX2mmJ3MofxzI8Prby3kJZnTHMUPqgtIO41fpTa3FmZ245TGezBQ1UAvt4
M+GKM6a7C4/ZZGR+lHf2Zba6/qB0TBiLPD09pU7b//r4N7l16P9+B7wDFS2gLRINcbveOVP6LirK
6eyEse3nnqu8NjClwOiF/Xmslef44//asxF0J1dA3dZeY/QidAaziYL12U5SkEoRjbhBq2pacuWe
LMP2OEtqGcEfJXgXEMbqHnfLoiGUb7A0a1o+GXnmfSuqPDuliHsNO0nQfVs0GuG6UBlfN1ERpRRp
PLvTOTUbcq0OxQcfFAZTwJx+/Pb4k63YxnIPWZicJYz0KZX4da9kogmsRTlMIbtbwvo1H9toeBPQ
cadzHDu98ZvIXPuzuoRe4lsTUGOr1KzmECneUh+MOEIuzdezijhlZxe2lwcwGYEBAvQur/UauWGC
CKkN4Uzn0MqzX9ycYXWx5z2nffHv8kGAgS8Ak0gTfvVdc7NQ2t7DylIWQ2DYpe7XqtfvXNG7a6EI
IF8BYL1rPcLMiUYbQP18XoT3DzLP+cEz53QnGnhH8t76Ad5MJA4kL1HypFbXr+VNqRWtEWdvSoca
xcowbg4mume9PxudpxyQvYNvV3WTW59MNcyKS14bUXsJ0RTrXjUh9OI4qHFmfiYWbcQhY8x0e+1s
SvC+0MZur7Z056Aj7SNZBu/kvHWYOS6LHrc1yj7F7P4mFnTXzXj6AWxzb7LGnf0naEGmDXIjIeC6
X2FM4ARMN5wJXSrFr4suOxThvGdl6/7kRClK3gjTwJVaIycnrZntLmvFeZL3pF2A+KnFqxGhYWv1
xg7+XoYnq49N+Ac8k4BWQl1XhYWIYRO1gEJ0LpS8ODiDq5d+5xrLybJE+pox4OycdWPy47G7eM+r
b82SV5GPIB1B6wJ28a2LH1Mv6we6+Oemr8J/QsjF3cU00zH1K6/RvB88PtN3BHNy57VKpiHykSfO
tLPXaYl3SuzI/K8CDN08DLko5eyK3Ajf0tZxUyZSmV1/0rrFjnxNThL+2x305QMNpvx7vzRZH5hV
GqEXbZXMumjUwn3VCyau+3WrGNUlCXX7+5KGSufP0xTrn4q6Xjra+wssATmGqH7RB2EztTGsJzsY
5lpE2smYs+JvFfm08BIWRl1zO6xEtDs3c3v8XBBhlCreG6oEVLeblurLaEOJNGDtLOVLDBzxQDL8
HLxaujISAZhCjLsh6bXXvfzYzNLZ0YVz1go1e6vgDgWVWu+xI7YBLUEzpCudrh+QIlOu9acaT9+0
Wu70jnOulLr4bBazcp6USLzFDG0/tu0Y/whh8RxN+DI7Vbs7luG0U4Yk25Z51aoyUiFyUbmj7Z5N
bXyxZzPxRW38xYCxK4Jdb3No134YPlmRRGYVhosEksupPNT217MhtNLV59JurfOUt/pxmWZxThpN
3Xns1p4QK5LwKOlz1O8g7N/uaoTriuhzWmetpRyiRIn7Vz8UHg1pK34qC35fENNCbBNr8i97lfeI
uq3SkfrLWc0YqYFA4fi7SN3lj8eOYu0LWRDFHkrshDAoz6zjpWhg6KvkIJzTrrXsw7As7dewmrLJ
b7rZ+9O1anVPzvvOHsrRP4iIUCuhqLVyTVMO21PYuU3AgFjhkLTpecLNnAC47EGn7pmCrgZ5lMIu
aLBVfWS0y1ZzBKZGxxj8dNHHQ6rC9IrTZQ9Rem8j5dFDElES9NcxNXOCQe8svX2O5zk/uFGm/xHV
HYMU7Dn8PC2Vc3j6w9EDx4PIkbBUZeTv89P9XsrcqjWJhcjMKTpEDULytpaJC3Ku3dEgW/wf7BF4
0ZQmrKYIubKnw2XIQ6Bj5yZNnA9YKc+iWOqL7QziVGhK+fXx+u58OtJxZFmksIgEr96uz0xtQnZp
j7y1/K1qcqSptVL8aF1G0T02tclLuQRS5UMq4YIKZhr6rS0NSc6xb/Lw7Mxj+zsTlcKqRPN3KPrf
B7fO3V97020tJK/CSn+JtQ4xqBr+7HS1tEi8VjwZIzpzeawe9TI1W1k3baudX3L9NlEHI0PlDNEY
86gCr/y5SeGobkzFOSfWkh/NQfTHYur+frwT94zQnoL4QIBEGrV6ANHUo0WG4ObZTJkbAENS8YXd
79Va5E/5OTaRS5G1FhousmC6tiKiOk/Re/XOuZi665R3zEuMB/U0W8P4WVRhdDUXRz05gx59cUat
Oz27SN5EalPvk5Ekvv32a2dpXY/5kEaXdCIHzSJDO9t19tdjI3fOFKdTvrw0P/A/6/e3XnK3qrw5
uiRMoibWgYQEz5RuZ3Jsh8X7Uwtb1byMU+9pv4bmooYp6bDViyMkcHSno8pVqEdMqdd/mBt9+NsZ
jOm5AWXyiWGggsRQg8OECrL2WYwaD9PBjOJLN0/2xUgL6zK0Rf2UbOH/WWEnoLBxVylL3u53E5qV
kSx5fIn7pDmoXR5TCo+rp78qa4E+Q8QBWZPy8K0VGvjCEVUVXwy3Mnx7TsvDRN1wxwtuLwiIYsJ5
KRaFntkaXFwAcK+RgokvBQVx/mrcw2z05U4XZmOFWgnMHBuqId9lI980zl4YmVWLFc1LTh3430PK
7J9n18JPBk/KcGcwYrKNdbtjrhHGdZoq8UXJ7RDlN0/5o+lF9efji7CaH8rnfzdDq4xKO1mXuno4
FsWw56FjkIE6FvY/izdbyzfdiWvLJ+CIPjehl7eBMiqL+iGtTfdvVWSdPRGJMHbaz/tkSo79DJLy
r7FiGOI58rTsS52a0NzGwhk/RtG89IERl1PqL9ZixZcRDHZyEHUadb5qlCjZqWo0/NK5Ayzox4vb
PFKsDTU0ydmF3r0RXpaVSTskZWJtDQKBplm9ZmW6BEqV7dEl75mi5S4HEjOrGpjd7ddSs5SRbtBh
LlZuMx+hYKRRQhvFT71kj4ewTlml2hrjCuTTK3V/1k9NmTr2NHUeXPqmeOnltBprtP7CHf8qSvvz
wDCIp3fxvfYqRfcZD7VOiBQ0FWvX7NKLldqNvzAbG9HDkAFAtG3Pj03duVkEnBL4Q+xJFLraxdRD
YzTNmvRSZ3p+8dR2OlqZ8dw8hvcjL6NO+ggMgJTCSbffqjVNMmK9Ty8KNNoDuvDl0dG6cOfw3V0L
+Q5lDDht1N5urRhzL0YlpTyVkP2dpkmbDqmNjurjHVtncxwG2ZogEiNjpSy2io0sJAWbJNHSy+jg
hhqzNF/bvNCg9phK1/u61Y1/C83Kryby9z8e2763QuxSeaJWg8DiynVUxRRlTottsp/m6E26OCqo
QD+FPPv3a5EBkZCQ2WFM7sBPkXTVTFWjKg6TVhCuPlYx3MBlYerU/7AWqUwJ2oYmwzqdy3MjWsZC
TS9ZYakHZ3HgLCyq9+wrSBRLGwkiCMVigqyVT8/aoR+1OM8u+qLEL14xkIF3+bfHS5HbfhO/Qemh
mc4fcPs0EFZGpsQ0xLg0+aVvBjRgF6oxvWEVwgcVlJydutX++9jg1vdRlUHamXlx9E7oVt1+IacY
QwghFI+suB8/LYMwjrWSNv+1s3zHFW2WRhBEwQQQHa1GEFvyRP50FibUhSa11bOLNiud+mpOg5b6
ZYTo/Iup0y/+MJcjPJPHy7tnlAYC8REtGaSrV8uLBhVGXoxTcptoPgp1mi4u4yChN0OF9Hu+wn8e
G9zsJ6sEjShnNKNnQMp6u0qjyp0whHB7yWe99k5h7IA8qmLHvfRmaexNjb23POJfziNvFw5ktTwC
2ShxVIE1hM58RPz7b3UXun/hoo2PoWI/OSGDC83y3jvFOF9i23WvoLdhr0SIrF2Kdm4+KqGm/aIA
Q/+zbknKtajYGyl8b4HQIsjCaRpIpa/b7eypIGcLeKBLKUTawF1VRuPY91H6UkxO+MvcTPn12Q9I
aYjcgkiUCwGa8NZiFOa5oqGrdAnLha4wYr5B5ibJJ0WI6vzY1HZxmPIgqiKwQql83RjvImhc+WyU
F4cPBQVDrb9bTkLbIhujsHzRRF0/W4aFFiGZiXS7KH3B+livjspTYhY9oM9BRNROvG/A5bqdrGR7
ByjLgwZy5fPJuuT//+mmZ26rzwl9pMuskVD7Sh0mn0ceu6+LGS3/PN7DzTvGgsDowD/CaW6H/EAK
anKRFNWFxo55aDOc97FtPGVPR+BdtPrGM0tDEqYNTpvTuN45U4lHndNXXyIvT79MdtJ1h3Bxk/mF
cBgxODF5mV+5SdMFpZt00RuuLvpWO4krAL80zafBzozhr9FOqc+GeWQxbVyFyuRXuWWFn+q0hKeV
x+38HVSOVR0gcUZLACVvMQIBsttG439srdPQaNoflTsMcelTAJi92nfMqXq2ki4PCkkfc3OJ6eRw
wNtv6JXLIvLOLS7KTNdszELtY50my7fHX28TAa2syBvy00kB6qTrZWYUfD0vRXLWcg9VMTBhpSiy
k5v2Ofsa11/Lps4vjy1Lx7H+nDhqUEOw5GQZ4dZyDZSii3KJfmbK7Qsc8fkU6kNz0Oba/hVdEfHS
aFHy1YUz/DEaNY7x/2AfwhwBIJMkN8JHtRlNCtq0pZwlWaC1VaR/xEo2H4payd/qTo8PFlPjPvbK
6H1PePafTYMpUMCr4eGAtE5pevVwDCBI7KXMuKJh5l5tY1w+DRlhxuNFriip8rkAgCNp+ICLJLJ9
9X07L6cBxzggJlZ7dX9Vl7y3/CQRnXGl0VoL3850ZfxPPBhK5KuVsxRXstJGC2q9s1W/0iYXhqli
xzWqTZmSMtlCn4tDXUKE9TvHmdGVzxs1OUy5CfO580phX9HbK9PXwchae+e4ykN/e2jkK8u7jncj
r1/3UNkhRiqAsqESPFa+yHPnkCvDV2RpltPjnds+DbLYLf0ZDkdH8uv2eLbZ1JqIulcXtIotzfcS
oXyoSrO8NHVY+8ag5c9N6Xn/VJQRQHJyF6iBrsMzBAbcZUYm4SKqKD8tafLVaxXv4OnxHt5i67IJ
cXlhqT1DhzacVaI4Q5kaSN6qSwQp/zROpnpW63EPq7x1LRSRiI0AgLmcvnU7SV9qdxlio770XviD
l348mKN2wo+qB4St9INeKZ9FY+5ED3e+mzzq/4+zK2uOE2e7v4gqxM4tS3d7je0kTiY3VFYkIYQQ
CAG//jvku4lpl7v83kzNTGpGjRDSo/OcBVYQENEBSd69t2aolbLwhD2uwcKOAYfdmO6nLg/Wti6n
1VfPb6+TV+byxXi7bQwpyRTkYauOTTy4V6s/Icsa99r87VFeWfewA0dNBDkCiuj9ajQJCiBul80G
ok9ZMWgRL4h2dP0Cfg3xhZ35lSlEBxebEmwXN3fS7cf8cyZ0VHaj33bq2HU+WGuz/TP79TOT8vc6
Vj/efrBXpg+bP5pX2Aoh99vXz3AFdapGosqSytV5jTzQog3SS7XD+SgQygEb2WhwCVb37p6P4Jog
Qf6EOYo0Hjaf3NHJqmjq3ksXwnxtiSUgjII2hWpld9ueeNskscI4kzeQrI9Wcopq4Rdvz9n5YgAi
8pfYu5m2nTkQDrSKEN60jkfmLV6dVzOOzXIKPR4co7VNLokBzpcDGr8beoW1h3bVnlEyGs3NEMzm
GFNolLJEJ4M8oWYQ7B7ht033oAai36e43TbDrbmPFhieEzaL+z6G48YiGoiLkHMSySLRzMnF6hNg
3+bSGXk+nRu3a/P+RCcaAOTuhoP+mXJ74rjHapxsTivGCtUmw9UIQdYF262zdYhiDog3bnAB/IDO
1OYNFrucgYofa93PxVj3/WHjTF449P9Sll6ckvjf4zoDhsRfA8m9p4smlWmQkoDsdiv1FxJhgz8S
WbMhp42tg9LIQH9dqsAbWV5xbZfbjnTDcvIb8FfrC7/m/JnRGEF9g0sPGhdn8ZRB21vHN3VwTA1M
/6sxdo82QVzD29/EX/HXy2cG6QyLE2s0wLa/996IF9pFLuhbx6kNm7UcxrjW9zxYmSzQo3KSjEVU
jJmxfHZuwAdNA5TzijS3A0C3FTe+mRjy2WVaRu5xXeJ+gjZkXJwvo3Ehl08A2gYfZQSSQglzGZve
UNVBICN68OtV3w0zLgNdPa5FE3u99y1la/yswRYVLNNGqDinK2mXGwDoMEBukWLy3CYcAuEpskpl
SkZDXCqlenLqXTAZb4zLSVNOk4rMfZsqMOv7buI1zIyDZirWnnrqV9cO47MvhmDIpjqk+tjzgUxZ
0jtQjCtFwAnIUzQCrxGpNQ5FDfhOQpkUqOSUxEslHteajhHK/GqJyoroavxs4MwTF7hJMXs3gHmQ
HiCoQULEGsajLqUUPC3m2DoroJx5sacp8OCxUwnqffbTdXXx1Wx2/T3SIf+oDpTur60LK9jvlV8J
91YkmotSV0ZWv95+/+erbNO2oZpHoQFe2J59PSsyDxxtwOOQDqqIRlLnCKlRp7dH2c6J/SKDdRFW
MiS2aC3tinZt+opip4iOi6XqN4zI5S3XkYLtjxK3K/VJ2ciel28PerY/gfmDOmozCg9QyO89S3hK
F0d1AXqYcCQ82agjxxYC1Xxa5CXXw1dnEeU1Sico2s7QYhoEExQC+IjgwzPdSlDb4H/ouv/DA21t
OdBWwM+BpcjL+mJRgvasqaJjOtWbwUYkyhZM/YMclunp7bl77YE26RDUgJvt5x7+nptxIEom0TFG
AuF9Dy/J6ypM1Xu39QTlC/BUtLAArvp7Zm3vamGczjrHSQgP0gqnKkD1I++dNjD3ILGGxmZjd57h
YjRZoeKwJD6OSRd/QUuzKlgfpoc56C8FVZ8tOQyFZQArI1Rm6E9sJcE/FaA7DTgo0y7BOWWrH17V
LhwOeYQhYwEWDhcOiPPBoCnDo6FRD8gP3OSXgyVqbZHn7aRHCbnIcYqc5Ce8WbucjsiKvDDW2XoA
MwIw3oa2A/DDnfflWDqqnWhgUXrE6ldgJA9Akro+vcSCfn0YUJdwGkFNvvebUirhIJ/66bFtLfS2
Ee9gWV4l714QeBhsv+B0biLDvU6ZOSn2Y1KlRxuMLhgBm08Xn0ZTqKbXl7K8X3kk7KvASbG8QXfY
f0lQJjEXwDYeifYqA8vYwI66uXSMvzoKiA5oGMD99awRTP0GjkBdXR2nLqiaou5k/RPY7HopFeF8
zeHVbNcpID9YcfvyUsxRD+dcHh0rzoKMe9CoyGAcT7PbBBc40q8MhWod9CvgL1h3e/9TZANYmB8G
6XHQ3Jaos5ecsCpCQofR717dESYN+TmgAEGgvh8KMl1YQdVDelTDmGbuFKR5TS6S886AO5RzUD2D
xL75x4Az9/Ib6uPEwOFBVsdkSOrqKx+6xP2gAr92QX1FTylj66TaArT95hd1ti7aGnvOpcbL+bSC
Xgx1MjbEjdm5t6cLl87xCZ9TxLtju1XMBDmSr9Pc8ItK/fNFieswwLpN3ohr3d59QoaSNw5u50fS
Du5YUtu4LbKhO//S8fvKM8GaDAPh7g2F6P6mVemw1rHbVcfQtEMuEqBNrWrRD4yWuXj7YHxlKOzt
uCegmQqMec9jHrCxByZwnSNC2+Ab1nv/WReEzhacrPePtEGPuN5vzU2oW14ul0Y0GklffX0aDGJG
SKriEibD8cFy592XRmxL0Avji8Z4CSI5Xg41VVMvDfHqUxMM/zUJeL7zsDjl9l9dgEheWRIbpoUL
I4aDemR3ZlFHgvbNlvpUB3rIdbiaPEhtXb79ks5u3vhlKF7AI0TRCXLk7hjmM8N1zJL6pLru4ICI
l6U0+tWNEy4t8n3uJ7hxo1kESv02fdCiYmG8nLzQlyOkHIaeaGWSDLxboPBmTi/A3n/X8IsSGrUz
9ib0M9BUxHVt944cjw6h02nnGDh+0NpsSmfWfFhcmDI/rB4igDPD9RQBkF95n3XIPnriOjUyawaY
524EGimOHY2QfuyOyCb7boSMCeizNKkuFI9n3wgOCFQkKLs3Nhy8bV7OCLE1nKPquj3BUOyLkhw3
KNn+JxEXdgHdO1tNmHjsqcAfoBwFtrN7z1U3Qf/VKHma04YWcTdEZTr63YUP8Ww1baNAUY92ElYu
Wp4vH0cvZJVdCO2Hbz0957B26MZsnWC+n8EwaBLXK37kJRfR8zlECYSTFoR4nE0whHs5qImUQHuC
JbgxwScoj1ILzBJ24PN6YMFYXzJVOZOhomGGXc3d7M1hbAYY+OV46UxSKqM1hh6oXe9YO9fXuiLt
H3eBwWgJoR0z8O2dUkQ+d5LGpzRlnc19x6HDwe8h7rlwYzw7LHE44cqGnQ9lIIw7dgVnWzFEK4Bo
clxY9X1c1qMnneuwrv+r5+aW6eiL38e3rX+py3wOAWFc7Bko4qHE2VrbL+chGXyZdnWdYh4UIRmp
pZ8lrEpyM7jk1Bqa3pB0YDei8+ZHYhzvaxW04ae396+z6/L2I9DeAhcNRCvQMV/+CNpNQYCsqRSV
gmLuAbhIoksEFfnhqRXwTc4S2g0PDW2hhXp75PMvClATgCD4sm/9m71jBQJ2eqiQlvTYkF61Waji
BT3fNZz+l3GwWeLCDLMK+LLsnzDqYB85ptC26/hH3azm0fWH9kIJ+drToCYAZIi6Dn3R3Z6J/igj
A9bWsVNxfItGPILZBVuK988ZQAZ8OqhSsevtRkGhKhKvxt1oRc3ml1Y2xBYdme2lzuv5noCbHtTS
QCdxkUDe48tJm8MazYUZRT5uzSwHR07dpLHpCy76S17kr83clmwD5zUANqiqXg4VpI1jmGgqdGc0
+xpBc3kMm847vH/mIPbZcghhBArY9eUoctAV8uJodfSnZimZz92TcXh04ZQ4378xbf+Msps2Bb7P
gAtRdbQxkx/kGnbXigbeYWSOd4c+e1y+/VSvfb2b7zPqjk3avk9hR+BTOgMNQoVNInMVrcn3pp/m
HGwVaOmXa96BJ/P2iK+8rc3xZdMu/IVRdpsWNADwoSBtdazpMhwTV/OCzun6+PYoryw/qE0wUITu
AnC83ZoQfQU7GK6qo1MN9RH7X3qyLXVLrI5L4eevDoWGEMCazUl7b7xlR4uywTfVMW7Cz4ucgSzH
XKPmkeLCOfPq1IXgNW/MRYh8dkswcBp0NuANfkRQq86M5/ilG5jw/QsdFg9beQghDfbX3WkudBQt
NZfOMRWmj/IqqqvbwN8UQu9+RZurJYpE7KxbSuvLDwpHvJWppPUJFIz2g8Nbe8MdleaLGeS3t4d6
5atCkwTiLxTzIBTsZSK+UCsmdKQnIz33ZqyW5Eo6zvCUiGj8FsZaX8IKt8/0RQGMsGXUwH+fbwPQ
d4tc45yEJWlDT8hFnlVmez+hhadpALF85OifqGar5NDZkMrPfjPGOoMRwqB/mdhoWaKz7fY8U9XQ
foAWxLcPBqYfcAKDciDMpO6szGUcj3W2JmoKwHYy1fcK2VtjicN2Br4G6zxVDNyreeY2a5T8iPq4
2lTQxKX3lfWwwRA1mPFYj8L5mcKaIMHBpmV3IMNI05I3gwtFfw1xDXSvU+BmjbVOk/vjjF9gfTuY
vLY1/yphHo5k4tRl4pg4AjTut9/cK0seXGNwaCC03IRI25//A1JqUHMDeA2BCWxp9wQLVH6ATOd/
OBW30hwkIdwSUTTvlqKZ4g5MvQW+7B0NS6Arbd6vgDr+h2f5Z5Td3g75VOTj6kpPFeHfA2PmQgHH
KN4e5JXdCEAG7IxAjwDCEGyfwj8TBrtJTQHuY6k3k91E6Qrt1JaUtFvf6x4CMHKj4aJ1i80cONFu
KEQaLUErBALlkEFy4iHuGJPi5Lg17i5M3flToQeOSm/7C9Cz/YVSguUiWOSxE6c1K2PYv5TVnM4H
fwWv+b0TiLYtmIdb2+Kvx8XLCRQQf0eJgG8rzGL9fO7jsEzrOHwcg4Bd2AHPFzeGQhN347GAv3+m
1q/E4PchWLYU3cMMJ3SfEZNeYtS/Nnebxha6fYAm6H6/fKB+5JP0GTSnlWToGPLU5N7CvsAo6ZJu
/nykDcuAVexmqYVW++7QhTK1gZWg25362BKegw0CB08qiZ0Kt03dSzfq/XB4P9v5DrkNuvooAHff
E5rcjYxEWh3bZIHzSOIJrzmxWtSIyXQNXS/AQftSaRsO+j9ccdE2gRJst6eHyuvdWANNgyME2E0t
Uzdk8kUxdMwcdQK56eAK90Idsz+5/g6Kj/nvvIKstvvGHGB1cEqFr9awEPrRiaehXEIdXCkIGO5Q
5V7yj9ke4t+DC+P9FZJsIFGAR93thBXMFVYIwR00Bxk8pNTwW3rkWQz6wSYCjhZEHVpur4K2uXDJ
euVl4u6zgZQb8e/M7qPqQVWou7U+Uc8XKVIb6vZpAWF7KO0aqUtb8SvTuvGeUM0jegfF6K7G6U1Q
aTL69YnUyNSziURFzwaEQ9XNfLBTuswXNrD9p77NK4hPWDfghZy7hkcxpY6WGLDukzlLE42gT9Fe
itN9fZS/VpSAEnGTePmpJ0kvW5ig16dgQTwgksx0gWzH96o98Cx/aa14HCgGAMK8HIX4uNeFkrJT
hMxn6PcCqW8QQ1bf0ihsowypJuH7Zw+uW6hHIUPeuB+71+UuiEntgwEjjmP7AVmmBl6Y5JKJ2itL
cGt5AP2HohsQ/W72BEvnZIFH/ckRTVe6tA7vF8fzjp5pLoG+r+wlaFDiKom9Et2NvUDR0aDcNo2L
86xX/ROlIGsobJClT3UlsgWhyEcT9uEFxcD5x403B6cFtEW3Qnj/cYfLmnqdu/LTkrjddGTj5E03
QR0SdrBwDh+ubWTEz7FiyBFriDZxMY9Q1r7z1EOQNvhXG2YDJg/Q0N3yscyJyEjb5jSGrPtoabJ8
NGZUT28f4//ff325lQGsSUEVwXfgbrj3y2VqvNkPeh8XzWaWUt+voZiqQ+owNX1SiMD97QBScG7G
vuNXc6W99NSHSq5XfIWcEzeRsfZLZwQZ/9YOQdw/tmbxhM5wnENzz6JIRyVFiHx63IZR5cKZFShK
pvTn1MFGN/eksn0G4UTSH71B6yB3pxVO911T9/KrW41eUNQw64k+VqHFngAKfB8X4wrS51Xte5O+
JSuF/W9lVkqf4HwUNT9qiVT1rDYBcdpsah1vuPH8NabwQapAF4AnQbIc+ZA440eoHYhfhL2rYBtS
9aP7rfLqZSm1Z5ehpC2LBZg6cNXJG2giHqeUMKgvPcfAmBKcH1xaeNUFMQUYPxsPKklVkyWjQlt2
kl3cJ795rfypmCnR5BY2AWuYDyqaZGFbnw5biPjiHhvRte4jTZB4Uch0du0NlW4qjg3WX1xMsoPV
R+qErf+pidIuzSLKgyAHSl7TzI6IvDHZwBEIcL9ZEbm3IajtMKpIPSSXweFF/oDZeWs+NJNKvMzO
bhfmo9Tq9xwDBL8mq7O0jzpJ4O+BBguSPRyF2I0i5TNUaW0ENUAxN/Mal2PCGdZjUA3yrnfa2Bwc
J3K8E2pM235camDqV5WuInGl1ya0hd2MQz7OUI57tyBpCcRADU1D/oMBWmyhbQbxZbnHKHDockHv
1j8d9GOi7zB2rrAtT7WUJexVmMwQj9uJcoF7NqVZOqO2qsEsJsbeJyHaH6WCywUiGEVaI6pGYyOi
6MqHEX8g4+K7MOuLRhh9DMsCIasAd3Is7ECG+I4vIA9DxFIrr8BVtLEPIuzq9DdElXX62PeKqMfU
nyaRufHkN1G2ts7QnprICeKfA43GvpwTf9S/tBN2/pJVLZ05yZVPnO7jGI8pXkCiRjtfd6Pxh2vB
x4XcakgduqNwUlaXlTK8olcNTnXvGRpMz/tlZ5/H9xFy3X0EYBHPfJ49YHcH7XA4l1AxE/t1AXls
vBLo6zF8a66ZeblZYagr+JvPNF9ho8K9bKwpPqZsorxDo8HT3fwHEIP1ih5nyPCxc6rEPwBHlfTR
2VDDQzuABFdSdF55XqfWRwlsF8IP3TxOz1oR3ZVjamiUY81MOkOaKUfo36rwVqahG5pD0xtffgML
FynCKphj58pzxPi4RhLm4Fkg1qSymZcMU/ph7QaZPEkDY7QHt7ce9JeptC5bM70mEYAhyA5Q0LBJ
hvfuhNbYqYuo9Z7bUNil8OAPn2Yw7tv+TyOsIgrCOB2vZ4QwsIMKxtDNxngZkuPkszgtAZ5U8qPC
Uexlw+Czb6ozo4+oMDOM/gFGjPQHblWISlzJ0FSnlaxGlZOqZ/vVCUfKy8QVQQjmjzbBmLd0sm1J
jDfE0JbbRh0oeCf8Q+D1jk8ztGLqvoDBa8QzXySj/WERezRfeS3s1fIglhp3JDl5mhSMsY6UtoLE
DoYvyLF/nkxKxPdkcdmcTytNYVaHTm78m7QaCUXZ3CaWHSUbST75w1XoWXA2kn5JSj8c+gefg+WR
yzHq66KLoikteEPrIYcv59A/csRa3wAjsU3pwYllQk5kxNltteiVZasTNxykmdSMj8kKDWxmWzk5
UP1U9bcN5KIsi7TVaw5IrBr+cIdXnwzRbL5epamEAY0jmaQoYtbSIAfwMyU6q9FNHOH7ssyofzIz
sbFtMuxl3L0jTATLFQkEMkaixWPuZ12pGQugasW0FpFsHDjVphAATzIjQeNGD5hZb73qUmiEP8I1
ILQ/5t5EYyGnBLTTbBxobzJ4ksnoqNM28nNpRiuhxYlWPxZQP8AotPA7NvBbvlazgjZb6W379mQE
QQ+oi80DE5rRLO6l+AF/rKluoAvWoy5YPMIpdw0VftswtQoWe8PcR+SmrxxqrtZARJhFNWjpcizb
akyyGN56ybW7eh25Tpu2+5SC+DJdU7IMMmPpSq/bfnadE8eshgc1mz7KLMcwRSN98nVIg8bkM2Js
0KgLqGHFCqf76K7BoevcsxorYs56F5q4uyTQoXfd9+NUH2XMk/gHbyq+3iNieBpwYvWeHk4zXxIF
Q+oJtJnHKkor/QF6FO8p7RpcrOUajF+SKSA/K1jWIqoXJ1OVI+DG3g61ab+ihqAPajJBm2mF/sTJ
YW70FZKr6bmXcp5zIJhrcItElzi8RmdlYhmb5+kP79fwd2XniZ8CbvrmJJFojW1J0cHF5SkNYaxy
38TBvDxrMkHBAeJRnRySdq3xFfl0jWJMU1SZJxEuPrtJRsIQz9zjPG6RFKLm6A5srKn5JaDYDnzY
afq6fSbglrcgOusl7hBlJiNvyvDFre1RgfjWPlGXJmPWjNUaHA08trz1od/+4Vl0vIE7hSNUYCjW
LZgch1RqM+UujEV+yqgKERY2gWKc8YGPzp3T++MDGYBgXjsx6+utHAqbjPe1Z1BZSOkW/mrCH848
Mhj+cMbDnwHi1JocERdUPTlVqEQWRuCS3ZmKssErQoRt/CGWk0/4npzqWU66ZeVCPMb/NChO51yC
CvveXhQqTlxqgYHg9g7K2b6w7yfmem0X0NPcBuLbJGo9wHt1TtxiWV3nQuF5fotAIxRdAJz9UPMg
3fVl2elB5OivS0VPCUT/Dl6UX3/qUKUtuQLZ4RLX8bXRcH0AtzJBowMklZej9TA8DhkJ2MntB3MD
C5k1h/WXd88qGV8Axs4vl7ipYJOF9/VmSLeHYgcYXI2dF7PTLOdfKHH7okMX9HihbMfv3RXtoHZv
4Reb0BjozsvnccORO7rG88C1Uj44sYPjNpLr97dHOb/+gzcHtGEDHDbXm91NDxVBH4AsAHm7CtmD
K+r42Qm3FO+aEqT0efV64eb12oDgCIDHiWg+XEt2yFigo2b27dIAGQv5rSdqct2j1L1GwNx4kPHS
X739gK+8K6AAcKveTMrg5LJbFvUC2U3tjOKEK40+eNbQK48Re2EaXx0FHJ/N8wH8sj2biLsz8Vuk
CJ9UMuFOxFsUTa7Vzde3H+aVNZ6i0Y+mIQAppFNuf/4PpI0LgIt6dpEnD0VtoUInytEkAx9Q+FHx
9lCvPNGLoXbzRnxGFmCb8tRi77ubqZDf3MReamqc3/4BLsBzGqxGfLeAgF8+EAKFuZqXqT0x6Iiu
2tCg10PW8GlJZP/MotEt+NwEj+99NLSVNy8CfFibzmu35pVx9RRzKU+azJwWg2eq7cbmXpLhnb2t
jZYKunIEmAaOAXvmqFwVrnZEdac5xnFfO4n4gZPHh01mu358+5HOvipMIbA76Arhq7Kxo1/OY6Ng
OQ3caTyZCpVg4LhNzlL7DIt+WAX779ZowLcQGmFIaSPgJ0jK3aFQkWJ6tqmH4ZC+ntN5HTZLFdjP
h+DDvv1kZ5OIPR0bBeA1YIXwj9xhF+4ycKQphKAYNEtc4gYefUqtYNfdIsbf7x4KVyCw9HzA9nA1
3a2LFIqj2KwYakxxRjUmYZkRDTt2XF2yrX7lqTbMEBRzONSgLb97KmfuJkP7kZxIUCEfgaBkZZvo
aQrZJZusBK/+xTnio7uA3BxQkzbHz736mZA5riUaAiezBERfgUfsfZfuEKvMq2v+7FOveqQ1HrQU
a8fa8u05PdtGttHRJAAnAHQUGDu8XJgtqUfmU4xeA+E5AGaKUXZFl2hnr40CujIgS4yBDJ1tDv7Z
F3HPViFgEe/kCjQDYNhpCheuIBf2jf1HBjwURwh8uMEaxUGyJxFj31CbxjU5TZIkV53fr1ciML8N
ZPmHwMhLU7dfIxClbG0WLEYMBvu23UONcFCLZ9lWJ9BgukO3Jkvh+lofaUovucTt5w9DgaL6t7Xs
Aw3dO4yz2YAvtAB6Rf0b5gKM1CujNb0Ad57P32ZhgMJzcwzGTWF74H/eUgoT5NSZo+Q00+i/kZLb
oY26DPDIo43W+sJgZ4+E+PNt58VGhV0R//ByMCbht1x5q38Cs0DZYlw07lkdE/z72wv8/9HTfz+w
zX0Uek/U1RttHiY+L0fyRoHLRJrUV8KT2NoPuL9Zl1+5Ycs2OGnpk+lLGCizfhr6dQ6+zsqThGX4
N8y/Rze3CYsohGDwngm0/++gFqRzHlZzLa8QKbKSh5Zy0ZwMoB5gUSkSxMqOI+E4s2C2yZ+TAHEh
B8HZHT5Azknnq46iMVWSmPcsn7yeVgVAIup8Gj2VIElSLV1TLpXvTGWHEoBHWSpc+8egZA6KTngt
rspNn4SnySLiNe9qn1jYC5iB362zkOy2Uz0Mkrowxd6fNKtPc7WA8QMxYKPq+7iGAWAZmsrqjAnX
X25CAWkDfJQZOpEf4iFO2g90aP3owUMSJHLjal21ObFLDb5zgtv7DW1l7zwtYcqCa6yZuLsJOK/b
bPX95Ttu4Mot6RTL+Z7AqT65Qp8T5JKMaGhUTyEE9vpPs86AIgBrBnDAl3Gl86ppmvZAoQXmxYqr
FSlrucW0UJHEf0Cow1Nb2LiaK5e3vTms7SLSHMEx1Q8qBEz/fIrAk2xJnFBkdokQlsSMZ5PjUHnk
O5a8bBGPzKQ+uWuIKHsI6JCp3Q9idJ9st0SfHDst4mEUVeiUrGq671BNuX/Y6NVPC3c1DNdgRQp0
2dmy/MJmtgNcN0b2mQEPTYs4ivonHq/zg+4cA6FaODu34zKG9iCREknhcYLjK/OmpVd53EooZ0WI
sO+89SaR3jYiDn+6LVDqEpWpIF+AtATLba3S6gfME3lVkC5gY542KV0pTFLiNcmbKRw+yUhBsA1z
f61zV7dpXxBiLbBZSM7YdETeRQrfaJe66hN100XewETTIr+5XtrpaHso+G5oFfjfrA5W8SOqadKe
AK0p5xQGiy+ephQbG2IzXM/Jhj5OH3S0Tv6aT8Sh5DPEn96ntl0CfhAwypF11mFbrL4lqk/4byCq
7WfOKDdHt2ts+GGp0Soq3EChKy1XjleyrHDrfpKaD3XeOiECeiY2kxV3UbeD14OjHLSXPDEmd5LK
xtx33HG/tSuYIyePdgmfcnj9xeYhnXWsftpU8ucAyT/1h2mW/UebLIR8lFCdazQymwVQE5/X6CrR
vYKA2Y2teA7TZgmLZUgJgviAw/6Z0XKbssUziJFDSrjvZqnruPNtFwxtf9vEE/sEexeXobGNlZ/5
fKmiT7Nt0/EP8yrwRudFuDTTUyWfbcDUeF+PE4kOkWtc95j0TRRedz34pregFsrgkXeVvvMDFcJ6
MYIe+a6r6MAKMkB9BkCoB/7mo4uwPijoHptPAPjxNQqgyyTD8qIxTgKUnHdhnagPcEZHcyOEc4DO
qV+RNCPwAG5L4TRQciOwDLZQgKO7K1sjirX0KqCxZexCtZezQLZ+Nvou7wtg6EDpacySn64Trs0N
gDkaHhYcrjQf29R7hAuTCIuVtqOAEYI3wns9SUYASrYedO7bjScG2CX5MAcCHYwoXqIJwXKLAvfb
+N2UM29AfygwzjBl4dgCJ1J1pP0iAekXoSxx0vAr6/VtskksYJPXR9F4ipOKiZxRB7kepmEhvFxi
j9Nco+3xy7NIYcg0BONoCQJx43nI6/Ujw9lFS9/X7oea4AZY+oT195AuY3anZtRXSGjqf0YDuIRl
4LPgAfrwroGr+NqKfJnd9We/UjQiQ/jHXHk+jOBKOqYJ4COytpmzIDOjjLlSJazJ1y+1qYV34y9e
5R9jYNa/G0e3MBKZuinEXuxXUeHQOf4yg8fc5wuOJZKJrhnvUOa1/xnlIXWHenwCDOv1jwTtsF/w
S19/jHKiX70R+H6uU9r7+RCPEWaONKItrIfjATe1GAApc8OfjWb1f7xJbJqPI6TIyKzxJps5K3SY
BTCLhN7YSiy/sXn6KgNrxZKsC2aCDhp0a6Zgk6u+hGZNUsSlrCv0AJJ+SWKnags2w3Oj5CbhYPdN
iN+GxVILXIIG/WPQt+l36+vOy+dQtTcDOoYrWP60v2apZ0gxCxi/I13BW4eMpJVlZcq19wPWRXDx
xyUI80lTpyZZw9N0yUIN4BOERDTSjxYIf4WCOPZt6WmWpDk6Iys6+F40qUKAIn5TIbHhZ2vXCXdV
xqcMswr1yoL82l+CuW1w1UTENPkYdWAjdiihPoQNCNSlLyA1yxmLk1+xp7zPcbC4TlZjCaOR5uHC
a9Z20ODsTBM24J454BOmVRgWrLLTkI1IUEZuLTbvb5WJYx+wsdv8Tkfr/VdZxM6UYhjNl2nSaKJO
Kk4/i3qJP8bSCITPTqu4rVYDslPSG6NzyKn5fE2HDp0dByyN/5Bz5eFvLQyqi3VAtFTR12S+g2B0
FIUBvfvkdClmBgo2nL9JrPEb4aYhWWHqEAcGQMOB4Dzr5iTDCnEf+yBSv4YaZzfYD9xr80ri8Cn7
xFke8ebsl3GQoZMRrtVHDwkzfaZj4LCZ1rV/x+s5nsu0H7gsXJBSTNaBG4u4HWjNvnRIlpsybqGx
3LZWtGXROOmxMUxciRJMOXqv7QjTzZVq+uQGfKRHCMrCKw+Huw8RatyH2WCriB6i1siPQukYvtOL
APo/ecgvhb/WiI1m5kAon3TbtiUIAZUoRCLDj32MrmA26sEX+WyX8IkNjv0/zs5jR24kbddXFAC9
2ZJpillGUkkqSbMh5Jreu2Bc/XnY/6Yzs1CJOgNoFi10R0YwzGdegxQw4sreQQmrcVFMLc3vQnFC
mPrUZqE3aM1LuToj0nIoV/5p1sbrQ0jHMw2MWEE60Ce6sPf9sFY/BTJkNodF9zm3sZdp+9UdTFZY
yPWnWWl6HKRO08R7MKCFdqQViRyClAZ9uSJL+yLAT4xnuWutakKaw1FFqHd1e6JTsBZBv5QpaiQz
ZZwQEbrhGXHwlQY1cNxHJJunguK03XkBPjRasRtU52VhO7n2cFQTa7YvlJX3oW9h4hdKMa7/II9t
f+3RlPte0QL+WFv+PNDvmvsx6H1HNUHdzCuv7Vx0f6ntTH816gM+d/ZgvrQdAIGTptWacUznuX0w
BwU8F34Ur6bqLVpBTuxk9HHbuvpM4NV+rYp6+GHHBrQeUy/nTzh+dvWBbN39XHaL/s1DXN0N5oUy
SABxgDA3r1bx2QUy8DxjkIzEcV8gUaBLLcU7LTWl2FOxNh9UZrnDrrIVkuPNrOqRnpRikfq+owER
204st55mdyqIj6cPmV77CYYRZfGca6OH4rSsDP1ONeVS7eZFyI7jwdsXmrNj/DFWrsBd26vlh+P3
8RfkW/2GO52YKhiVgReqhdraHOiD3hlHNfiLSENH2mt1l5vemB0nUXMawZ5m010728Xye0LNZH0k
ALfELjfTWf8SrxKxV2bbx3ddV0zqwCqV1VFWicMHxTsP+PJk9fEPIBrp+oHAIW++Wbboxb72pNWH
k9/n8qEFDzR8gtvpdDtHm/U46gyrtJoAQ0cu72Bq8tHbN5qRVWHaD2nyTbZ5R0Oc9+S3E/sqfoFL
vNB2qWNR70dNW+AzzEU/QgLjGXkEtmR1u8ToXe8l3kS3DmZrjPW+8sauOE2Jkxr7BdkAdXDiwvAe
LJp040979Aax17zC8A+4qA3ObwhDE0ugi5Uqdd1OJb68/RjFOXDwH3aN5diTnyRCRWpdFyPCNHH9
1rN/+q+Wq/Q2CQqoHO1jBTnQeQLZYX0hzTbEnkXKnTRIZFxPoeix3YoQQfaHe2foyHRQrK6nqF/0
urhfhF566AEutffQ2zgfhu6c284hK2jT8lw3hJug25M81PKplXcEEe5CAaZt651OarX8oiIvzBck
iVYAEEacew8uAejXrgGHv3Uqax7LRif7yK2mJmkTOOl+x6e1TL5MYvOFCQXpSxNWTTM0LzYsUT2k
ytrxxiW4kM5ofY7Tsm/lLJqfazVBucNRpvXvLbJV8wlnP1Ee29VIJZ01qxZPiPPgWsdWtAy2fOpp
ib+XWSPLqOa6nJ90WRH6maJbvHsckRdf7bwKkOvXBT+vddfhNVYGRmw39j2YmKw/5JVvqzvoEjaa
k+Tg9Z/KyLAbxvx6UkFiz7EeAuW3qkMNKDffeQsp7OfSaocV3Y3VdZ6KonWnnZIj3nSgEdT6t+0k
LZ5A1iuyX3KorXQPwsvzTvUs827fJFr/3A+iMY90FFsyGa8Y8IFvU6BWT5TWdH6oqnv/IMw1T5cA
GwO/PTl14zc3yg9XtY6NwsyCQycCrQ+u+bwoMKOBpGuTKiKVdsYXg7z/ha5f+8sTU/4ZC81bbsHX
5Q4K/dom4EjJw4e1cj5eG3e9GdPmiJZBmKHTut7ntq7rG8WOq5IUQlsabxCISgqJvL3nozh13Cia
2WWUgdrinVhx+AvMsU0BESGBe0v04HpStCo3bUgQ1C7kyotFlJ30AbCUWWTGCiu71J/6/3kovr2X
tUvBHGEHkHgbr3Gj055Py2qp0dBQzlFzQns2SQd2o0FBtOqLW0D3630BSwBbOhSO2BQA68+HauN4
HHWsYCJRNd2usPzpi653w252MvMl9r1bEMPrL/av+PI2N6rkwKfPxxud1RpVMuWR03MdlGpZaqQA
a+1hrGrx4+1S2KtjoR9HJREM11V3KqWs58eOnkf92id0wfOmCjf6z5d0Tu3P7x2LdiVleqrLMF6p
wJ3Py/amyqlaq4zQozRPA13lJwIocb8Q8t04ylv97ry+t3VG0QKEDUO1XrvY9IWxLgX7ooy6scr0
/VxkhvMr62IAbIoK1se+RSHjgzHHRf4wp035rI3tPN+9e76blj0kEwrq3CcX31FtVMuEjDAyhzbF
1DGdXvQRoliQ2zybb491fexwoEcCHZEEYPYAq87XFkQOmgsp5cdWzclBDo69c2XmHN4e5UrgmjY9
QSV0eDxSN77lxTAxP8ExKqOKmgVcEtUzmhS7tdLmPARX530ZfZziI/KwrAuapZfrg4fsm/pAaplb
BGWJ0u7U6jlf9SUdETstcK7djegcZbuYF1WeiNa97iUW+aKhSpQUfrHzU7eUX2q3dbu93cm1uWul
NkqEwqdu+YJ1iT0/+ARi8d7qm/dar/7fhKGfsLI6UJrt/Py3/m1CZEX7qYqyqZ72dRLHIcHcV4r/
Q/T22l6fRKTruV84GdAgOSbnI5mZp03U4Kto0Zv0UXfVD+VmzKxfv71/IOS5uFjo8CB9e9HNzyyv
0TXC9ghYzBLGsebta966MIVKeGO/bL/5/BhyXboG86J5wBV6cXNKWVA5qcsm8mvffoRi5YdFObwg
8ywjokxzD3jvn7dnd30Q4GBs1zSaJDziVxAMkuyG4mUVIfTj7iYzmYgmZ/PdH4v6GQ1pCiH0yEDK
nH+sQhPI3+RuHWHDkWF2tIzlKeVIrDsTOY4bl9n1Km7NKxitFtEUMcrFHkxs+FVJTYVuu7S8nXAa
1E96fRruEjUklAJ7Wy8RvfLX91pUba5hSPnyB7w7e/KiIWP1TKyQUxO5xLh5UPU0Y4Kx8wx54/q6
2vwb3ogzho7bdtKuZBh0y1EayMdojdc1sGLgeV7s16Hghr4x1NVrzgUJS3Kz3QALdNVkslfQLK6j
rdEqG+MfKSsnrKbGwWlQ74iS2/nTOzck40D9hKmD2gdp38VWScwe6QsxqWiysmWv+bXYuVZl3dgj
V9t+407Dd+dYo76gXwoip9RIMl0jgZpRRPzdxsX6HaWayb3R2b/aiojQwsAASIAYD5K7F3eHLevM
WBpbi+IFrkw++l00lXBcg6ouVJDT9EqCJUvU3/eu4SZfwZHjOQeeYV/sQ7+gzoGZQh+to98fNvfb
sG3L7N1farsyWEEgTmBMLteQb2hOJZhP4n/k2wdJYXgQxS1wxPWX2p4SFpBdDoDm8jTXGXWZwquH
yLLEtFun0Q0BFAy7t1fs+kNtx4hhgLzR1rnMZaqyKyh9d0Ok9dIN8x5J06W4T5Li3gNAHpa9deuW
uj5XLNkWR+qbqyHb5PxKdDKL7pjkWRT5tD5XfTce/UT2h8aNzWgsmuXGFXy9ji5hDiixbduT4Vy8
LZDcRl1p+hzlg5+ELt7WAXDZ6d3rSBhONghQgTuDCOB8ViyeieaCO0aoVyT/uJlJ+IZyS9KF04zx
8x2tRP+TXjfWLYXk7T989nRud/12XfDIQDm6lNqfh3hqZllCVlTN+o9mzu1+TGt1r616dbcSBaKz
W+T2i06afHx771yv7DY0GpTseGhO/waB/4l5xqbKczVkS6T5PKFlPa2RkdMVeHuU6yufUfx/XV/J
Fukmn69sWqS9MVbzEmW9TssdfbYHs6NL7A/qVk762lBo0wD8BAOFeeTF1tQ9XCRINJbIaE0r0KTs
96uXuWEfe7ci5KvEg89Gvs2GhFjOBt1OyX/WDuGOhpgnh1Sgl/kPuIRJS/vWETJEZwq3m7hT8Qfd
neyfcyrnMtSSsbmhX3Z9EMl3QEQBIGJ5gYmc/4Sxx6twQU45WlJ4LwdjRlD7Z6lRr3Yre1w/LHQu
uxv819e2jPd/Vw0sbeCv52OaY2aME52wyLOoC2oTZEcMNtx3H3mAKOi7QydGdP2qlLFS8ounklEE
DJB90/T07Mvx89v78kr+jQAEnDVR3fYSWFD8zufi0v+u0a2Yo9RNIWbXYuAWi+11UU9Uaa0pqMxR
/4g8y6pzsWplHKyOg9Zd6SZiOOg0gPpjXPagSdOmXcZglH1a7OED6PktoQ5+yeUdgZk9RQIMh9D4
u9jXSmSdBXVljtjIy3OqO8PfspmzG6v+ypbmlHIZgFYEAHwZBGLFVzgpLn0IOtm184EtnThhockq
26GY7WR3naXW34uBLsQBO5JBCxvbi2+lR6/sMNBgNvewRf2AC+P8q+h5J92RViNxfe0dCkfr7pEt
7W8Eh9fP5ubwjJgQaYtFznLxqCS4eWJvksmIeKMa+LBapoeyLw0/SDvUPB7TWIj8EbRGsb47gkMJ
zWSOpH/En5cE/SIG+bTGhYxcvx/vqb5/8vOqf/85JbqhlGVtKSZ1x/NVrE0jWZac+ZXDirB/qlf7
TnDzvn2Eru9bVGR5nLkCt9rmVZVAghJJmhU26kgwuINc5uaBi+a/vXexnn+vUi4CXYCDqX1sGOsN
vHs+KQsva1lgQxHp9Vyj2FaSM2SrYZ1iCLC3dM6u3mUGAwlPGsYWQUDkYgWLOsb2NjHdKO+89p+M
fkt9nMbBE3fazGW/g3Yn3Oex0YsXE9E8M0xRyS/DCieFlkatXfxIAetTRlyTtPrAc+C2H9e5aL8K
w+rHsKuK9BkvJ18GK0iQDprgOLfjvTEWRR1m5LM/ZrVk3o5eRPWHPnhZRaVflt/M1KYlu+CgIHaI
YsFusc11aaIeqRUbVIdWZF9oIFk4YtAErQ+9I/3ku4Lc9tdSY2n8xgmwKqOpXpP5k1F7vPcdRO8J
x0+RWc8K18zufiLLAEplEL7uJxUPY2jp9BKCWbrzLT+Zq6PIQlvE45uJ91Z5uTiK1TQtaZ6ZdiRG
7Ss6nBbX6XwURQu1scTW1W37Gxfd1bZlRG5SSi983o1Ff76P7Mz21Dx2TkRnfdUPg1sgJJ7ADMtC
UyXzu8MsUOaEiIhIg0w1OZbnw2XW0pcrwKaotD0EHFpgLGMV/377KF4FAwxCFInRC1f39mqeD8LD
MKYzntmRwF8ynGp9yOg3G+ODVaTdR60qnBtn/+qeZkBrW0ZyNc7ipXYU+g1+66UzGaKPjYQVAzhB
k9u48aleHQXqCxyYrWVjXXyqJS18CJe+FnlzMX+UYCK/rktyi3n12ihoDSBXTf3WpgRzvnh0uNPG
hBkdpabR3eVarQIALLfaC9fbDq4QDw5+z1uwfak/avjJwn5L7Qg+ubEXtFnDUq8BBFjmreftekI6
grFbMYmiDjDliy3nAkng8Bt21MutMSih++UI9954ya4nRGWMUimJIKnnVf9iE/tMjFF5kRXLrPyi
+QW2a7aet8UfhHWs57d3+PWcuPxtzqzNA8Brc7EVZpoai+w7L9rE0r8B5s1eymK9Jbny6ihk1KZp
uvy5VJ6sp25o23jxokn3ppduTqd7XWTy5e25/HvmzyI6igKU0LmSUfTFWvHi0sPiVrNg3/sRZV/o
hHDtx+ywQs3qQuiIpnlyzdX7O0q9+F8sujk/pok2/qoziGcH0D5KB5Zcxvrh7Z/1ygeFCLAJYm4S
w/w5PwdLVSZeF1d4ABZ66nyUi5qHu8quCvV1BTn19+3RXllqkNloS3EtUiK54sUMydx2i2Q0J7ND
zot9cNC52b09ymtzggWDlR0Fd1hg29//J1Gb0qnRinjwowUnXiCRuRZJVA0Auk5j8PZQ1y8ZhhvU
pKAf4ORNGno+1BYvAEfho9pWXh09ArBAoZdyynqtDkRia3/N7OYhfGUVLYpM1JcQndkIAueDNm3Z
aBCy4mgCahq2WlmF2rTcEi+9fl6wwNpM3wDrIFJyiaNPwSCOuhnHUQqF+anJsuI38uwIZM/oIXbU
f248Z68sJeHkpv+t01aAC3Y+q3aRsWUjFxKNyeQHQkN+Qkuc/ItGzXHn671x3yxzf8v28LW1RHcR
82tcLCDQXXxAzR7mNF7yOKpLXmrPW7Sjb6hbpJ9XR4Epj4KUS2vtUnN2RRfEstYhjkxV/kZTZtmn
nffuFBpPZnxReGx4AmjIbD/iP9u+0nq3IDYX0Sw9Y6csQxzK0iluRMmvHC4iKHThN8ItvOWLBUs7
+Mo8aiKSlpGFvWFXh8pR8DlV/evdZ+tspIsXTbMRCUliRvJbxMxcFC3uE83mCE+NVwE2G/ArLWMx
7N8e9tUJsuPRGaUeQcHzfBmNGrfZVGcZyzmLf1Es0IdwmfpOhc7S9T/fPRiUM1xathYkjeSLMIQo
GGs7yvGRRQjy0cQHLdDrtdpNg2bfqB29sgfp8xBZUCvjtr9k7qnMVCCH3DjKZB8jC9OhqSCd9+r4
845S+KbKwmMKU/CyopD52GAN0hIR4vVgZrUcBLozybt3L5vPTFB0J7zaypnn32gUReMka5acYnMo
N6dcf181vfnQ0LD4+PZQ19cgaAPuWBII2Prs+/OhpimbAdGqNZpk+j9Lxn/93HxWWoO5SVkc3x7r
eusxFp4Omx6stkEpzscyOty9knlZIxh8Js1oNOPRhveQPfKX3dtDXe8GhtoUsEmr4UlfdjnXzMm8
wjaoJJbOEvZgAXeZGt+rjvlv10qjuoQEAAXayxZ70jZEVutiRZXQx13jpr9H5TvgH2Vz4yG+ng9V
HUqiLv+jWnalW7Y0kFZ0chPkaNRHjPeKU+EP8kaN5foD8c7TgSM1oYKEusH5ByrcOEvxQzOieEyt
QzvgH+srrw5KXd1ykn1lQviuQeflA9Hzdre//89tTmO7dqtemhESEpt0jQeAWBbuu+N5OIAbk5el
I5pwL3LI0plnPC0dJ8JyFdTT5P1MS+dR5dZ841a9ng6xL2kQXGhYc/SCz6eDpJMyGzd3oyHV/xnt
JLuzCmndCGavQwgG2aYBy5BQ/rJPFScLajLt4Eao69RzYLYCAlThqG+kyQKQN1IoSIiA8XyvDOAm
vY71Kq10qIdkRRexyzIKveh7oAiyH7q71J2etamNb8zueglBWBGhU+SjpgAI6nwJY69E0qAdCVVa
coZeyjgQnTbduINeGYWEdRPpBdvuUlo7H4WbKa0oL8WRtdr1brabOkwGKBRvXz+UKfjvnKdDG6mb
KxyQNZVE4+IoaRCCurTN4qgcpevvRD67+t0w6+kvJAjGl6ST1p/aajRxMNNx436j2t95m5OZvwI1
sUGnh24xG+WjkVE4eu7LVsxftma9OMR5PJmPBh3fel+4ZR1/Iln1nP2ixfp4SBCDEjCPNHN6BI3X
2gePHlgKg7KiqKYbDQSLpC6G5R7O2rIekbiZ4B76lV/sVZu41k4bext8etZMwwmtzlJ/sFd7dMog
b9qh2EMfnNbjhDyNunNmvYz3OFRa1ldLiOUlW/rKhq6HhNynFsE46642Rbrs3D4GGa6tZlXK3SRn
R92VSi/tyJQUXUJ7qHpaW2vaDc8rZtImrK1u+Kev5NA/Nk1Oz9Dox+TrIlDJ3s1arJIP42LicFBB
PO13iptYQVkAPbxzu97+wrlvkzvHFAZlf+TKwoKY0trXLkyCD9I16k+DwYwfk8Uwi4ODRHR3N7mW
WvZ+VkokhYzS8qPZQugs36GbX65BUwuEofR8RWPIrcbp65zN6//ydkQnSqiptMM51+3yWZo0eTAU
NRd4c9JxACeWYG5wtULaVWLqafIQ8XIBy3QzhTkjdLC5g5CGVlv1CaJi6j+m0F0ruhG6kE+ULlP3
z9oJrfw5tFKm9/qIEujRwrlK+264Cu7XiF2dOK2G43YBrGGYZfBL7Tw9LEu2yDs6vt2poz76zR6a
IT/VnY2oIGRDUYEKtaS3U+OiT4e8xrsElb2+lEfdmuCqVB2tk1Nu4zR7chtgzDsbfaQubCY5ijsr
Q7Vhl4LRrY95SbB3EoYueQEtPssDqff6d1rtyXhypQ4pToAb/dlrdu9RH7Cd/k61fT3u3XpIkKky
8nZGYMRUn7I4drwQIHyaPVkzBYcHWw36dCImn/Kjk6OStUvBmqKHtWCUakNPlMgZrK1VI264Ctmi
f9cVw72sZBGHa2WN6EY0hqrCfopFEkyDmcuddHIbypMtxjlQ3YAsU+vgY7vpY03laYjFLIOsLcz+
zuzBJ+8KZJWHPW9KubJXWq0LCdpH+CMC79j52fUlnzcBiyTDNfM8ee/3zmoeJk0lFsqA0zLul3RO
5mOT2PCLgtofjPmjT0MIc6Il1sQe4e/W/R5jdjo8+HPhfU/HXPuM1KDvh1ncpvVDMqOvEGgleqXB
aMISDAvVs5823cQq9JxZxIFKIOqEc5PqXSjI2mKKwI7Mw4xqyBo6JTQZghUrkwHAWR+jRooyH+pV
5J8NvRWfDXRR8o8JZmL6135Rlfyos18Ql8aEfT05XSHdoC66ofoBF32YdjNgcLGzlhJYe+ck3jTB
LrbLtQ8lds9NkFUG/tapuXjfbTdemmMmrc6ElEXH+9eYYu8JrwDKYk/dcLGeyzEt/zfZrd4e595c
S5gE2vwCLD8vnlcXlPkHF87McjdQ9Oi/IPLF988Gv3npxJzoO3hzPrQKfcGPuMPl4EM+4px78JEN
/DnYaxk/6rhHpvuccyx/rbO+YMxWc9zvZzRj4XVDjB0epnGdoDiA12tCeC/lfNxcSp39ONj6EnBK
WEK4aqn/g2s4Lo4wMqc+GDfDyLvVja3xLk5dfzj4Jd7yYediVP4PnY3WC8dlSgz0ORWiqGLxdWQY
KQSqB3fE0PdT1jlQIJt16Y1PjlgSdZySWVsOZmEM31TsjsuHBLJZt8+0tmx3M58Sy/Vu1ft9NbdK
PmVFEkO97QXu1KiUjYOGn8gkrN20iBplSrtvrAee2hg6V0Vb8pDaSyFPWClY7X0ph3GJKkTmxAd/
agsr6NPFNR6KaYHmNZi+HCJPxcb6QNBtm79jw5YvpTRn89nuOt/9WrSeqL/F1DS1z3qZTkVUTlo2
BKmStjpWRj085QqpgoOTQxT/itHbYHfh2K222DnxvC68+TKGq882QdcShVQPEh5KM+1OgzRXwdjx
erHJtk3JoW5RJj5UXVwsoRzEaDxhbKLUwVvatgnHNlnZWAoO79FrJwe/y3IdnO/cWGPzSyHbJdyw
0coa9l0b1/OBrtj4xRWrtYZT68XuaRC0C7geEpVGHHD9k6OcRttPsh+NO7/HhPknXLqyP6Q5NcgD
XYVSN4OlEEn6MVvR2IXw0doljSZLqIO0ybSRVCTpR2gvUT9SG7mAITDWWBQ7u+fehEtTN90Hn/7t
cHK4CT/Au2rrX5rsk3gHG4/ENiOO+Ev7irRpLDzV3AEI6/AbGzOQlVBPa/uPlSU039DfaPpdyd1M
yxRlB3tgnZVZ/uX16eZHX3jCD9a+wlBCVLmehYjOjuJ+yHOHf3mlv7K3G+QdA2R3xzig/2dTFMGU
khDTFsoN/WY1vrR21aNvODSQHZXy3KdEG5w8Wl2V53tVWgJx9kob2r3G26kdHX8lrskbDVPthK+0
RNB4TTvkX/LKjwL9r/XgSUqaO6dLfYzrVNpykqQ+Ha18ES99hjHGR3ctdC1YM2V+H5NkzD7lwus4
lgphFm4z0ZnDz06gbZcG7JF6/qxm4fqffRDtsOnoHpp7r+xpViAjj6Ygsq5Oc1Swnr9hBmVBL+RH
xjz3qWvi2ZgIjMTXVWweX3Upv6L1CACH+1c9oJBladHa5pnYjbAohz/ZkjWYY/dz/ROOYIwsFzCs
XxIC4K8F/pbaq3wDCS3uZHAfJ7DjoMMafXHIkAv/g79oJvcGJLP82U79rH6okqozCA7n1miCcoGp
tNuSP7wl6rXJXnKZF/1LjUQstHFjBosu0aVBHmAxl4/0GvEDr1epxOfVMWAdBSnv2FcbQG73LEn4
u11FjzaHOtqvT4WbjuV+KtaheVzmOZkeXaHN8g5ar/YAuhv3ttQd85JlFv3zoE0WHeIcWtyxGYbY
DT2QBVoIdx2yFNElvwgRhfpTgqBo80nDRtk5epa0fyNhzm6bhrROP8RpI3FsE2h1PVAKm9U90bHq
79rYyORT6eV9HaKbvbrHWJv06ZeLQuPHSm1arNglOcuxUXo2fzTnsfrHG7xBj3pr1F/E7FvTbz+O
O2NfY++yfvb4R12w9HmyflsrgfQF/uXZsSM4jXRUTuwQKoa9ELvl3JXt1E7yMFYKZP5gNBRJgm5s
e7x/Wg8l2JOJcC3gig7aVwgfKeaxNeMm2w+aML8kHvXFg8SpHeiA6ixMbhAe9dygEhYM58nycq5s
XzRjaHrJmP4w08UzP3upPbYvw8hmgNGyuRnZ/HOxS4ZN8yQA4zJXD05fVi3imXlFbZLNan9KrMnV
nxo2XPfFS1pj2ndxLaxjzW0PDMNZ7QNZoYnkRgEF4L6uIG3jYWNl831h9YX3AJVubu42vl37t3S6
uNwPoycc9nMJk3h2K7S6S6RjxyPkVKCXOD/IMhgmw6gPIHtd44MhOhHv6yyNUcREQlSbHlp00LQi
kFpSIeYik0z8U3pxMR6qUSqaQwIK8SEHDG4hJ50pTk+ibQqetJhQwOq40ppQ5jJ+mtrO+px0A4xQ
u8/k8Ijvbe1EicD1N0w0UX1Dlo4NV/Z+ox3iGMpwMIN7b45LG0/yQ5kmboX+KxU9yCuzNZSfbFfC
Gw1GR26K7zXQ7Qe/Knr1abWdke0mpDF/q7Qa5dQc3m8axkmu/AAiaqEFTeNizJXyFDqbb2jys12W
uA6J24APx8pPd4vJNRSs+kjYxePm3LLM2eqz54mlT0Gf9JXcknz5svce11VuV7HvU4E0k2PmIxUs
R8d8XE2kadAG+dR0KWIuoloH5JSt99rc0CqBHUdNhWLKxva4KHQk4zg3rdnHEZCRKmg8kT2BtMcy
D7f0p7eT6H9rjxdTRd+IhgkdZhSjLuVDhZcvbif8OOpRa84D6cnxVwLR8XMDYd0NRqMtfjZFqpag
4o159otE80NViOz32z/klSWnJqZTQ3LsreF2MWd0W7UGYKCIkFNuAukW3YGPPh4g9PQH5ASmyE8r
vB+yId3BiH5+e/Ttv36xCqCTKcGgFodD3SVdEGnvjoe1TE6cMNUdxl65MJEJab4ptHNhL1VQVG7V
Ly7HJJ0BE70xGkAoXGHyNbFIi3s3jtBWIONz4+6gvNF6slbETkZNX29UZbbaztkcGY/KOqAkHAs1
sBf8/X+rgaT/nHZ2VZ3RmdDt1vo9llyouZTDDtu6+JEAff6RO+Mt9tlVyXMb2dPp7G8Sg1TAz0fO
seAaKJhQp8mbIixSsX5A3AGxcqTdfrz9Ia/Kd9tQ9Choo9IIpCF3PtRAz3ipFzqAIDLX7+hUVIe5
d7pDhZDQMR1J3wCIoY/z9qivLS1fkEYqZXeaCRebtydUGj1JmynRi2+lT38pT+W9Pk2/zYZkFvJ4
UDhIxLw96ivLCrGVijh+TohRXpbZhkkrBZmViDp31Pdj3BIHlq4MYuRR/3+GoodEXXTTUrxsFy85
rPbWXkTktrG3R6VpDFZEB6gnJLckNq+Kei5oUsrJvgZig+v3onjoCNcqhZjQoO9mFNpn/A1MpdU3
DsNro1BMpjIOxYc60MU+EY1W1RwTvhglkV0NzToEi3Sro/DKbtyMIEGn4Yu8+eOc70YUv3JpeDj4
ZrXIv44QWZ8lK2meegvvWLEsHiUZVKqNu7d3xiv7caOp0DTxwPFwqZ2Pq6tWAeJL8pOG+Rucuq48
5ZNEZci2EMCsx3yfSH15LtKxu3H+rvckteUN14ORDSXmyw4huAWnX6mDnBBul2FfpPLrRO4dUjC6
BfK6RsNwxukIOTYALHO72s5nGYsV9q4s6pPZ+diiYmFayJ+JHJLsqdD6karrOOr2KQXnbt/p1Iq/
rCQ8w6Hz4hEVG8dERYWNqI0vb6/+K2tguBxMdhUnE0DM+e9yzK1ThXD6qddQQaarNSfBQCuSPJew
8fD2YNdbjIsOtAMdqw33cHVchsXU6KcXJ7WYCCMNc+8HE1o/9xLKP6JEppZWT21exeuNPXZ9ggwq
nZDl6NCC2rvc2ynpct9jm3iq205smjbkBUQt7754GMWnZGnQEIaPt03/P4+WWeRIDHl5eUI6RHwt
6izem6uacBWJb10814dmw/Fx6K2Ngs75OR9qwDwYciZFSbtptVNe59axRYmJG0J16GFlcJBLGKqU
MN59FzEwJUIMyeg6sZMvBi6NAZZtVZ6MXEx7VNyWoC3X+L19R5dRoJsDJyXswF/8fBR3tpGyQYDr
hISK88esYPJ7puq+x940vhfk+e9QSDBshC8iWON8KI28hYPLULHfGwQ1dBo8r/jz9sbfVuU8nOFi
RQjUQ5EDee5LyJ2Hwlrfe4rPVZTeR1SEDbUDuEBZuCiA5LZeY98SlXhty5MMAI4Bt8LFuv39fzbj
MOjOsC5leaqkqn4sU6nu3RzJqPdPDBzH1oOkhe9fRks0tPSuqbPy1M6ae8Buh9RnXfm/gcjbmgvt
/eOxJ0BjUsUCXHR5kNfea70qS6tTluFiqFT5MtDrDMZijnw9/+ftyb1yyACcaex1HsXNa/p8Ce3J
mUZEJdka3q5yZXNsrPKzkZLmtKYR72evXamqdTdukVc+HKBtgK20n6ADmBcvxeonY12gKXYqROV9
b2cuQ3alvBUGXl/8W84GNwg2DEiPywi704e82FQAT2YBB3amln9Ia7O4H1x1k9C7PSIX258YmZjC
2zAs3iWJQinKOtoat6cOESkVVCh1jIFmo61Ohd/FiWehzfBF68vhIxjM/ufStbOMtDjBlYSbOx92
UEDWz3WBqF6QLYlv3q2Tb5b3fTGYxp1nK4F/ElGn2GGyUk17NxuLZTcp2gon3tF2EwnniB0KEmjX
CzR0lNWR12iz8p6ncfyVev6Yo7DBBwkLsCLrnroCoq7/j7Pz6o3baP/2JyLAXk6XW0RK7pblJyeE
EyfsZdjJT/9eo/fEy12I0B9GkAABPDvDKXf5ldwQdRzWVR87Pu3BEovCVEuWE7R88myUjJHIpJoe
5Q8KyBPNt2D2umA8VwIKpNTa+hEicL2TB9/ZIR63g0rCjfQIEhbX+zJyO5M9klWhRZ/mJ8qY8xcs
mfbcSl+z6c1Xo79P310ijuDry+Pxxw2isfPcYuirEJU2o3mEv+56L1jy0J3NV0rtB1VHlDekIUib
rk/E1D/pqRGXRxRllvRY26PxL5qt7XRxo7YR1GeXOTmtcVP+rcCktQKRAen/Xz+qSe8PFGDj4O3z
e2eLI6gDe0e+IgDcNue3RKM3ovZWhYqSKz8L9uAIpk3VToutWO+m/UPiI60CncI/uCNuniwM2+xF
I1sNMWAcHvo5i0+pYzRnOmLKzrxuvz/XEQIp5G6kjaDorj+M06F1ZVCI44ZYbeOEcMlgINdVTsn5
7QW8fbaoLFHdYTAS1BuYh5N5meamXEUrcXHvN0WBUUtqGIc8wo6M2icNjLdHvP1kXO/E4wQ2r0/l
JhytkdBs88Uuwppz5qNgVnPsaKRhF675bw91e7tLaDbwM4AfYPe2q4h4ctlG5lKGmijbo758qJrK
x1CK4qAsJ2NFWkqZ3Gjner+3pp7kxamAnIhJ5Qr8caoKHIli7DLKME7z7JCM7jG1C9PXhPkycs/v
vJd3tooO/B4pcocE8kYTqZKI4ip1y5BQITmWnZE8mknxbtoHxUfblkMQZUPQ2Ry0FbE6DX2+JkRI
BI81nWor8BaUhfmcO1/tzoSkNpCEoMPLI/u+Xr5hjJEIV4YmHMt5/ozvWvwQ5fiQvL037nwk8I/8
7cDR8LjeAqtctI6gl5VN2DXnXhtZtCqbDuZMW8dQdjbEnRnxyquOxDlJmN0ma5gTQrUaGcowphp0
FuAtzslSLN/entFt6iWpU6RcLBsB1JaNMRm8q1Fms24LGS6hfU4rSyvgvlk1bn6zOjV+jifXurOS
dw40xH/eQeCDMFq2OLjOEUOFrnITtkWrnmdgwQerVLwjpgLvBp3zVEE7As0is0sQ7tdbw8jUeHC7
qA6TbFqPjSX6YybGvWDmzoQ4twS8JJMUYbfV1zUBbrG2ehOuPRikMhbutxIA/cUYMvvdWRAPrwa6
j8QcPtDWa31EoBrvkUaEiL53JyIazy9FZvqLhn3o29vjziZE2osiADJ0KIdsa2YSQz1kYy1CA8lP
E4S7p3inxRDDXpXp3kA8jlJqCFcONFCuP9I8p2OGoL8IcTnNkLqYoIkpyl4mfm8UDxQz7xYMeKC4
16MUxWKOXo+2IkrJ6qdEWXUX3VMgbTvLdntPwA+EZAk+Ud5JW35P3ZUIG8/6EHpRFjsPxryghJ6q
fTydFsVDeTJdHLEX1txOjqCPFwSpOzSvSLuuJ4dFLd3VpR7CrvOKcCRWoNFT12m+E2bc7nRpWYWh
Dxk40Pbt0W3dvu3KWR1CBOPFmSL9cIBT1vmQx/eqw/emRHxsOx5/wEXIn/LHo9jp9kAl3B4AOSTZ
eTT0Ga0VZY/7cndCtnzvIYvwUG0WDjaaA/wxHsNCm8oPigPSAEVmy0B+TYHb/faJur1wyeEsab2E
ZB5KPJvbaDSsrGsBE4Wj3VX5cYonzzkbnULyYDnFkIaU33XvshRl/Pn9I5MZwLynG8gjKTftH4u5
mjY2NGJVHnJhVLZfoc9cXczaA8eyLGCdntoer8Ojbs9jdX576NuYSpZR2HA0F1B62ao4aGafuG6a
twHCE+3BqYz1WUsshKZXNX5YadB/bm2j9cH7RTvLfbuDeDlNWvKAZ6DBbVksrSE6MZd5FwyKMC9Z
0/Gy6eke7vn2vLOm3FzySZM5+uZemWet6UF2dkGupt/GrMSbuWx+ukn9r2110cPbi3m7XWGUSBCq
9KmndrQZTEtN4EyqjSpQmyJNv8bLOSevQMVD28P5v5LNrnM9OZbExVNPhLG12TNxqleRaSZI9Ii4
c44iARNyRDV9UI9zk5q5hHqCGZCQnvWI2aj6RANiHL5Jj0ssboEQav3BTGYjwh927nsE5oHWnVNl
okE6xob0h53ECC4rc+Jfb6/T64W3/fHgBygok6JQy96c6ynWs0kTTRN0RbYmYE3b0vhsGggonIqi
cpv0QLm9SPxprgsnjGB+Zn7RGWN3TMWcA6vORgLvtVm68YxBXxyf8p6qSXGY41JzHxu1NczmS4ky
u/5iJiAdLkrrZn9bfJ31kCfcnsg7koEfsyLRtANIp8z6CBACq9KJanbxRceIZTzGcHuRFAPvlmGM
ExfNz7fX4d5+Ici3+JAqPbati1I3VirgEjOHqQbMRV2KF6IF6+A0zftjIEfW3/A1JOqnSLV5xNGU
To0JgHMwyuJNP5njBRPtCdvXeD29Panbc+2gXoBcGsKEzG1bUxed5/G2RVVQ8xB/AB1UHgvdKd59
exDSyZY+wnbkS1viNclK1zgu3uLDrBZHdBejB70ptZ3a+Z0PBIWVrj3lS9KXrShbqQCuspJBBMJK
ip+tpq/ZEV3V/GLpdV3sBN53Fo6OpOyyyIYE6mLXr8C4apWxaIlA1tH9KSGUwcgrv/N1bu9DGE/y
jSGloLe7rdODIq8tUCdtgHbs9IDI57oiY9/1aaDGufk7spVB7ND6bhcR6WceF6JiIuMbwh0MSYTS
G56YpMiS73NrTkhAK96AWT2R5bTzye5MUL4qaHYgFUhGuNnpxiQEsaNUggNVMh5yyxYtuEEcBs5Y
eyYm2POFVvbbe/7eFF1a5IA8CIpuSNa6sniix7opaKqm+QxxY/xa1K54yvC32YkVbncJpDreGHgv
VLi5Nq53SWGWDd43ax+YmMFrh7bMXShybbvk57fndDsQLooQqwFWoEZ1AxNSNEzeSvyJ4Tz02mE2
ctCnsfFuDjf8bYI7ikdEIdQ9Ni+BW8YUmC2zD7BT+hVb4qKV88ep6eHbDOr7C/UyLiYIp+JB6Lq9
NASW0KqVKD1csr74OYCtPoENnnYS99vNwCg0qWnII+NIjfH6C6HvBCRVFUMwVXP1iB6ac3Bje5aQ
xL1c/c43olDKnIjDOc3bLpWjYoxFnWAKpiZXfOAZGNlLMP67dwJdcC50gBPUI7bgqVmp6H2Y1PfR
O8NWCK/QT4q2rjvB081cZDtPXk4IhMhPtFm2DCqTMyaA12s8Mz72ap4ctK52dy6jm+sBYiqHBpgQ
bQpJML3+OGaReqk+TFOQGw71k0FTT3jw4fCjFOllMmP98Pba3R0P3QVSCjpgxja+VlVEvQzUYgLs
+byvVNinUz3Nze9RT/KLokWwZt4e8CagZ4JYC0rCmgwQnc391yoFDh6eMQWWWMxTGicP85r+nCft
Qgr6SYv0p7U098KL+4NysnS2ohz8elXxYxBqs9p8O1X96TmrT4OxPXQNpklJklYHp+8+TeWeh7Im
53IVRsq5UjQgewA9RCRwPSymglmnt/UctDHg/VFTj+sItrMr9fwx6hXlK6ZB4/e5qlKQnWVrfrWF
af6eI+v57TW/yRz5HWSN/7/CL80Urn9HkS0CbLY9B3Fl2gjsDqL8otBejv0+0ipJcaqUL9ByyT7e
Hvje7kLc45WYT5HQ2ZwZbR4oD+neHAzDuOBUZ/8tAN+2SOof+jr+6+3Bbu41ZukRO1Jz4v4kcbue
JTV3expSpB0TyvCfBpxXwPUr9s8osn6/eyRyUQBUMFa5d7b6sVPUI/S+ovw542sS4jUFlW3QimAe
dfv09lC3tw4joZDC24NQMvWn60mtyMUWTQ553gPY/uIMTv4rb4W1c4PeWTq6qJTkuKKlgvBm6RJN
z8RSZWqAXWr2uWoK57EsleizPnblTnxwO5RO5gnWFoosfbRttZPEszCqTp0DN3OmUxa103HWYRgl
af1uxjTF21cBG/IJHvBtFkd5WnNm+ENBPYrxm1NE4wuhXroT0N0eLh5TvhG1GXQJKbhff6FmUtNU
5PESaKtYfF242XOcStm30VDO2pCC4gYCtfMY3VtFsJ5cpGBZKeRuwhL4fO4ym+USpDHgRw8m0o+R
VT8odbw+v3cH0hFEeFF29ME7bYs/cb60nQYHLkhpgT8UPZhZLDjm49uj3J2QS7BAzIgI7VZWVxte
xXq0JUD++fuC/N8JVBukV5x0dka6PVEgHlFJBZ5GnM3NfP29Ur1wnGQxliCf2xVnOi86GD2ssLfn
c3vz8WlA52EJQYx/A/pdsc2Yba9aA1re3+q+CXo6n4dqEf81aBn+Xwbj6ErUL9Pa8trbQqvdCGJa
4A3ugtiFszrfTSDA8J3gioYewZ6+00m4Oz+eUhmruFKf/noVJZvSrsZpDWYXip/f2O3sCxWqi/D0
DihXtezM8XaDmBrNLCDjfDTG2wyIzYy7LKA9Ajeq2kBDJ/w8eB6mfK237AC47g4FRgxgFWqWFPuv
5zZ1+BO762IFksZ/IXP5D6PN+cQN1e5M6nYvMinUXhzJeZBNjOuRunqJIlcg46g7SnpOq8FEu4kK
69t78c58JHxA1glo1aFtdD1KulSjNpi1S4KLK9hYtsovs4R3hBGs9fL2ULfbgkUj+wNv5NI122ob
5cXQWWWFul1jWmDRhhLieGEY8UnDVQ3nVk95fnvAOyuIaIQ0dUEQjZbzJsJojRXvHlprwapkzod4
BcPQr+a0s9vvjeJyaXC7O6/f63oFrRZqISZrTmD0bsUt61XVX2qeFzu3+p1hKJbKTSfXjr7q9TBp
6+ZEo6YbLEUan5ShwOWFXvT7N528aKXoGhUj0BHXo2SV1+PwmkeBlmJen5fCOw2EcDub7s5cuF+l
zwgFdMbZfJi60hLpGemS+i3Jb6tc3U9qHuc7R/X+KGxunXuPZ2NzgESWtFpv5S4W4Uv/wSlq7xij
g73z+e8cIBlCgB8hcabMtnlt4znrHTiZbqAioIYcntA+IEiK+e+c7wm7vj501zkD5TWeQcoOKsHl
VlbIrrJGiUuEITQyobh7Qvzy0AsHCAl47cHVfhQOpOjyoOIdPWb1kXXx0XvABCtDgHP5luD+qCw/
Fve7unR+mXzoFfgfdvk9UV4ikT04HsaOwpj/apXfbx/F27NP4CgvTSoIpK/bV2hw4mzAWSHiW4Ck
NIomDadGj32jMdECj8Y9T4Xbb8947K3XahrHfxN4kaYq45LBIKoNd8b+paqPdKb2QD1yn15/D0D2
FAapK1BBo2R8fVowUuuh76xIBXbNGBCR0XFI4bUfYDp7n8Ge5aHRt+IJw8jqhSxr2lGLu7OqjMxh
pfQq2VmbHQ7stbaxAohDugtJgL4GRt5Ykx6J11KepGxP5/eWEkfV2mL/wdiQjZutYLTapbqDJlwc
5m6yzP9pLnbdT3EFKta3MCIdLrlELDysvDTKcYGp+duySglsSczCPb17SwELl3Vgskfe/s3k0yGD
Y10XSYhbsHoczUkPtUyBNYLSLD6h3vHt4W5DeUIo2Wmk/07jeQslaFHIo3OTtAGc+/TUa60ZzPOk
P3oiEw8AQ7MH116nH28PevuB0TOHekeyQgOEsvD1BsOE08l62+sDHHpbjn2KGDFERCd1AiyGULLL
67Xba1xzE9/sa3IwQ3JkJGLtxoowSqQ2Ml3UIO4GV/FTxLJHv227qTu9khGexrFen13NEI5fTqrI
fq5eP9gnG57gp36kbo0alIq3bpVgtJBzHyVRXnIDAXOheNXAPc5TVKp9qHal9ZyuTVQfhpiA56Om
j0Z7sAd4Q4HoBjP/0i5FrfysFFoX9LJna5D+9DUOVWWVtcfJSof6n2IeYodmQNLFZHTNUNbHJIJV
+23RFSvBRVihHusU3Vie1MlNBmyXUeI+W7CnnpWpd9ufVprk+QknAsc72WJQ3Ys9SyUP5ATa3y30
3fQsYgiLj3k0jhk/04FJpo6eA90rmnXcSg3tBToIdqIo3gxf03waBow86w5X6TErtNwH37PWFz3t
VfV/iqlNyoPWrGuHpKnSjD90k0wxP0Rx4amnpoty7SWbPHf+mAjyiN9YnufIB5TxMuf/TUbUJk96
h1LMY7wOyKIWWtFOvp7ayHSkYxH/yPIs0S55uZaJ7xYCeBKVHDtXHxO1dumYztmSzYydo+DknGa3
SI2zkztOEwyjMyffcrWO4wQjYTfHswDb4BYyOcHTAeydNn3yvELnKHhzLvx5TGEQtlRz9YuXNY7z
wLTzwTd6NW0+R2uf61JmtOpeBlEoHlIU+to84BcU/SuUfi1foOzH/9pokuD1h4J7/KFpNDdqfKOK
4HpPXQGxvxhqtCw6ClVIQw11Jw5jOljqKaIZjGl73Rsmiiidqj53BLn9d+AksfZtobacfgUt3I+B
YS0dwkqIXUfIwddIwCRZ6QynFGyo+DwW+fjXaqAh/YE3bPT8BFWg+JiphbfS0J3QusJOOmqPQ4EY
x6mzqiy9YEQ7zI8L2gQWug/V0pz51OwxQ+fuezDWurWPbT7bSZg7WT6dVdbeOaTwxp2/aGV78b9i
1obsqE2WJ6C3FC0c0Eot60+iS5P6uLqTKB9E43T5k5qo+v/SJLPzj62Od3lQ97OAPdIlONUPCeLI
H0Ui4O0jF1P0fh0p2tfRXNz2Kc1QHvGLSR+tjzqfnTZgjxrDk6Nn9gf0oXBlF5jcdk8xvU/tjITg
6HxdoOElz2kdlcWn1APkcgQbJPqfIl7KjyiwI1ZSslD9pXa0WAmTMYPrjaqKrf2o3Nb9K0duBE3l
Eomzj4oKTOKc0BhZLnlrL2iq6G6kq4cqM8rpZJi8nlowYLxrPLdDm6TfJ0tZtE9W1CBCmsMCxKO4
QagvVQ54Ii06Xr1Y0Zxnb6YlTllKROHsIBrlryla2R9qZRIvKTWqyDhERpl9aHKte5qnekQgvMTD
+uK0vWEpBxeq309a+dFcwyEpvLE4IFnGlXdEXymJv5KAxSke2WneeEczVpzu3OE+3NXS0Vdh1kqc
R2cDlJn6cSm4nQ9RVA5RsFAbfwEt76bIUnnWDwJtVP4BPE7oDiWjbvvwjBXqnIlwveNMvVIcZwUp
LbRQynbhOObDjC2KV6PI5iy4hGn4QmOY7lqY0fdicgIXG2vvcVKT5l8jYZs/5qiP1b8EJTw3UAzc
in9aS5791hMzzX7C+4nax06bx39gxLn4iiMc5R0mtVFdX3Hj0TyuVry4l5FHXwnTGRujj6o3x0aQ
CL7tV2vE7+CiZIZTHiotFslLPFtU5vA/bOdjiyaGQCjH6M1Azd3IAGrnVOUHlQdzwQtkslZILH2K
JmpS95M/NXGzHp1hds1PyZpO/4ChHF/Gqe/Uj2Pp5i5SbEg0Hqq0Wsb/3n5S78QwqN/L0jKbFtDQ
FnwoMrZ5Uq8GrPlMPcHHmo/KalYf8AZKAgN11QsaUib+QmP7YTQF0i8uEm1v/4hXac7ryBE6hQWm
nsuFWtA2kgdF14o6MY0g72N89OY1zssT8QzcqWnEf3vhc9qPYuig/0wlGdR3QxNO80MrleUzl1El
jlW6Dkh8GGs7WQcl0nLc6oXuVFlywk69MJwDB7MaQtftBmQkQMJ0v/WcszrNlTuco64blRNImhmj
eshb5pkd4P1YhNHyqDsZYK7DPHR97TcD0m3nFlaDXqFsRR+tPeizOS3lwY5H559y0qL1k0lrftoJ
8W5iLsAEJDuytA1SiEj3OvyZRrzyTKc2iUN0iwcMCgdO4HrxZGVKFxJzeQGfas+25yZ3eB1V4tlQ
wKdnuMnoRo+0GqkpMxDomNWI32AVcoAnMO9kwfdmB0GPKi0dNgr4mxwlN6h4YCliBeAYhvHEczCk
X0dMTA1fb+oFeIhR9OPjKAyl3wlmb+JKdAAQP2SKpA3sns0ULYHIFrEUSiZr+s9QTk9tO/7t5c5/
SRLt2fbdH0tWFSAooWAh//8fAEFRLVYz0DsNWmhXaABFUXdJV9XDQMGAwE6h9efbh+vO98O1A7gQ
U6RzucULoWm2WLrC5Kayb3xP2tmjnCd2jrB5ZxhJCcD1iKMs+VHX85ra1InqSveC2oaYeoKvZOqH
SgcX5VsWWmv+gqxg+2ghFlkc3bpbeZKKBUYZnlDKo0hTPXnoUis2j0mRWCnsLw/D+ZO1ink8Rk5b
LY+mLVIUmjJndANLWnjZvh6V6IEpReemP3qEAuyzjtLiM9plE6xVNe5Wn8fW6J41VKH6Zy+d4+jS
0OEcgigb4y6w6jztUeeznfxYAo0k4CNvQUYFAxeU/drYVX0QQ2XP7ymUJWy0Fc5oMQulebCiNFtP
SL9FL42tFOPBG7w5fW8JCriSxDnQ6wa/AfDmel2zJDGzpFBRv0SzJ/Vt5M0go6MYudNNv/1+jEPq
LKtdYCu3YJR41vRB6IiDa3aXBV5vFY8IhtV724Rfe3XRy9nQy6ZqxzOO6Pn1bAwiWPDz6OWgMDo/
FImb+qYx7J1nmevejIJCrixDUh/aeseLtk1IWdmLAGqqF4HG7MlMo/5LbXhJ8N7TJZ9NSa2kGClx
kNcTmlmzHvGxJGyMqnjW9VHMZydFRHbn7pcLcz0lxoHfDtlHyspuC+0KgqnpOlZpWGE3YfjyumoP
xG6Je1n6BtXLwZ4L9f8wOUnOho7D3GjNX08uBlq9osCXhl2sjadVEQtmeUSt719CF8Q0/GxOKB3C
61FEs1Tr6hhp6BTJ9OS2tLFyq7N25iLPyWYB2deoF6GDooLukvv/j3t3MadBryclC1e6NPglapAt
joSN0Ii71lyXQwvXDZcsRxnsQ5GX/Q5v9PYDvlL2JQCR00Wb8Hp8w8L5uGop+eEKOPso56J37KQP
rjE8u8W4t6a3JwDDbCokKlEVlZJteRxSaFcNFRI+kRC/NLWYzhUsocNqgUZ/79eTLpFsS9ruUoxq
8/XsGItgOrlE+UVKqa0s/7Wq6d2wJf5mGLcU++lPAGTbPNCOXad6myoKRb2UtGacCaDF+G56G6O8
VpNxWbEppG2u2iFzXOEUSxzG1Vz8DZygDmer2NM4ur1oKfZTDHI8dKgpgWxGycBZkLA7cajmBXXq
qo68IOnsPSfNOztA6pNzn9NeIqTeDBMv7dDlS5mESpWYX6zVMALMtubQHVP9+PYWuDcUSlxUXqkG
SmDE9dbO+mJYq85NQuRFJ1+lxX5GyDb7iORMs7PbXjfu9TF2JXPelAcZYtQrjuiPY9waHTqOGqzY
KavN8Th4ZjMe2qrhzSqsgeI2cOW2+NVWWqbZB01DkfEwFz3EQStZUPNdLTcpnnpQB8WjWONUO9tr
Bde8wgNGD4wpH5OdqvSd783P5TRKryzym01gBNC47vtGy8LBpIb4oFGXNh6GtSXtfPsz3A4kwzwA
DjowG57yzRe3zXJt2zwuwtbtat6JMv9seemegdXtPSaXn44bTxGNl+2bkOcmrhtoMYRDocYfEYyU
fsndiLCtBrMWDdNI7Dx99+YFmhApDXCyNEs2h9/ERDXDQhXS7rAiy4UEb3pKo8x8/yXjgb2UOGM2
MWj3zfq1Gd6zRurA7Kc+H1L9C6AViJ1n4Pas0BeBvkLCQa5DjHJ9VlpPOFptDnWozyTXfuvOGZJf
gz58UcHP7vm0yZN3fVqkqgp3DLG/Q3tLvx4td9ZlSHu4wW69mB8b2AgrlfJBKVELaRFc1EBTF38n
U1nNoPtmSlHc52gbvHtjyoyVJAs7aQlpuv4VjhJ1JF0U7J3Ojg/WWihPaGwq3989Ci8R6ADwUjIN
kSv/x80w16koI9uKAhHn2gdIJ/0BZ4Fy5/vJ0/rnispeI5I0ENd5kIAjbFY0chu1jCYY5AhbDOLi
wataHuJSHfMDirPr9JC4yKIeaivCq/ftCcpl2gwtdw6FGtIrqAybraPasYNtmgPF1slcZGJnjZq7
pk89avxO0h4SHivtMKWDSpZCv3Vn+O0xZOYWZGwogoSDEPg299jsTuNSlmUd9mWt+L0+zb6uLvFO
l/rO+nKDqfJiecXxyV/xx1ekuhBjpbLWYbFozf9QSK4qv+q78TRb5IHoO2v+kqX2/967tKCeJXaQ
2IyrZitWMS8ITWta1YZQzf/N2qX5qpXlfFJlFzhanewCOGjy+852v7098O2ioiEJipAthcYHva3r
6U4qhg6oZ7Rhani4/kAc/Cj6Wt/ZtNs7W06LJh3mhh51HIoO16M0yrw6ldl0IU5ufZC4NOaGXpvO
mV5M/mIa2eW9szJol3kkRCBAEPDZzGookC8DGV6FnUp53epHEPOUY3dmdXseIODChZLhJzPbgjPQ
qHbdRHVFGHd91B90iyKuL2x7ro9Oofmj+pCuS9sG7aDuOWm9vnLXZ1Hyz2kGkpMDndqK6jSNlQ0I
gLRhNKx6/MR//e3ERXw2paD8UQOXjQhYJ2Rxt6307mDn3tI8ZH0822G2Nn3uU1nQ9ANQDHwpmCEZ
ZOZB8Dspi7tmZ89ehuLDKqvQ8QH+5picywGVm49a2iz/rf1i/kP0P9YU8N0Mnd84mrOgNQrL8VVL
oZCLAGzbnVpsRwuo5FoaXaJZDFg3xL363FMjp7jelGgrgdXs5wOi1fXkK6obxYcZa2LHn6LSsB+X
qPCiD+vU29WZG3Wx/M6aluLAJZV1D0PWWxoq8JWOsjO87/b7jBq399GLMN85pINOZ69v0/8MY3aS
f2tj7dcfhmIm2QO4sUbQrMOLEsW0ZPzWlEZbhbOCKPyxjBvPfJzqWY2OhojnKFDNEQMBF6/p8YlW
hPE8Rx7rVpeUeI5ILxh0MpQCJVilsa2fIF2rLpy7avxpdkbzWxdqah1b5KtLP++WZXlMChcsd2ZR
JwgroHTvlVXkBcKvifAUhx4gXtu3yK47L9YiQbW58JYwz7HktbteexZrrwZ4DdSfRQuE4kDJe8+4
ZxtgkEJLy0vGlAcDTO/1Wc+dmut7WNqQsDZzWbN2+aU3diN4GrxlXPeIOLd3C5ESInFk7zTmiQuv
x+tdOrt2JLpQoEVmX5pJsdonYy3t3E+FsL8lVT70O6XiO3NEWAAxQR5Bae+5mWMMVgonuxVyvMZT
hGxje1AMsrXcWN+rscZyMjsQhxpXGkSgzaOrR/XCgw45vrB4H2Q/TDwIpJRe6sZrcGHw8uH89uV5
Z0FRWbaA6yAMKZHz1wtaQm9dV+otYaICRAQpCuXOt5K2Mk5RbHYeT29t7WkA3FnRV6Ua1hNxHAhp
14MuNFL1pHPGMHOxcT+kmhqd1L5HQimHZLeTEd3O0H59jNgu0ql4K/BiVYlLGjdPIXFv8YU0GENy
mA8XuHDT5yHP9iKXO+NJrSaIn4i4srab+DPKZ0TQdH0NR1MX8SEtMfI5DCqc9cOalCNNo66M9vCq
tyuKLya8Pv4Qk8Lqul5RuogKzj+jGk6WXX8s5qq4VHac/Gq5pXcSv3tDkZSh3QQYB9bV5nnXO703
MWfQQ/Tk079qpZsRVKeBH7ZWNewELLdjOZI9K1VK6BaCdb+eViK0caBGY4SrMQ0BYY32mIxYOU0O
UmPvPQiEKwQ/FHyIjlB8uR7KFAsKI2liI4tSRKQNw/JUtXr+ddX75ISMXf/u8UCScpNJAQOp2bjJ
M+slQcfcVOwQW5PsoCQIbZS5fm50/Ss4lm7nDnvVtrwOIWTsQE5EkU6S2DaZxGBNiaYAUQmzEe09
H12BsfCLqCmUr9FYRDOYoKhTKfjndBZmLUYnejbNOr4oKi56P5JZreczxXPn77eXXS7r5nfpKOtA
X6DaT79vs3EpweXaUKE6MPfYEpQ41Jx1xYl32g30u27Hoa9BV5H6JEykrcAjCgsdb1WfsGsT0E21
FCN8sLFBML4NIusob7e9jXNHhQN4f1kiQFfHDqrdQpvIFs2vyTGK9ZQ3zeAcEU8w1C9972KUmFTu
9L1eC1d/zt28MI7sLYH7i6rN1nmyC5c2Ly0exacBZzePzVBFUBrmtBJ/9VOnNh8KI4niM3dUXh9j
vXc/4wmceadIGiU923Sin+gKc3foqJWr+DYgTv5Eg6rGqg2Bvukx90xRPBKg1GENlIt+MoG/4uNH
5T6XzjT/TXIGlmZpaOcfc92dzAOF8dT2wWbExgEzElw82tmwfndFJNwHkLMl2KlqnXCGiFvop61b
KOsxwa6z+F2YGEz8zuNxHYIxMfLoSGPcMMMyAgx4XoeEO1wdsnL9t27wM/oEgxFocYJcY3k2wFKI
v7siKdPLoJYl70zE5Yy2fYQ5V09HI+XJg5wzBgVc7xiXd73JpviAIFnRP5DUm80x00rzk1NnQ/9p
Sj37xXCqdjnjNU4jP0eUQDlbs4fwSgKWw0WqoIlo4tpOFB1bo0y+YINXeY+gd3DlES0a2DgbxTP5
1+r8oAJVNH5BqNOdSD6dMnCivDNxIpxqcYqGSVOf+kKNrBP8ZqBnCQoUMDscUWKT6XSGg1akSPro
XHlq9xEbP+QHga4p2nmErfUPGqfK5AsiWvWJrosVQx31cO+qugWnHNVV1vWkJDQaj9IZ5G9rEpq4
qHohfizY7XhhSR3yp5fkpiD3z/TkYpReoZ1sLKja53WGdrRzaO4cTdowRFqIiVGn2tbenKVfY8uq
69BIyxKMT9V+svFu2smr7hxMmriWRNeT6gOxvr53tS4ac7uNm7A3Ac/aa5ucoka0F6PaZeO85mib
ywY+giwb2wA/uAeux4q1uda1lRwuSw0kcko9rX+lmrRTt9Bz/j27SEafYqxM/tGTbHw0UvarwHbG
Pi4x/T/fsPLaPY+D6n01cyPOgAoQ5/tmYWo/nEGhvt5ECLwEbjVx+tHe6aOL12nLnobFvTXjy8gk
XtZGthl2UToJVN2lCa1lqrCmcubPa65pvz3FdncqJHc2gfOqd0WAKEt7m/tZZC3xhu2JsPUm8wOa
JNq5m2rn4b2vAO0JRPjQxYOMy0N7/WG4x0bMAAsRmk5UPc1uXV5SYtV3Ry5yFPYZ8a6sqcll/bPa
o5hWtxiZCJs5XT7FcasAqyzAEKIVe3z/hAwqS7KGxb1kbJatjHvF0pOkDZtBK09uaXdHQsK9UOz2
49ACJuUzQEdT69x69noKSkG5NotwnWuHV5teyxiZyU7scBvQMopLz5T2Dttty3RVKECabZdSNaJx
+YRi8XJZNIiTS6uPjwk13Z3I6N6suHCo+dNV4N+btYssYClA6Nows/HdKurYODXq2O7M6u4oCBUb
lipJqNuN3S9FNQC7kF8ozU5iKEF5Ns5eH/j2pErDATTi2XYqyYD8FX9sOZ4SoOtl1vI2D/ZRdQbv
ofK00R/WOtqZ0G2BiqGomHItUDzlMr0eyugNop904jPRs/fLMXlxx+yyTppxUFd1JiSpDOzXtK9v
7/R7M0SCkfqUpPCjIXc9bF/YeRXZektdLMt8RE5VHCrxZiWs3duI94aisUW6ynCS2Hs9lDKsIz4C
uJlaioUjGiLOtIeOTjlPx7fndG/Hy3tVZlSw4K3NRWF7iWLOU9mGeF9/cNCyAoyXDoholiU3RrSX
Dt+0GUkWeQPR+IW3LlWFN9df2WdK2qmMN8V59qSl/4+z89qR2+ja9RURYA6n7DgczUijNJZOCFm2
mGOxmK7+fzgb2HCzG03MBxuWj1RdZLFq1bve0OUfI9eRZ8UjI9icSm+fS8pMhVvz6wAt/3mIK/I2
Saj9K4y64ighhuwiAwGc12TSt8JI2dig3zKLL49O2lWYUy51OpSrNRtwFKOeKynZhGHRVfPRszJq
Ui9TvWTHNbGErK62aXi0Gtjsvtu0sbJvW8v7Foth+uXOmT34seK0lp8OZjUcgL/t0Xcij40x0S3M
skomYvtCm4fRH5HEd75NbuRL0nGD3TtDaqW4/nRVvPGqlzWznpe3wP9QQQCP11nNlIdhp0KmDRr8
nHZuPMhDVxDK+O4FtbDVcDHC3pM1tcIEkthVnMqqRDCFerc3yjj53GDFQ2hDW/3A5pQr9PsHZMNx
GZPECICdy08FMu9sidEVQUSCA/RigifTejRfdNK8/9XSMNyoFa8+TY1+DZEi3GuYJ1jg5XgNt0o4
XVMfWC7Cd9/Qa7buuSWOcmf3jvHl/uzeTD0v3hqjLPgf3nxvCqzVB1pVIrQbknJx4NZa9bmh/Tyg
JWgKD4KcWdaaHw+T7u4S9OTOobMbq/ib6McKj/ZwsrUHDtXReZw6N9UOTZxm9l99hYmbP1VNgZex
sFtSkRrNCed91YW9F8xxSDAdVwE70WFRwORvHnuRj2h1O3yzn7RWGbjPRINGaKKMpXeqi0KTD5SR
XbwXU+SBrE/QhNVP41iH4nescGX8pyRU0vtWGhWXIVPFh/iDHtuZfBnazvnH0qLyJ5D80v+CJo/b
XJJn8kfKuUmefWNknp8TtRseUjt3nkcYKvkXIzHTv5EAuF/NRRT0yZtmy/og5y4fP9QjsON7d3+0
NnBXaLjy9vmOls/rP+fbiH4F3k+vBQ1cgYPndb2fJ5Ah8ePf0oBdLzGGwvMXw5Q3n83VkkY05RIw
bGtBkebp16ZUxB4ID5WBNNJ8o+q9OgAWKJ0KEbcn9ItcFi6nFY0T4dRlpwXKaFp/vKGLkXh2rvkF
j8P4VGq1ubWi+QsvFzSHDYR0rO8Wb961+YZidgr0xNkIEraP5jBOs0gO8yzSTyIutPca2LPbUYog
I+QORKd+jT2VCUujqYQVZEmk7nELdf1W7WPfUMe/73+pkBOvZ8aDJL/G5YTDBXi19bnx6HkYQs8B
FaQS/9K70etfbHUa5gOgGJqMcOqNeCe0rhFfWuQ2rzMGn31QJOiDdgMLHP0DqBZBpTLxPojS7EEL
SlfU7bMOU8tzfaGU/fxJQ88y+xGWIOUL4ZZJtSvHxv7QgN9nsPHxHtzP2pDavuJoE4LNOUMqkQ0d
AUFRgm2CX5tRPSJLyaP0CPFlyvaCh1Ie2WIm/fM8VbGzd7XJdV+k2dS4N2SdZaBXKFxo+n1OMGzH
FyY+8H9lfhwVexxf2PPDeddLC22Q2rQi/BEbbvwTZ0LaV1E8W+kx9PpBPekYqNs/CzXxDMggXqV8
JvfQtQ4KYa/R0bJmuL9EUWberqFjT3bwTJ78hyp37V9FL4twNwyjl/npPCJLsLiX/lE72nrsE2Vn
n0gJKoe9l1iJ9qAZUd9BJZhSaogCGqi2T50iT0lO6xa2b1LrSvgvIgfN9JPKGu29KPG4OhZGmiTE
X0/xV4LRCVNG3+b9aYZZmZ/yqs6fa1xFP1PFkAdczFMeH3KpOD970D/kfyF2Jf5g9dxOZLd0qJI4
cX9nszqBnch0Tvx5Umv9KFj6RPeGSvwbX6yw8Bu4R6RZV0mi/YiUoa8OepxL+5S2cnZ3Xpeo8a5y
8xwxNrEjqK1HW32l/Oi8j7mO6efTMMmsOrp5KtMHF3+g/KjG+LwTGc9FcfD1XhP2RyvW4+5gKqVH
ZnPClQql55QiC7n/OawZMsuHR4OPfyCU0S9bgx0IzGskiDaXjtqbOUjcjoBhI3ZVOAB5adPo4e4z
kVrR6clpNEhh2PXN1G5xD9/un6v9BmMLi9BFdjj21NUPQflGVwlJZaBZ0nBfCFWPvXM2U0vsTGmo
9UmB/6E9unWfVBSfLRGcQEFWj8F2FKWHLi3H/iPJ625xyq0yLE6NohKqvFjStHuacFbs93pdY6nl
lcqPIqwnA9Czz7xjTehrv8vdrnhNZN+/cjiTeuZIUZj7vvSycaf2iqq/NFXd6C9dkRm/7Ah346My
xaW1q/J66M58tUbyZNYcPwTZT2JS/a4sJbT1SmvSjdrm+qXRVFV1GhCQkvlzdfC4RY9LUZuTVVxl
TuZPVpk5XzyajuHDiDplJlaHjvc+KVQlIzS9xVDGl7Kwur/uL56rUpXjFdU3RAf4dihjVjVWjU4v
SszOC0YSC3YdgB0dXXPLzmX5Wy5XBtX9m9YaPz3o2Kujb/RIpauE4gV91uvTEfooSZGzSsStK6zs
g2GWRnGI+lA4GyXr9WPmCknBSlm36LzX0rCS5v/Ylmr22DZ9T1c+OXaaIxDXdg8MOhOuLsp9pSYn
q+5e7z/Ztxbu5aSXscHMqNDdhTx2ed578ehKyIXZoyrDHsRX75vfiqtmn+00wuIhSlTxLa2U5BU+
Qd2fRzeO652i4DVBdFFlfZjomv5An+GV0IXLQd+70HnFAaPNcXiKpdolx/u/+Hot0MRYPHAWahSk
29WahPycE1Ac54+45EoC1pvxlIHPb2xX12uB+4pHqx17WUhua/ormIU5R0pTPM5CCcfAQ8f4TQNz
So52ohI2XR28cZw+3Z/ade0FRMsVH8IL0nvajJfvwq47tR70MnskK8A5VKOt/+UYpcI+2KTfTbuu
3uuFSZQPfXcDQeAiSzSumG6ZZSQD8uRHDaua2jfZoUloVbb0dDde2Zt/yGKavujqVqUyF+G4nNwh
e6wtTNYmCZ+visYtssL1KwOuB0EAR8CdgeL18ul5+eRGMxyFBbyezlodTR974dSfJiHFS5Yn/d+W
2o3f3vvKeIA0g8GdIAtiyn45KLi5KfUwKh7dPGtPSR1pry6+V789pdH2VV9rG+X59aPEpA5Dam3h
BKM3WK4K/7l1dFRPQtJMf4TxVfvJDPhJmVns7s9q+VsuN4XLUZaF+p9RMs2kNwQJ8VFNzPijDccd
a3Ry0QWcr4/3h7qSpEI/JPSV/2AcB8a6RoDiIe2y2Z7yx6EQ7R87lR5HatzVFv21WWbnlrj48GjX
dKgOc2rGzcG2RaJ8AVjK3F1Y6iykMvFG8pryAip6ETn9N8uu659J5+X/sqUb2EdMtAMNYYr2UKqy
mSCxYRnwDH42QKXpNaXdTXkjI78TZpHvijKMHMht9Jb2laYI40DGdvVLqeUsXmQ/pNHviAT10A+V
XH4jCG1MnwHtN1Pyrt4DwKK1WPiBo+M7feU1og0mFLI4DlpKkr0V43shZKsf6tpO3/vK34Z6SzhE
zUKL6PKV0/styFuL4kDYiYPLqkn9Gca/Curn0/03fnUtWkbiMIc1RecIdPhypCyxUtOrEEwIEo58
uLzxq+1E1tlMdW0/NpNEDDIMj+7ktRv769XH8zYyMD5oDVWEvZpjgWe9O9Q8ztHq3DNfmHrq4Plu
nOa3RqFhgIkVyRRLt+1yfkTmodmdC+XBjZruuXbH/imsUue9xyBzAVzHAHg5Dfn3cpQZ/qMC+1h5
wG86eW6qsX7MO2uLlXVjLhYdAvaZ5RSE8HY5ChIqyuNM4vRDbIBzSqqm/qTD57HP99fE1d4NMRdN
PC0qjZYaGqfLcfDOGHDkSKNAsdX+J9b77g+SDToyDeQ4OV+GqhD9abaycOucv/GFwbJhTCSr/LHm
l3IjXUQ9oYKCsV1oZklcEzNftEACreclG5vdrcepA0pSW/Ixc1ldTTPjHjvCMg1E53j9kVaZXu2t
ymbLuf88bw0EuIFdGw5F6pWKsQ6zuMjDkIE8wrQxPhFnOrPpt/ePAnj8plFZ4JTVdNDL4hhcDFEg
HeVfr9HTQ6aHW0qkG9sFPcv/P4i7+pzY31Hgwc5lu7CnH4UnANqsUPZndOPxrybpjF2j2RlbpMlN
/v0TXEhWFBSoQq+6zSqdiV66FZThWnhHhxPRb0gH37hl3Vr8bBjIKXAxQhWz2hAjrD36Jm7jQHMm
caz6Su6b+rPVPONbbx5zCuGNad1Y9DYOhItml6AXFCuXy5D2EoGXlpoEemiavzyjJXd1HO1ZP9Dg
mLYCIW68QOpZYOuFpw4ev6zV/xQT7RghzPLcJJgSkK9hxvqDHMx63+ce/Rs11c4hsO33NI3TaGOi
Nz4DNi18Ysl6gf1/pc0rlUZoGV5diByGM0peri5WFW181TceJ3FOFJz0vFEvrFv4DTaMXZogPENY
qZ1Ua/xtQBw71G3ivn8+UPWwiEUQA5SyZow0sSYHOTlpMHqyec7qUv0JHynd2IzffvBF+UeO8yL7
W5rfkLbW5+TYsVdOVZqiZnIU8iDQmw3xQVhLZ2N0HZyS2MNpfM2RoVjRru+UaaRygvZO73NURjLO
m0HspW4Dvc3xgO2mkboASzq+Yuq+NWtPe6zquOv2oezoAKnwfr5Xrlf+kUXTI7nxEvPbDDnKfEpb
JTH9mRjiud1FfWrZXzADoAosst7Sj7Zntd3ZLoy8+VRms/EaRyq0/vvbwNW9jAMWDQIUaBoMRAas
ymFo/ZzE0UDEKnmkeOWIaS/IGfQnRX1OZLGlL7xeT5QehC9RPIBHIK6//GDqmI5Jiq1KIEq0AmqK
Lw2hhrmP6cEWL+T6A2Eo3NboKpLAxJ3zciiEjGHT1qiserxaj62VR6e6Kv+5//iu9zeaFx6WGPAc
WbtrA9bWrOwwV3BBnQo3OZjeIH4Mupt/qIpK2+MDOzxncb/l/PgW5nS5iFm/wHsLM4CDcC0y7sxs
asA10DqILLdtPxuUSDzrCz3lQUlKkcZ+Zg6e96yNelx8wiGrNqEaWgILilJVw/grSaW9+l1J9Wz+
UVa98tRmc6n7I6s32QF3t19Ns58+VCPaQsRSLo5dkShL4Q91qONsZJao/dRKZH9lFTa3vsCRuD/F
kVJsXX2vt1h8ERYfBtAxmERr4KBuB4pEu20Dq3dqy4/dqnuc9Fh9kVE3fVf7Wp66Lp2HxyKehLGx
XVwTbKlE+TQInAOz0Ng7LheRpmdTbqQ9LV4TM7b94JiCdpExK/bnOvVk9k0meS0+NFnjVp959FP0
oMms/BdCd2y82o2Y9J2aAMF+vr/urhf3kvSFxJz6B/RyXZ54VKxe54oikAZ4jT6J+aOGMcaf+6Nc
f62oyjyY0zSc6Zyto0sSp0/gb6HldCYo/H4NZTTZjRGX2jPy03krq+J6L1q4GXhNo9FdlHurh41h
jm7MIR8T0cF1eTBdhXaPBX223s2xPb5amWH9vj/Dm0PyWm0WF7vSmnPn1nk7enhABy2pXrtuUO1D
I9z+WJW1e2jSbCv86OZ4i00F3CEO1bVI0CYqocAOjE1pHML6mA5x+F3PyuKFxi9HTNLSRtk4WG8M
CXZDdjvKej6gdZFZtarGPSepAxjS4qzEbbvTjTY+E6fe7jNcizbq8xuLBoU6pkTUDbBf12YzGJnV
onHjOjCnrD1qWj49DVnrPAqM7LY+z+UmeLkRLmJWNnc+BYrLdW4xnTlzVG0Jw1CPYJik0pocVAWu
/W3CPFUGqajdT505VJ+g5dPzyAqW7c7qOrM4JoaBx6LliG4i+E4M5eH+0ro+GngGdIZgHAEHIPO7
3DoKIbIMqLUM3KaQ2PIaB1Gkzb8AXMVubAFj9nIQ9Ua9fevh/3fQZd/4T0GKM6yYuxAVnEq21VHk
hbfXygjnTVWr/of3TPHpvjmpAhEuP+U/Q00Y6xtoZZC6m6V2LDkvAl0t5J749C3fkzdIev2eqekB
c8FVkDusp0WzC3aLVgYh7uqJ76gKtpGREQ7PfL883JbIncrXpRf+mfrKHT/o8xT9AL80Wz/M8/S9
Xsje4ohBp48CZmnZrItVJR68RguR+dd4RfpKB4o2d8l785AZBZbQYmiHUhyu5qqC6RRjiLELL4NZ
ZASNWqaArOk0p/vr9MaSoYRQl8dLAcMuePke7cGclUFpIIRHQjnjcz2z8ZVzIEP23ftD3Ti1FkSC
kpKaRaXsvByKrvDcx6aN/Ju2PjSFmkjuOrfeaRWwPDbUvOA6eB0tDMbLURBHCYGLBYYFQ4MJv1Ib
z3LOxP7+XFDR8fesFiXgOC0tmCu0u9f4eOH1TggleAgIp8rnHwmM8PmngdxBfDCKqMyr3axwfP+V
i0wp6PgmdSMObj/r/a6ciAT9os4aAWqE2oz9wU7iVqHTStDkQzsok/6nyGrjOySAKj2BtpEwr6eZ
qu0MaTXRbk5j46tq5txaBEwS94nLfIqbqz02mntorQYyUUemgn2Oy1FrH1uLu70PYFKKHdaYWfPR
Vtq5Snwr1RIn8kUD3TP1RZkq8Wly9Ejb5xPeqvvK7c0KIUuZz77TW20OD1B0Xf9TrfrJOUurK8og
UXI12ek4Ztcn0xp6ttiw7yRivLgpdlMfwYEIcyirda9r8ee+LJzq0FFIer6hCSt61jib5K5M0yn/
HEVQtEq/HxM98VNVH/sj3rJ2T3ZIaJbnsskd+3dZ65NENeZO9QMOmqX5ucCtDbY0jV7nd2qpkR04
aaUWB3QYSfgPs22tnSHc0IYvEhoqCHzZY7SdSA/PtRmr3GPN23oyp0hEf7mNXf8Ih1kASmcNJqQt
sHlzIjZ1+DkB7dZ7y5O26Y9DSz65k5hKc45NRSYvzoSTK5aO5EG2vkEkX37CDlJ/jfoRlbVvJ3U6
yT3GuZ3+DzJidi2M7bBkFX3ufJVy9iw8d1s4LGWLP0qWlOTRuYV0yMKIbUECO/FvefE0d9zZT6Ea
FrqvVfPYHI1QbZR9JsPE+T4OnO3+YBtifoH72Tg8KQycdrA5J+1HY4Di+r1pJT9nIyl1xEG9WR+w
4HGd10kv5edczfGX6bJWzE+eGov81OH9MR5IX+Wk9B3Zop32x6ZLu4c0qpTuPGp1j7Wz47FTIfdk
0fk1dILCN6jlhiNRd/o/g2HP0ff7X+ECw62+wSXKF/yDXChuYisETes0r7XNCfKwWeuL0zMWPmnk
0tKxIBIrmYqZZ2HDH1FjAxmSpdj/3P8Bb/eP9S/g/gernaoV7uJqt7Egtk+La3yALN+29uPs1R9D
oaSFn7chqbkyzjx1N+m19cG1lXR+lOVct3ujn3TNr7KC5o7jKq3B5Skq052tdKE8FGYq7B0uY018
kmGb/JTNOH8soAtvubvc2MRsA99UdmWcASFEXG6WuUqy0dBTrY1wRvym6vcVllC7SLQfqFasjbPm
Rk0E2M4GjeBAY9zVWZPhrqphlouzkDO3vgUrYl/jQT4DvZvz/AiyvNEWWa4M67fDCQ13FYoOoMMy
/f8UKVR3cZXIrA5wGFOfdEOWaM1Eh0153pxJi1KDKZtdmE2d/XB/Ydw464hlwTIDg3vaf2vYX+nt
CLOxvGaq4EU5doL7Juy29A43Dm+bjjDRkrja049ZNRea0hhxgg7rwKjKfqcIMv7mslX2rpqO/vsn
RFYBwCphMwCrq0cppBmB3zJU5IZD4xtpqJ3KzOw33tit54a9CI2Spel8xcsxOYiKMlN4Y0lK5oaY
e7zbo6rxNqZz88kt1iKLfoNO3Wrhe3hjlwTONkE+ZngcYMiP6fkkkf/5oJ71Flf8xrTgIYB5odOF
JraGMdDCDTrJpk2A+LTZq3ETftORpG2o4q+StPm0wNkBarnykZm51r+YdWiPsY2TLwQsL3yB8db9
QDCifc6hyne/Inrs80c2sWI+T3VJhmuVeg2HUF9K13qojdTKnqbJTZudV0MRCVrq226ndI7+irOp
Lp67aZjSXdSSfr23E7NogDfC8N8k6nPyBhrFSL9a3azGHznDjO4pnWdbPrQJFGx/tHqk5arS4XKM
9Yeb7CtUR8XGd3djQ+MuiHEJTkMGgNyqcTMixcWxzaoDGYdPCDTKv6Tp/mvgafZgjlm0f+9HgTgG
8EDnG+eKvYYs3LROceBzBPf5Nn/I4ao+jbqYNurm6zktXQbgcVhMNNjWypUmMiHm4boSlGMW/r3Y
lEOhsfP6WQvNUN0ZoSd/3p/X9bm67M5s04g4gb7WuGav4RI+ZKMM1L5oxoM0Gzmcy7YvzEOf5VHk
wxdwmnPlOByxlnANucsUGYZf7/+M6/MCmJ45cy2BFmWtE3pbVZ/USG27oC9T0kRz1XyGXazvwOLe
3OmSH3FoT+9eQTbkKL4HCII4Iqx51JGn92EktQ7xyJBOQZOqEp6alyqRT17rEJ1hkNZbwcdv+83l
SbWo5RfJPJlXMMZXcEEDjUlmiGgCvrtY+ewlslW+YUgh5SeERH30tfLmeIKCVoJRoUgm3X7WpKJ2
yFvgZO5yzZQzKENR/4T47KV/JXoLYbkl3TX6NMjOdk9cJ82fathFCaodQOFvidkr3t4a6nx8VsIp
aTfwmetNj+WDfg2bSiIGQUMuT9+wUby5J7cicC2iLewhnz+VoBcb3+D1Gb9ATbDrIUexUt7Q8v+c
8R0SbRKDpAwarl77kv2l2YVsk72vCiN5tYoxP0YYPT3K2Mne30ZlcC6BpL2BrmHFcDnF3h46OSpC
BjNE+FMJ6OPbDh5S97+DGw+S7imUCOgr3DnXZcycKLSKYkaxc8UMjFErXtVamhunx/WRuEDpi7Mt
Ll8QiFdbpzt6UVXGFg+yTKfvht2PT9wO9bNRkQ/xP0zI5vN6o8twYb98bDF7xaALUwY9elNsDRCc
NUauH/+HUYAgF+gTHe0aihQ42sWFEfcBh1a/j2pjwL222kICbr4cuJTweOF+g9dczkVn8elpXPcB
/uXeMdUmcSJrYP5xfy63Xs7SpHM52SAYrc2b61Zr07hz+2AuWvHS9XpCzedUsMcsZQNAuR4KuAlF
G/1A+H+oMi8nFMrKEXM6sPlLrXwoTDf7HQodyQTtu41q7+ZQsIPJmlo6jWvnX9SlUe8JeFEUEf84
tID92GrABnplKyH0+i2h+QRKe1txUGxXbwni1NRVZrIYBuHMMSlV7nt4lBzuv6Xrk/r/Mb8glHOh
unJXiPQxTMlQGQIpdTnvCxorJ3QWlfqSRLxaqqrGTPf3x7w+JLmRoaheOrgL1Xl1B4Zvj+ggZ0xX
CPvTZPeTL8tmCU7Rs8A27OSouNXWp3VjorCmcAzChp0bwbqPTooHbh4o/APV6KAzxpj25qR6vMSu
3XwIK30r3/DGQqF4xpd2Mc3Eing1SduZEHT07hAoEgWLtMlW8sIqOqZt77371KJOp47GTwb4nh3x
cvlnuI4gtCrGQLh6dUbDMD6gIN3i/tx6gEg1bLrueAWpa5TSMnv0D1k8Bk3V2RV5IRnpOZXUkylI
dEd+K+Zcfz/HYtG+gWQit6OYXHffy552r502GDhnMGxD1JSY1mS5mW0cV7deFuQbPmt8npjc6mWN
ZpUSANCNQWhUbZBFtn4qDcIAcAxqNhb/jcdI1cSlylxMq2g4Xb4se6LhEdaeGohas87x1Gf7WLj1
LmFzPPZGKTfGuzG1xR4Wm8+lu8UF/3I8aVWq3WL0GagEVfyZSMHCQjC0ykcuANbGeXxrblhkWeai
KwKaX37LfwobUYmoYVVowdhUysEtye4uzLz4WM1EEDThpkny9UZCA4D7MIwwVH36muyTx3nXKAVt
Mz1zrWcVzHOvUW/8VWZF9RBCOv2cT/gH3d+9rvflpRlKPAVYibnYs19OshrhvhEHNQQU3epBS1XF
jwgBOb57FACghfZKHU2tuKpEkb+kc1YQVGs2czud6Q5hPYFhSNNvwArX04ENggMYY0AIAYy9nE5n
E01StHzWrSHRgGl2+GlWlPa99jqwpHhqNP5pLKo0Wy9HIZfLTAuC0oLapaYBATL3IUbNflWZ7zVm
50yBwg6oAK8YAeO6hgLT1GJ0xmPQQV/3UUWWBPdo+c6x4/p/eHZwPFy238Wpe93NzSsQ6LFTx2BG
Xe7LUMnwgnC2jsvrL3hBfBiEwp2Ces0QLIWqzWLCxZ7lrpBvOWi+kvTjySaC43B/1d0aCrU+cnZq
D+Cs1aobXCs3nbqZg9px6fpSecTSR7wxZKce/uM/7x7NhKqBF/BiZ4lU5HJReDrxYTwuFazTw2ps
sou9GAb3SFzje+3UWRTQqnCIZ7uAH7IWiIs6a8SQDWrQtpG314mN3OFuVb3/8UFc5hvinORmtSbf
dJhFjzW5RlAcy3pHnx1v3CKcT0ambNk7Xn229HK5HyxIDrcFfa3U1g1EIWSXOYELqPX3OCbdvh6S
7PP9N3Q9CioQtlZYxRz4HPuXbygazCyuWxwy21G0J1DC+cntatSH94e5WnYGiXRspciZF/L3uqge
ZO7mg5IBJSx8liLxyAY1GlKGrGlrIVwdUXxKDjdvGuH8HyypyxlJoxjb3vL6QKYi/Gr3mdx3+ayd
JjXvjkJUW2T666nx6WIvSvMd3hOeMZfjoe3HfiLXhoAGs3I2Jj31B1nHx1ETG1/TrZlxH+Fasvhq
811djjQ1yAAzSx2ClDDqAy0t2oTJWB1rrapfzbjauhG/IQUXANCyK1EsLdbztOPXU3OkOkcOzYIg
7OJoF6MGf3QKjOpkFVYfXLhePzI5WY942nmoqnXvRCd0OM1Q5oJUJ0NwMkrzg6FOW1/hVVXAUyYp
A0dLjXdtOStgKk4cWUlDGYPcqSZ/No15P1Zd9RzXxbBrsY774mTdljr3WjoFEsYJasAfIhWE3t7l
4x9rq2kQg+mBpLfjfQ5TORVfcwNp7peqQgL1I3JnMz/CrDb1J3CLCYeXrnHF4xDj/3wQYWeFRPC0
FNVea2ofPbzbzB18K3Omm12QKTvodRT+7oBbXR+UM1f+tZXIyjMiRUcVKX2RFu0uHkTinbskc5uD
JCO4/CAJZvFep7Cq0z01cCV8rnu58neNdXXsJw1f2x6HnzjySZyYjH7fgE6FuwqQtH0vJMDTga8B
P2/5Eq4kVPRoip5yxghcLEBVyAM696GE6ODRKFOxsalcLwMGgwmOYIvbOteWyxcS5o4wstlZvK49
+5fRuU30uWkHs9zrkWWUp9a0wjygxzFtCXWu8D2myT0JJgcVCPDXqsRvrNKL0ok4jbR1Td/wMnEm
KRcqm5Ttk5B4YO6sphaHKrPDz/d30usNm4nCs+VqjaaLqV9OGiPgYnTN2ggqLEN2qGb7h8Kupg3h
4/VWwyi4RZGGAs+e0S5H0et5zPUwMYM40qfU9yo7a7+CeNYeo6FTx7qmGMaNEvLG+yQDCdIv4R6A
FWtI0VLwI50GBuUqOMndbOP5RbNaKc1drY9Kt8sxs4lg7bH/PNx/qtfzZfcm7Bxo6S3LY/VCa8gs
szWYZgBfyzb2bZVWEx1ycgUOcRkXoW+2UdPu7w96fXJACVoUh4DES/rP6lV6roSYgQwcXpPnPojI
ZBg0/Q9p4W4ZOV4v2KUHx32Gm7YJS391SBnWmLQN3QwMKUk9NvTwY5PX34YZD3+zj78JhSTnqjc3
VtH1WgVmX9wfKAC5xq3T1BcLjyE14L1MNlSPlIyjfS8T8V6CIYAI3cXF3HMxCVrr+ck0U1GtYTEx
OK7YjbURnTozsvwaq9KNN3at3+cWRRlDLNRbUbumuQtTh/1Wt25QqFHR/Okm7ge7DMoVlBW4Es4J
8nMYHouoSJx92EaGhsc57Qg8WazCOo1pJOsn2wh1ssglKMu5NEIqVXZxUeVYq9REgHVWW2Zb0oNl
LV0e5Quyw34JggSNed09G1Mvzoum9AJ4XmIMMnWw0FagDs32+WBryWPp1lq7IzGXLBtXIXjqIGQZ
fbu/4q8XBDsmDq84EC16zfWrGjA4cpB0hUGqVvJ7lNV4+KFI+Xp/lGuK/MJMhAQJB4Elz2F9uXtp
7hAuFO0wwIWVjwrqGJHblpWTTFT0wKFn8iMwxM2spVk8lAR/fnKlgXvPBMOrf1Bk2z/obaZsIUM3
pu8C9xLHZEHOQytx+buqgtyPGXuHoJgiGC3cmb3aH5pieHdrf9FgLNYGMJEXuHz1uXdTlUQ10YqP
eNtmO20U8qQ0GL3cf85XmybfALqlhakDNAPCcDmdaMgrokpqgAVawR+9JhbnGgHzs+YU3SNp991W
KMPVLsaAeJPAw6ATxH1iNS3qXGUuFeBIc5DeU9yR6XPCtaqu/CnpcLuunDL7Y7bzhA8Qi2tjn7l6
e7TUoaxz4vP+FkXf5XQx4M1CpYKfQ9g75XdJVxaPFi8rN8qaG4+Vk4i6drGCwah2dfZWZZHRXc3B
87p4Vo65bobC19O+esJvLjaOlhGPW+fDNZ3ZBLLk0sT2uXTz1jgsfqFEdk/4+o9DOva7tkyb7FD2
sffiaqOj+a4roz85mXvQ9ODc7aFF1q5PBHX6GtOPD/f3l9aNZ70ov4hMJhZUI2bu8llnoo6dgkoz
MGyBBsHq44cwturz/VGW9XKxKTJpPFkXpjF7MPFyl6OMSo8OU5RaIEKRnbsa8482Cb1AY/ltLJ4b
SxdQfVGtwMrlDFl9+mE5i4JOvRYMo9rvEzt1MFOxcHBWxmJnlo6xDzV1+tja0ZZA/tYk4RShBkXd
wdCrKiO1ByPy2haLOWyVnqD9Th8XFdrv0h769573CKK4LFLOQHZZHGMun2fRTQKGr6YFLRzWM/wB
56znZb4hAL2xNuis0yUCfl6E7CtQScEypeEaw/eR1vUpafW/LREaGwvwxvti1bHPLPgLDbrV+0pE
5FSJwmUvsnv9EAm9foTZCnfS6GzhT5nufMlJDDqUkRg3ttWbQ1MCLx4AS1DBau0TO1MooRHpC0Ew
/1QXWLrbWaF9m6Xdv6qkIxFu5IUwh+0t58MbOw/5T4tnDMw9EPDV9xC2VpcM4awFZWj2T1Ei4mPf
dckPDKjJdp2b96YGcjpzjYdpAQqOVHGdJwSJUNMW33qc+R3tpVAauVfnJiV5sYdrev9bv7VqFhSc
FUNHEruIy7XZdJEK9EqaSERoyT4tsvhYxVQ/90d5c4RZbSngdQb4KvpATvnVESWm0IbKbOqBHVaP
IyYqea08GLHyQVWjb4ViHdTe+bcxzE8y9n5presTkHGQloG8tdSdXWxv8VtvzRseGDginUpuVesf
pI2ko5WpTsemK3d2F2aPBVLe8/1539hkOBYXYISbODDfqhRQ6jSWc91gK5kWxReZRVkQpYl1mNt5
i95ya5EuUjxY8zzoqxQ2VW1kkzoMpaLi/xuEqg+MeLa/hXGYPmSh1733akgnDxoPxST7J1vO6nPM
Q0U1ZzczA1HI4iMAfbb3cCDcVYoaHlW7cd6/iS7gFrAWPqPIz1f7tZa2WkS0nR6Q3DyT/mro++T/
ODuTJbltpW1fESM4D1vW1F2lltRSy2p5w7AkH84zCQ5X/z3oxf+rWIxitH0cPgs7hAIIJBKZ76Ca
7xagYVYAREAp0TDk7bv4YI3dzzGcBwo1jtKibKol+1lHFxlNpy2R65UdiDg9qFaVv+V5vz55lW4E
0Mzw1onaov4yOGH4ULlDuRE1NXm5LE4eTQ0QXcRM3mc3nQ1RD2YWqsY5nDvvRD8igDxZBJ+mfJI+
4mbdNcjfGJGvlPA3UtEHh0HHh+P+QVjZnRwA8gluXKLXUtVubqiZYiZugOHlKUSltA3OCiwOYD6D
hzOpmWzJsa8tL4q4JjEHzfKbbtg4GY1WIjEKKjCY9lbi6rui6ubj/XnJ5Ha5umBVZJGbt9uN+rpw
miox9NA8W9bw266Ul3qynuhJPHPdf3Xj6fn+cG/v0cV4bygOHjKA5XnMXW8aJ891YworCywCcpUn
BKdE/Mj7aR72HcWMaJ/NCVrzzphWj7zcQvU0hPj27dK5qYpfVpTk9qPi9s1zFQrL/ArgLnb3wShi
ZadViuGeHGVwPnVwnmQWG4+4TRR2pp87Rc30v0WWIFREstzHT+0Upx6ei4b3YtnzVO2qKCNzanF+
7R6DWVfT0xS1FmBiRbj5A7x/0flQ12PxatSTif9NKxSFOB/M5T4aW/O1GrLMPYy62rl7o1FMYJMw
mmDDIj7u7vWGp4GfKKjE+qYT6WhsjU7wF1+++6Xl2Rju0zpPooMRJKgzktiipjVU1K2OGYibzJ+C
NP/qOoH+e6IGPeyEbk75fsSghqeDGiivdgU99ZOlVqH+VEZ5e9ZDpyp2fW02f0VTEFQ7I1J710ez
18geat4pPypFpSJhd7kZ+RNxEv6TpqS/M1WI9DTEo/5LBHDGdjCGGo/ANaC+mude+neYebA8az3P
1T0WbL2zcdxWNr8NR4RkBXAsiK3F7UbPFmubHDnjToAsLSoH4M9gz/v7u3FtFIlgZ42pid4kg2VB
dd8b2Pyholu+OkGLVsxpSydmbRRuajIv3uw8TBYhWQCfcGagROem7aO9IUbnMAZiy9tgbRRwhzyq
yC6liMr1wRq4WTxXCZiLpYqXWU2H11yk4eH+ir1plS7Pr2QfYTPIZ7mJFyPlxQaPIWqbhYm88iSb
Y08lrxQK1wiZ6Hs8zwDGtHZEKjv3qFjuE7wOf2Og2Rp7LXGy9ptT6f1vlRpNsvXrVu4K+JFETdnH
VQHpXC9CNJVAqgJwqzbatN8Lq9G+TIniOKiNWAZ+pkmr+lKo6OfUDOmRntx0ptWw9dBf+xRIwIGj
l7piNxTizs7JZRC7PetNrn2EfB/9jdaAtVFOkB908SXoTaJoh1YEhYslint2TYWSCQkgYefXlATh
SXD2d1kv+o1lXZkPAipUnOAWSVTcInOBdADApA70czQO0Feswt3litNu3ERro7icRM4J5DAOy/W3
E5aVFgRc/Rz3GjjCHKbMUBKu7m/glfsOWOv/G+UW3Deg/NsM+jkvB/FUpbn9FT6K7udDPF+0uq1e
MlFuPTpXp2ZC3SNf8sggFm+UPkznPGpzpla6va+03vhQF461sYArGwIgKFAxmTFQ9FjEmVCJOlMv
R+OcBJa+H0LvVVUnYx+XabSxiPIYLbYeapMUBByblzq77/pT4dKW2A3ANdjigDGVOrOnQze5aXsU
bZF+smvlaxHNzSVpAvP7/e+3spQMzezY8eyR5S4xXB6zGV3Ac8MD+pARwg/YJWwVJG+plrI4wOQQ
6iADoyZ5PcNamZKx9DLznIXN58DS/idyV4Fm2R9dxfrpxfE+Ub47tfKRYPh1ph2Kko3+7IIW8Umy
9jRgSz/shy9xOz13jT3vtHnr/K+tBBckaAiUCiQr9PonGrRCHH1iJWhn4U08ze4xTLAfu7/eawVE
6vn8UZYUzGIW18OQM9J+8nrzHECnByxgljX6xWI2P8UDxtBHZD3D/kNuD0X2pM8ptVNNR8jmaNJr
1EiGUmfr4bY2cZ5PECGI9EDUZar+B1YRbD0yyXC+znmP8TMuHvlBTdwtMaDVUaT8JFVE/AGXcJOR
SlTH/MxzbY3dsdSFeYxF3fyH7UwhHzAkIpe8e2W4+mMu8TxMEaoRJuXZTBxq1S5ONubuG+f1NjJA
5pAIe6A6zGf51B1ETQ+prMyz2avhUbiw8LxY645V2b1/2eRQQEsohdKqWDKaJmTyM6MtuYHV0IJU
38TDqxNtcmHWZgQ6B6wW1W1J8r1eNyGyPlYMYp1hmQkqHQkVmTC1PPLXoNx4s6yNBRGVFgGYGY3a
z/VYkJTBn9vsN5S8ww9jbbQ7c3CV89SU3sZpu72dyBPJ31w6kSZl8sVh63tU+0fFss7lgP+6FZrl
p8LsihMAJfdnDIrar0WnbuzBt8rDdThnVGgYqCFRM6CTfD3BOO8KzWlVi9SRl9mnmRL9v0nsFZW9
L6MKF/Kah0PE+0yvnnVEGuZDkDXt6wBMWOymVheNr+Kc8xygDpGA8h4GFAEwd4ClKCQjnkdUXx2t
quw/B15U/pM0SEfsetPM5l0KS2j2jdwLn5uyjJ+tyNK+UURtGl9vk+Cl6vH29HVFJMppI7LJxVxO
Gx8Fvit8ENnKXkwbaYrYaj37DEs08OnjGg8NcX+XBkQUs9N4kCX2l1YkxkMWYOeDZwXWGGMc5x8w
ziv393/ObbzhV5AhyMsN2PAynVOwirT7YrRxp2nCPf6kDsyyyd14V61tMHJGKAc0zjVvWcbUexxD
0ka3z2asjD/GQW93OGPkD0Ebx+cZarovROVtMDxXpkZ3jcYwlADgH8tOhdD03rD6GLmkNvyhYQPy
3IjCfr2/fitXNsEaYjp4R5mkLqGIVitMd25FcC7C0Gp+qI6iI9PgIT+f+JmDLcA8CgTswjB29RNX
thmemwzDWx9R3Kxtd3Wup7HvhfSYX7BRLz+7Za2nj04SZAOiDraVnON4LsJz0heZ4yO/mBsbW3Il
0nAFUBWBh8qVs0QhjONQ8FfoIFk4lHuk5/Ak6eAolehovP9KYLmk1ZZsx920BOa5mFNOoUO2ndnH
OvDavZKXyimt+m5jqJXPD06dSQG8J04t7S9qkQmsECZmBeoL9ZmG5m7pbKVsa6NQUZL1OeZDWnB9
mjtVeHo4Fu5ZmS2QMAaeL0Kfg40AvTIKlStuSx5E9KreipV/3Nd63mZVF0n8FI2qY2fH4wnc1hYr
bm0UuiY6Agh0imhkXs9lqjwzTmJQS4XbYwOLTOlDVY5bFhC3WbyEW3JT81m4Rpd+j5OZUtzl4FJm
zymkquk3M5oeHGOGTBbF+ziwD/Sp/3f/mMqgugi6IKPo04AjRChjCYmvHBs5eS+1zg6RneOpRM8p
Z/nVbQoNXZKIz3Z/wJW1JD8A2wNvB5rEkjIpRA4+KRHKGbX0eFeZRrKPWzvfOLm3oyBZK9EDUOfB
TCyVrSCUgOjuZ+dsIGhw9MI+hzpL4ey9c4EeYVHdIAuhebH8Yo3VOh3JtXcOKZ4+B+WoH2NIE+8f
BTomiZNk3EFPW9yLohGjPgXU+xxZn+zBP/5jpzRH3z0XeLJ8GQAXgH2XoMA4QdOsBYFyBg4QPo+9
Mx6zOU2//YdRsIWXoEo5o0VUGBprQu8pCc5d21cPs4utUMRD9d2tHbouRDYKxzzISOWvzysZQVgh
ox2cZ6jV/jiDWx7CYstm5PbogDGANg2IBBYavJXrUeyp67y6dzyIlrEZn9WhMT5XYWg8TaBrtKM5
ed7Xd68eqAb5wKfKxDt48QpGcgUrNSqxZ3Br7mOgpmJv18bWrr699QCo0BqDSQBKVF2ip7CI6kWc
5cE5mkuFlHFKjmKq0vOgJ1sukyvHlCyLJxAMaskaXHYfPKMuXTMNzgH2br9pN8Yfq7J2N/Cuq6PQ
JIamxs7mcXf9obzAK+fBqQNECusO54uoflARN3m5/3FWl41amaxb0+JedvoSN8IVtGIUnOyCg6qH
0dGK5+xpkPXX9w8FgAD0nTxKhIXrCUW6l5dG1wV8krrdabpwd0XgYK3cZVtQhbW1IyzwcHwrAi5L
S1bXDl2l0lwr8Kz/6M5DfJz1eEtLZW3t6HlRKuck8c/FPkhrrYsGhVwxCpzqISw97p7IxqhsKPrH
+2u3NiFiAwAFUi10bRebQVi6Akl2Cs4p4nwA2GPr6GSif3/MxqyH61rSzXFgWEQgNcSS0Y0NepLR
nP6VFuM30M36Roq9FoCQS5K3D8vGa+V6GwjFzOOsjoNzXRnKiT5d+lEro9iPhZp/ddS5eHj/0lF4
4QZjf9MvlEv7R7IVITpYtYDzUBhKyq/CiYwnwsSWS8/aB4LfA7IUjrkEll6PYoPlFQkuqGfKGeNh
xrHnbJqz9+X+XNZ2nENvhmY5apEAtq5HwcObvmQ7BGdDaPE+xOH6KTQRwawxnj3eH2p1QsigyKbx
W8P6eiizKVHC9RgKYLj+T1k20yUG17S1bqsz+mOYRVBosKlK8m4mKJSd/qTG1iel9KJTpWAlfX9C
a/uOAyQbgeQl7PHrCYVagOxRqwfnvu2+CcNJTqEyDn5Tiu6AGGvm3x9ubWJIhnKIaAqigrHYENOE
h4qVm9zmqem8tH1afy/h+GT7AEesjanJRbpOh6WNKgqvvCbQIFsysToE+6CZifAyO1ZzmKho/mqt
PviZJ2NhyhnyMB2Fgwzn/Tmu7BGE1SBUEtKBoywRfWKYoR8JgXIl2mSHguD1uRsd49e7R6GKzp0B
shbK9RLxaildnmkgos9RNOOLRkHiEHel/v65yGIZVFupD0zt8Xp7DHUTUJlhLho6VTIYDU9hrcYb
QM+VFQN84oAaxMqH0qZxPYozhpXbYtlzDuZEYHs6qge7cbr3n13sc0AoEiPQT1hKxVlTVacltYEz
umnjxY2wwwhQNt1QXVmbC10iYJZQK/jfYsXiOQnjTqudcz6bwi8HNzh01iaq+/YcIRbIO4IDy4Kp
yzeRhzicrWGNDVp/xo+xKL0n+rPuIYs69d2XLH8+HGvQQWSqfKfrj4PDS5YpaoUtqjMae7VFsoPb
v9xYtrUJwZQlsqJowS24SIfbSrcyz2AUXHZdP0INZecJnENLzKo39vRtXGAqMqnj4LwJZl5PSBmV
Qdcj9vTUu9/7VDmLqP4dOv1TPnGS8qndKNGtTk2Kn9GhpE6z3N1KhxHJPDK1qFD13egO4qtb69aH
zOic/f2gsDWU3Jx/3OqVhq5YmsqDpKjTy6gPGK/nbnFqsyjemNXtxcHmxn4FygSAuxtkv1bXc56n
jo3Kv/VsOc1vdKdfw9ZtfcBEv+9P6/ZMybFAeEgWNJf8Ij7kduZ4jazdxYpX+yCKmkPfzltxe2Xx
6BPJLAI0DsnrYgv2/egpnjk65xIS/LxDL9jaiWEs9T1VTHfjVK0NRkwmSyCjxG9rkbMgKOwmbWg7
5zAcM18B3ORn2fwLp2rj3WGPPjIbnu/Efqe2cb0n0FP2miHS3fNESXqnZo44NvSuNw7VyicCJSxX
jgIUr/RFlGhqrIvqaHbPoPa93YSW215pyn/fvQ9oSHEZScEHHrWLfcBlP8SZTi1AazrF78ouf8hK
fcv54I0Tfp048OqTiuB0bajiLhP+AedyZcCc7IxL9Nyci0EkXxog7C8DJnm2X+sTSjie0ycflZST
tU/nbIx2FQL60ISN2tY5dDn/iZZh7P1qDnOl7xonmFvfHjrdObMDq2fN6+f5n5C4G/zKELtTOl+N
DaUMfLwbo/g1Khut3YEsR27q/irKrXVveoscDEkkKeTl8oQmF8/Po2jLQ2yM4nGY7Pk5zYNvEOxG
yvJx+qlt4+zn/eFXdj6UJArJsjIKJnkRo8zCDXrTanFs9qDvNXWVHCMEuS9hZv96/0iy8QbODfIe
b97rnS/cwJgi+XBTTVwyXaEqB6rWDpVRaN33h1rZ/iRiNBaRGgCGssyTAjfpTDUulLMS5uEhwDzs
xBq8WyaYcgQIeXQM5PqBrbueUNDos1IVsXI2qmY6un0FT60Of5iduiXGuDYf7iqqrTadbTLZ65GE
kedZPtnKmWqruxdoaFgghiDfb6zb2mbgw0g1VIiHFHivx6EjE1VdGYUXxynL/Zy3xV+OG5YP8+wM
p/ufaAVtwZajJ8ljl4SZ0v/1WEatzNRkG8RiUEQk9n5pjPLbVOmYqWbwtW0nUn27KL4oRXdCUfNb
NE5btZH138A8aURxAHhGXv8GMo660cC2nI3Mbv9nBV39o5/Uee+iDHvMAtvztaANTmneOPvB1Ztn
t++0XUIE33j/v/U8F1GAZqXkrFBskNfq9S9xOitRkbKvLzPCH9nORBPA+wZ9M4mO06gm5j9qNgY/
K3NS5seuDdEGqchwsJ7UkkIJ9iSFCFdhKayj0jmJTHlp40lBVjaCgbOfoY5oZ8CZyjdoMV73Cefa
Ov462L3S7+3OhCKe1mpZ77Iud1rLdyan7gEAN+q5Am6gf4RiTyxVg7g5WF7sZa+DWY3fksZokl3n
YqTga90Y1HsjiPGGtnnGGkdlVN8aU7YzP6p9MyovsF2pA/i1UjfzBwxVo/wlzqtCfK6GOXwuRBda
Zy0P7Gg35YX3EiXZqO0CPUy9i4HvVvVXNk1qsQPKpAx+ZkRelfstj870mwWbqTgJcoZyz8Mlwi8l
SKtuF5SRBw5VG4f+WLpdoTwZg5NlJ7dq7fQ8OVY3+qOVa5pvKTqvAtPtccxFbMGY/IHeifMAmaIL
XZ8aYPM7UbXcO9I67DzSKm0M+HWjNibFrnRzuqWZWrTTZ2fK0vpZb8qi+EsZm9FA0KFzpl+pmYTZ
IdP0Rvs0Qnxy/AQkfaXtp8QJigMQj6j03TB2xlNr5XhT7u0qtMwL+lt59uTGXlztQ322eMjOdqZt
KXevhBhs0insk5hQ3F9mQGGRYzoRaMFZ2hpfMJ4JgSqE/Ub287aPF/scrCn0LCp4CG4uBQMgtipZ
1FYK+EBdu+iZ2X1LIm3YxYGEeIOWEI/IVGrP8TR7n+ZK7V8wg0w/3489a3NF3x0Iobz00Ga9PmzV
aNSYBnrB2UGSbadRFj8kej1sBNO1UXitg0XGTEGqTF+PYmq1rc0eN6udRO7XMA8i2rR1udGQWQnZ
EoJEPQB4ByVy/XoUQy8QUdbT8JIHAcQCr9S/yu72U6SF6hZvaWVGoDbokdBzdoCLLcJl0TX5PAeK
cg5UQvROD8QLqu7Nlp3hWw682CQArpHt4D0NRGQpUZU4XTq5BuPEYn5Cl2an2GHiJ0X0gej42I7e
Q6K6e148H8Yh/jgZ4WPrYijZ9uGnzM72DTCWTptOCPoeizz/u8vqI6ZjhzSHBBEq5W5Sx73VTqUf
G+bGtbbymgWuKVlPgBpYocVNjUxtOiKoHV6Aa772hHyfKrKyN9rmKTf4/9J+PyuQAysb9VTxqB0v
8Zs5zC78xJvwYlhR55u5Nj2SaYmNgsDaVckA8qK25MN52fjz6tgeg7EIL6qLW02QJ6coyyCPgRW0
7I92IAZsZdyfTVvgbGh/Hnpn44pc23ysKRckZQnQ2YuVzarQyONoCi9wTLTfsZb2ml83QLneHRvA
wMomBuVQMHeLU0t9HKu1mQ8YoVGzT9JGw08k3NLyXJ0Mx4iHDbpUN62SSSiDNpdBeMkGM6QuVUI7
8XX8bvf3Z3O7Hang8BeispL6t4RalQjK20I144taCzs7UH8pMEKdU5QAQ713ks/Z4EVfjAJxk411
vI1LqJlA/kdjn8oY9Z3ruASgNIMYX6YX3TIeSRHSExKfDrnrlvzbbeVDsqglhAh47m09B6eATnUB
dl1ibn+xq1StyX2zduLPjjZOWHMKaEYbp3xtTHYJBx1MLunyYpPMgdpacx0Wl4rP+DxlWhPverND
tqrOeuuTfGk+3/+QtxuGL/gm3oUQIcW/Reh1EtcAXlwgh2Fq/Y/ArtXHVCuyLT3n269GuYD3PK1w
Thn6UNdfjdxO60RsFwiiDR7Wy8Lm2eyNp1Kt3l8IgekIx1gaanDUlrl3kaSGNlUMhaVGUD5OWhyM
p6FL840jsDIlIBco81LIVGXn63pKSdGkgBZ0Lq1wUnzDquJDqWU9mDN9C7Zw+5FoQ4FhArNPaREd
2+uhYFco2oyk+EXAkftJ1cU7uSAytuQQbioGlI1AdRE5gLDSpF4crQp9XLCq03DRlBlrQAfZMOOp
jvQh9QsrLH9A3IuSp7nOc3HqhybANqQqmi1vhZvJSvwmuROlH+k7tLSdSyzs32aYCZcMK2sNrlyn
IfkGM//d+D0JrmYITrgt2+WLhq+Dm0IVcrFe1LQa9v2YTF/bfq4v0awr3++fsptzDSJZWunRJkKc
EJTG9Qc0vbnW+8wQFzO3w+9N5onQB4eEBXVv9dSOUMR/twGQBEGDaoDHhdrNTU6FpULZFbUuLo2e
VB8xtS38VK3G9wpOYHRiE4xRx6Rvzke4nljgYmZmN6a4CLqI1YOazfmXGLWwLd3hlQV0wPQSn+ib
S7rh9Tg1hjCaOhvDxTRaeiCK6MxT1GR96Ced203In21RDuUnucoVmRkfixoPZgQIPixC8VDlldL0
csTa6//NtLZ4EEIbT5kVItVlaNGPgnfcLtYnER/u75abyCKH5unr0EHlDl/i7WqnxB2YO/ti4cnx
YOpN/FeD8dbJauotMuL6UER+YjJxbPlsUmens6dIDJc+sPGkr9TSyA9zlqkftHjeKtStnGz07oFe
kZoAj1tiYMI45GjX7XBJS9v4Ry8689KT8O/fv3qQQfAdlSgvQA/XW4USi00ZQ8FiOtcTfPgiveA9
bQ5O9aFUEA96ff9wqA5S7IEx5qEYcD1cpo9VNJoBhc1Qcomdrj5WwfA6zN2WsuLaGUDum5K1JKla
S50yGMdIpyXpeFHncf4JGqz6R4STNjyg5ZvFR71KCm1jJ64OCYhRyoyDjVnqtdNaF0NhZeMlpEz/
kBlqY/uFl1h/d9WUZxjQhaTn/2E935zSpcqRs2x5ZlqsJraTjBe7EPlPW5umI7UYtMCGsN26AW4v
PEqRAE55TFNrpaVx/e0YxalJqcZLp/fJLlGI0b7SFNFDz3v3eSwc8THrimbnJkZ5Kqtqq1W9FmNo
d5E+SzzQTb1As+ZcdJRbL+FQC6zggvzU5WX62Ew/zZ7mpd+6NHsBF+rzxirf1ksks5ZPijCCrJIu
p14NOYpgE9t2rOuxO2McH9W70kCBYleIMPhfqIYi9s2wKT6HbSueNcX0KwoOxe7dn5u3Jb+BzAaI
pbe4Gada+nbiy8MlnFTHWszYbSrxL2EF/cP9kVYWW6afOBnqpNZAMa8/dhzp0GCceLzgMjM9KrFp
/Ijqtjzmzah9LALRw91R9AO53hZKfCXuIcgujd/JAnjFL7ZZ6SWqQRV25CVRicNodMmxT4Nmw39g
JZSThaKOQhSSfZDF/PBjzysu/fFSV111KLSy+NQ5/XAgp4s3bv2V3SN1Vl1QHLJAZC47tUqCyZlS
hMArGnscv+hZWzo+eLfkacxTZdi1QdQUvhFN8BeNER+0nWJAkTpmIZ3djR10+12JvpJMT1EHIP7y
t1RYBWhuFLKT1eZn4fV/9a792A7j9wYGgE9x2Q/M/tv9vXT7Ra/HlP/+jwY8vry5RwVOXBTBAa3A
JSIGUccbO/b2i/K2ptJBXxd89w27ym3DGEdheTk7ufNXVbfG32aa1LEfuMH47/0ZrY4FYlTawOvs
n8Ue1cKGvAadmAu2ZsNONYfxQOVa2Q2R9/4IL1kzdLYMWkLc0ouc0YidrAh1ppUFnfIwxUn2YKt5
cRxdd2tvrHwnOquyQIEwKYWXxZkgr5/GPBp40cRRemypM56zrAw3cE1yba5TRSaEFgv9FQLLDTfd
nabWyNRxuHQOzIWsgBoafapUNfXHMiqRsNvU0lqfF3cXhxA/s6X3h63Una52LGE3cDPFCEh8KEWd
bICwV/cEMAxqjtTmOGTXu5yNgFcAsjKXpkevSijhCMe/ArhsFO+mmKDAJyV46a1SbKYecT1UGKhu
ZFIbuHR90yMdCTSsplN8uL/Jb9MZqg/ItsOhY9l4SVyPkvM8q4pSGy61KcDOWJ2P6Xi6a/G89vOe
F9J/GI56swusRcIl5M/5I0poxWD0NrTuSzwk7hMdvuFzO+rO/4SqKQ+Ul6aN8dZ2Bfpq3HGkofxT
vx7PKW0kxlIxXoKa9r5fIf6S+rHbt+9fRv58KDS0jQn+y9zBmBogXJUyXQyEVJ0PbgthcZ+59dAy
2jDHqFlpafl4fzFXJiefRUAh0fiHui436x+LSYOa4koq1AuFcDDGQf0aI+JwvD/Iyo4nL3LRM6MQ
wo2yKAnUQTtRvWzUi1lpeFPbkf2s8/x6NGu32vJ9uE0+oVNJlrKs9vHcW8SmOZ7pQIaNAFlsZ8fR
ThghdeP5gCuMLS2I4wG946HfJbES/5gaa8v8Zm2yf/6AxWnIil4LiqgXl7aGme8kSuIbQhk/K1o5
/oeP9+dQi49XihwMVNqJC1knHW8vMnwjxYv0/tdbyQQkDJhsGp10uoDLFZ1cZ9CaSVxS1x13FTvG
H0LcT/N2ynZFpP2T9Innt529sWvWtuaf4y4Wkvb+HDTDIC6aldBmNOr0CevwLSj/yi0jASGAG9if
aIYv1tBQuPXNiIKOiW3vniQ32ge2FsBfKsN/FVUEft/U7v79S8r9+bZDKZYti6kR0l6TcClceXmX
vU5ZX1zMRHSfE7rpRy75dhfbbfiZ5t27kaIS/wIJGetqJDrISa7Pu+riXt1kTFehWvwYhuLVFVXz
ENMP3Ugg39QuFvc36vYSeohgFh9ysW8GO08KM6bekpj5eNLjbgT+0GQo7Oaeu8/DWduJwsCsIjPb
U1wW3tF0I++UhJQXjLHtDlrouQfAXSppd+ccg7nZoua+ZbE3vxFqNphbcgx6VdfLUU0J5BozGhCP
7irf1fL8qTIpNbhpvfc6I8RqNrb26EdVx6zkwY5ZnH7GdENHe61TDrOdVi/3t8Za+IB6SFWAmhww
6EV2oLW5pTW9Ki5JZYUnxU2ib/qMGtTceFs8idWtL7tnhH6q4EspsylX3Rx95+HizJQwj/GY5yUo
hzBrfNfqjCfVVoJhl4zRlgrr2snmiuPtRk9fMpCuVx3OeGI6U8rrdLDb+mA12A751mjN5kZXa3Ug
Ci2yQAxkaVm0wgNcnXU3Hy6uiyBEglOf31Ap2wjDK/kP732pPMZbmyRhsYk6OLbx5JnDpYxtJLtG
cyaja7sy9omb2E7Zjdpu0arWton0A+GzsYo3GltWA8TGlUW/adC8b0IVE8csnj5oJEYbcXh1ei47
UfIkwDwtImRS5FrRZ4G4FF6hfjSSAZGWXLdzXxWR+qSP0VYLaPWrAeyVrFhp0Siv+D9ykkrYipaV
iSxezHFwEtOcpb7o03JLQ3ZtZuBUaVJDJsUvavHh4IwhgT10vHFBrui+lWrk4r0xja9IT5rVsVTa
aqOcsDokeQmJP2+1G05XNuPmpcQ8nbxIi07N0Bcvca26F3TPjS8t/aCNE7A6niRSgBWlQPymHvzH
WjaiScto5AWQN+ZerZPpWGEk8ajYhb0z3eHr/eC1PhoEVgAHEp20uF30yvJCOwKOauTouONlPH+r
W6WFxmPjN9jO6sZ4azuFRol8RAGEotx1vVPCudDs2PX4gEj/a341FNQopsT8T8NwbVLZg6e/tPIs
+iKZvZgOXtN26ZdUa8dPKGyO/+VTgdMhhABBAkJ/PZkpssVcDbRGNKUL/1YiOznYrhP/yIahfB3S
dKt5vLp4Ep7KSxcs9hLgqwWNOQjiyKUdpjQ5KkGHW0U7qO1f9zfFWqiSwUO+49EYXvZdUr30hiiL
xgt3p3uwi7Q6IkzbnTG2snb3h1rdf/9/qOV7N8p0a7YKyq/oAsY7uj2VH2r9BzUwH+tuU9F47f5k
/Xg18ZBncyzCx+xhqlLV7D6k5eyHoaj6g9fiSipQyThMsJxCv6VEfnj/HHlD0a9mTM60cb1N9KKH
OZJwxlyMug5D24X7dmj0D3MErsJHSHLLNnTtRcUJk4JWNP4RMbkesLLKQBEz3w8Ij46FS8Hh90uh
Zd+7oM6+DvB+Dlk6Kc+Sm9j4lVK4//6HKUsFKPpbXEFLElXkWspYZTQvXDXCdEPknqrsnIESwAAu
1fHLRtqm3h9zbdeCDiC6SINR5I+uZ60UltJDMhkv/RDq0y5IU/uZBCn5WGZckxv7du0oQvMFDebh
lMN9dD1YGuTeGKh0LFRcOF4azoiyUxVn2Mr4VseRZssEDrLL5W1AW5KCvN1QzM40AK0FbpV9JJqN
QLb2YIS8SX+XlBrsw+IWSJrIqCvBKE44ic/uPJXHvsboBuOZZN5rnVE+DnNBfpnbwUYJfeWrQU9E
wwVvTtqhS33/KlWdmSSebgRACA6HZ+2w3An9WWnz928QCNMsIuBYLtclUEVpwsxw6PJcWIbwu2Pk
U+5nSu4ckkLvTu/ejPTTpKICcB/g/otIY00dvjtaTI4XzCGicuGQlkclU+forGui2SoKrQQ20JCw
wfGZk/ZBiwQsHNwJYBTs7MBsNHcXkEH9JFnQdL9Xzf639JeaT7abOeZGaXRlf3K8QaxyHWEEuWw6
qKqoXC3koKMZnD7U6Ow9hUWZbeTrq6NQHOKqxXEOdY/r00ZTqVHmjk0CtiJ/TDs93E1FvKVfvrIV
JScXyA/8GR0DzetRCiefi6Lpx0vZWPb3SS/apxYMwnelLRjw/v5Yufd4MlILpelIqF7SEVKzDRvF
9tj2vYMiedyZ1s4LLHS+hzhp9L1bW9r7DznjSUkwKr/0Oxd7xPXGGBtMnh306dsAz8fMnj/oRlbn
ux7YyA/B2yf2i7yK8h31sG5Lu2tteSWDG1UbKcD/5iT6R2KrQa+plWZCQSCr8i9DiT7oPqqxQd3Z
bTfWG3Fl5URQQ3+DCVNSR9Di+mNSfkjcCcz/JW08gaBj1Cr9DivQuTxoqT7Vj1WZVJ+cuNLC4/1P
u7JZ5UuIiE0dH8nmxdHPpXeh7U4qHB8j33eqk3xyWtt6LywdnVbOOlfQWyFgecMmeILSnLdU8IpN
dclVsztakVQcVIW7MdQtNJmxcFcnlPHlKA8t1lKYbYOJZqddYosCnz9HVEjBkYT4qIJF+oBKwzQe
8iHJzR0FIKTgi6BQJE2wi/xEaO2WqsLaChNYZV6PLQz0y+tvm0yTHVGRUi8NUoB+n6jioCvdlt/V
7Shob0kGM2gubCuXSPOmscY8S3r1MqCl97FXOvdBc1Dpv79bbgMB2F1SNFnc4w2x/I5eVIM7p0J7
mTyQBaOn5b/qchr/rmylw8zejH/fH29lVnBWZf0BSXNMneW//+MUljVunfSgzcs0ldP/0N6dpv3k
GdFWYn+bUnDtUV2h/AyL/gbSEbc6php6UVziMjaehN2HH+xCiR6zJKyfkyywDklk6Sejsap3nz+A
k7qUzuKrSXDH9QxF72h1YRbNJU+C5OBYMx14RFi8l/cupMRnomNOsonTzBKfkxrWBAMWp8rerpMj
kNHhaTacraeY3MrX5U4InXgSSYILsKMl+0Szm8ZTh76+WIrd7fPMyfxmsr4CxDKpfhQHB4U1v62L
Zz7Dr/sTXAE3MLYU6P8/0s5rSW6ba9dXxCrmcEqyJ7E1GsuyJPuEJSdmgjld/X4w/4mb3dWs+bZL
B65yQAMEFhbWegMpBQ1xdfdWt7rcHJtVbSNXmcF5p5IoUrlOF8IyHf1aDOODUQonpA7vhVapia8G
2lsf/5rgUskP6WdwKe8Ro8ZMIWhrlJ5LecsWv8vUsQjsrc+PjN6uD6LMnmTKxtua6vfuYGQO6LG+
Ugb6arrzHYrZsIZ2sroedqHmOoZ5orfb2/0lvr4SeWGTP1Fzp4Zw5WbbFOaimG0DHYxmyRtYK+H8
7Na8aMKlovV7EMevRyP9hYPME4lkDXbW5cGgK1RXRIX3zoV4NIZNfxsJ1aip1Id1+htjyboI4rPY
rEvR68uxrDbxzCQrROTOefpk2zms07oqn5RN1w5u+uuIRqYNPQd9NF6cSA9fDpURzmZWWERCbfvQ
apbh6zaW/Zf7n+p6ezAK0r5wAyS1ztttD1Vv6ziBwxkVjtaFtbCVc2K5U+RumfKl6nrtAEtxYzye
zQQWbh4sDvfmckW6xeuoZ01kdIOJ0H9mlKuvTAnu3oAEijxILJidDx+eJIPxfgA+JBPF3YmHPN5W
RmE3XA4OgrfDNr4MwCtOcTP256Kx44P9f/3p3qVjmKN0y4WscPnpyiIdKRXTVcN47UduDMpDsrbL
6f6krm8iWmFSZAzUtI3g3G5/2DW6IIMBKkXNey1IURj40qC18lgn6++OlpaJ3zi1e6Lj/O3+wNdn
gMyBFy0vPeq4cNkvZ1cnph4jvgIMoaqn7dXjYfRb3mrr9BmsrPHhU0CA5taDEyQxnPsDtzhzJqCc
U7NrkyIy1iwNWkrlB8/a6w/2f+JZ8m0LTnMvjFy2BSgtN92iel6SJYSS4+YBguaL9+GdCFkWhAOI
eoA3PCwv1y6L5wIvpFGP8mWpzpWbTkHvpO1bgQVpOHFXHrzHrr8VaAfw9DSVkSehOng5nmIluY0F
kRFVtqJ7WKkadRMscdd6T6Yw7V8+ujPwWuCYAYmhGIEkyuVoVgcIO+dcR07X68GGJMBDYi3p61Cq
ysFC3rjFSYVIlcF6cqivFLO7edBLb02HqJ7i8snNdUhURTr8Nejw1VEpzKZQDI4SSjDa52Jsshqq
ibEap/tTvrFzQBijQiyJlFRhdodB8fJU4Z+MIB8KEQ5DWSifbHSwuoOQcv0hkboCXUpCJqVm9q/M
TI/zurWKKUJtyKQJpdNGBAWvPKfDrB3cCddzAj9FsYBaEvQZ3mOXnxFIhVaNKEVHxpZ4oa4286kg
PfHvr9z1SxblOMkJpZchiWm7zYLxUq5P2NBG7SKUP+bUXdbPA+XAx6Kfk9+AvOUKIsvWemTXIX/9
ZeoJR416CNRCXgpw4y5nZ9it5nSiWaJtbrXHvhnnR9jBxakXRfFZQUvxw0cQYTcCF+x1cJ7cfZfj
DU7R9aR4RLB0rZBjyIeHuu/NMINHc5DaXn04hHtA1UMg4FTwsN3dc1O9WDMsHoMlRUZ80mbnoZ+y
4qNbXo7C+wMeGWkXl/jlhFKrsjswS0bEO+lfzW1dX5+aD99uDCIxgxJFSujal26pp7SodWY2RFeR
tr81ldNVSZA7aZU9aquw/6lG4S2vSTEU9VPRGKV7kKjcWEsk/YABUxqQT9hd5GxF3hVTWaiRR8/w
YVAVNzD0VDuoM15tRimRLl3+qHgYvLl2XyzhaEAz9NRooj30KTMXuHCa0vefzK7NTqs9J/NHtyNT
Ac1K9krhnf7o7nBn8dTgoGFqEe4N6e94+Li/VGrhvlZCL/64f8JvLCFvZPkJ2TD2leTcYPEQaGJX
i8YOe8Z4HUB+QtQ5uLtvLCHeXjSx4MJhJLbXuMnMKiZHcKyo6O3la5qpWrAIoYQ4AlYnZzbKh/uz
uorENGJ495Mm2CTlPMYvt388pKs3r70VIcpte6fCaDSqbm4D6l/bnCl/vj/c9SJyfQPooCjEU5Hi
xuVwntoaw5BrVuSRMeCi2OmYj8NWan//H8YhHtLzBYWJwsXlOGq2oKoJ4yoatXz6XGUdWWQj+oNr
7PpjUWgDckCjkrcG4eNylLiF6do0pR1x8J47tRpCxWqiVnOVMM/bH/endONLccPYJMfcy5IGczmY
Grtt5orJkvbVWWh4SomvpV4j298eMY1uDIULC2VZ4i9Xyx7NlsSD60326kSlAqDor8pwavwvGhXF
6WykLHWQaN1YRhqBQH2onNAW3MP2xil1Cgt5+Mimnv1C88vpfM0bykc7UYGnD51y1Kq4MUEWkayO
iMGf/ZOm8cigbLtxI1uM88Og5ONDXOJmNk/dhxFFspslKQrIcEER28M8B7u0GnWdGSob8PhAoc2Y
TmjaYMMpRKkexPlbEwN2J2EplK8Z93KTIA1RT+toe5Eeo6AzKu2vmZOVT72uHxzkGwMxMSlJx5UJ
93+XB2Ral9j5NMVRBUUhWjJ3sk5D13ffzCFRjuz0bg4G0pG/AFiCerycFdyyskrxK0SNwm5MP4vd
8Q+lL0FzgN/+88PHDAydrFJwifEo3E1sThM1JR2Po1y3lnARjXjqHCCySmeH90e6Shl5wlAyMySV
Trqt7aIHYP62cVotjuxO5D8o61tndNe1U90ua9jnw/bYJF76dH9QuVQX+aIcVGoVIrxPmWTfpNvq
0sZul0ErxdAfCof+bZa7R/rx1yea+CG9RFSJjQIXu/tgGdFpmixusa36Q8zbd+DUCKiKzvHXrP3r
/pSudweDubI+TyUbIsFuz+eJ2ypjRhROtDY+aa1VP1MQbp6MLU8PYGbXqyeHkugQkI/UleW8/1OX
tyZvGNdZsaBZZ5t6ivmXcyhjMuG+P6dbA4G2R+eRxZMth8uBmsRMu3gsHRjk5vpUppb1RIA5MjG5
3oH0USmUycocr5Z9nO9oTi2LWzmyElH62GAiwt/8uejqszV4b5DGvt+f1bt34OXug+cBGRhYIDBV
2FSX06qU1s6ydnaiTJtex7wL82ZFwR7i23T21PEhM3v0iShPi817deo5CVrHOCK6yP1w9SPIU98N
VQj+uxMORYyQBU01stG8w72jbMtApzr5VHUpcpgCIeawSJvVj51p/HJ/BW7sVTDiMl+Qpl+8oC4X
IC8U0xpi4ci92vlgYJQnaPWouXXFkd3ZraH4qFI1QmJ7rs6g6FKccDcnykHDv7h6YVNCowVYz7F2
EMlu7FZO1DurEcTbVczMm9rBNIYVFV3R/V3B9/m3c9oPyz+SzhFNuHGAS7F4u7XjcTTYAjOvqFjS
4k04c/ra5aNykIxcz4UxsDQkMeDkoZt5+YXKuNlKq1jzM9K+BmwrZqQGZirmI9nFGwORcMs4yUYE
crw74qB/22nuzPwMpEZFEkIpQwQAdf+jG47KNIRTBgFPhw3K5XQyZSULT6z8PCz9ckJTYQvGydQe
6Wh0/8NQ8hkByB7g6BUHwkjFipKdKM5p6WjFy2I78RTQVNiMp7qNqyNS+PUdQwjBjJaMQPLV9iqd
Y4V4LbdycUbZQtj+1htNoHSW8Zr0JYi9ijTow0FZjihFlsg1CGLq5VriVJAWRTsXZ5a5w2beW085
D6iDG/r63F6OsiuqxoUOPUYbijMICA9dXzsLYUsOftNm5cGEjobahWOhtKLL8A85q1YznN2t0z8b
7di/rc46frTyTcMCg2z8ZC0J7dr7d9ZOwyPMYKglQbEsyWfH78HjHgSim3uCa0Um22z4PYhTocia
i0EtzlOuKj6Wlo/L4CAOYn8au6H5cO2BKfFsoW8hW8v7SIHFnZX3jVGcZ3LswKum9RTHY/bi5vPR
h7o5L1sCKUg8rkFxYhFLRcgqzpmxvZZlHkJTfxlTzQq6KT6iIV/fjxS9ZfFBh3UqIQiX23yc1sqp
KR+exWal352+3wxfx8lE83Otnw1/qqWahrdM4xJupXMofHhrVyJkI+dKtAfafDl+o0IYMKqyOHet
YrDv7aELCnByQzBR5Tk4AjeisGyjkZXgTgchWv7z/2R0A44bZZdzpgcUVF9JuMUjxfX48X4UvjkK
UGa61rg3g3u9HMVOXXsZcTs7Z/PiYdBtZk/LMB1VGW8sHOrIZPaQLhwqwrury1hVndqKRgAWKHtl
sbMhMh27KN05hyy0W2NJxIjEMFDZVHebJBVmVSblWp6ndvX0k1Y1yZ9OHPebv06eWIKxEdybtWPD
P2uR3/23ho2kBVrlqHTpkQT9JBRr+3fsau9V5K6n+NztqvnhfB0oN2JnhAKiDn2qy3XfRlUblTIu
zgUlrp+AmtvTPCvjn/e/7o3TCc6J+iOVT7CT++JqvihthupjcV4V+7fCyJ5c8JzhhudhUuhHH/nW
VqIGRPMXbAB4pN3Ct2labaKry3Oqu+KhHYWUjVgBexzc5jfHkZuVXFUyOXevU5uNqhVuW55bJS7D
FDllP3UyM7y/dLe2EXpOctnAPAD4vfxAbTo32TA25TlrjNfFVBScfrrNn9bk4y8qHvVgHGTrHNTZ
nk0mLK9T5sksz8pWzGHlOevDWqXLw/353Fo16VMudVtklrCbT1k36UD9szzXXl+F1VpOiLMa5s//
YRSuF4Kj7I7sDzo3qJGiG1KeAUqKh9ktupM5gvv5/xplr5ZG8Vdt9EQpzzC8s2CeerLUYT3S17i1
YrKpKz1juEP3tR0nYYppwygDErGBmAqdSIDu9v253NhnPG8BF/CH1tW+CThbtWKOolhf1irpsH3D
+WD6pBZG9XVdEuNI3/nmaDLoyPaUCiLlclc7aZaZNiqtL/0M39l3a9MOYq0wwj4z1d8/PjNbAkEo
aPLU2+uTpFYZ53RB1he9dYdHUMNF6eus5+9amU4H15j83ZcvZ9lH5T0C+loWQHaxp1HntZ4aa3tJ
c6DeQAqGYjhP7qw2p8KOM/NUKGWrBi5+r0dJyfU2kT4rticRKHRG9mFvKzdhgmLXX0yc0r9bMxqI
uQXj4f5iXo8CywkZVfaKByh4X6wtuqVjPTHZ0BN7e9DjVTyr2tR8FOIF6FjmAnisSGmPfS6saHW3
JeaIkSOaF28Cy/XnUWm0B1TSj+7p6y8m38pSwO79GbhnbiX4Ka6LIx38ysoJjMau/tSV1vw8mokb
aqui/WVPxodBeswPGz86jTR4qC/tsh0dsvW6FMyPPma2+fbojaG+8vmCKQNB70zTlB6c75vzhP1J
KZWJUt+8PHFuE0PYlV7gRjarfrI4KYRMzBs6DDMfqOmufm7bXz+8Wcgt0L9FTccwr5q61Rhbejdj
R5Et9nxW5mH8zEX8YRsyyvhQ4QA7yjI7SJvLmXn05ZyqUhklVcBv25n+ZMRq+3h/Lu9h4vJoo66G
ZwAXpKRX7PELnpvVaqIgoF72Zj//WqRGWSPaLbr+awWELnuW7bzZrzIxTH4MvXGcgy03UX2zWhVZ
cjLzKg56bZX/WU+n+dXLwN5Gato6s294dVeeTKMcOh9cv2ehOphVYwCwvzi6tq6DLzNhI8hWN6zq
/RW8IUQlTIeZ9K2BcRvGBea/+CjjY9oXmzhUab8RMuRLCRC6VFRCv3T3feKx9lKrTqPNWmz1NCJq
1j55atK6j3bca9p5mlHOjibNHL1vKOfVyTO/sKICs2VU91HGrWswyZbSBsaKAW/lW/G6JQgkKvNX
fXRGJXBXI64/ZWOnD69DEc950PXqov6R2VUVP9tmK2akBRD5/zYPwps+3FKSgn+8jyhcarTYd0Hf
WrutVXu1iIqm4h09rNlD7SXla08Z7XR/F14n0lyaEJUoeIOkJrG5XEt8TpB0ybsyGjxzgfW1laeu
c1UwBOyeWGwftq4BtQ8xA/Qf9RyIe7uz5TZeocb6VkZT3HVVuFlx6YYD1hVfdD231IN86t1Q4fKM
wfZENB6ANJ7EyMhfTi+m4UiHguEqTDCG2t/G1hh/uID0nHAsKHTXPtrWngPhxkQCzO/z3kqC2VLd
5g3LdlAOuTZmP43ORryWTn1vPxR5ohnndGlRj8Euw6u/eVmuL2GTOPo/+NDGFZRqq4ZznxhKerIH
arW/lTqPsQfF2OBlLClP+1ernrx/qDe1ua/ze7xoG1e1fyxRcJ4OvvHVeUFXgZ6XhCZy0cJ7vVwE
SKZ1voo6j6ZlMP3VUfKw8MojpOA1oA6kF/uVsoxk89J/vRymb4atMEwobx3+KKe10xBOtmrrIe/i
yp+SVPcxu8EPqbYQ4KG7+NivW3YAh7meKtRe/KDfoTCUGHa/Ie1FTXoLNB8xBv1Zm+P+Vy1N+1/v
H5qreEdZDYkpiVDkfQOd+HKmo4esA2IVHbKgcROu7toEeRXrj5aaHnVObkwIZiY3O0hF6cy6e90I
YfRYX9hd1JT6z8EqTCRc8Ii5Px/5P7k4JcyHVyelaJjYssB2OZ+iShs32bYu4igU5qnZOKJhbGaW
ESptP1vPKpUD+zRT6vibFl+x+n1vKEe3iPw2+1+BtgnDw09jpruoh6BW3zo2cttVK8SrlU3545JX
8yO2jBag3dFJHuvFLf8pZls9ABpdRUFeqVKXD6oBoCYaEZcLsFJDNTuM2aI4Hb9PhTl+jsf+m9W6
xouap+VBVJLnbTdR6fHNjckrTNrNX46GnmlsKlk2RIro7KdYNaCdN7lAUz8TVdwH61xPvJc7dzuK
h9fzhMYp++xo6YEh3ktEoZ1nYWGEAErVodD5PDsF0211LX2Y2qkpX7pYtO1B9Ln+rIwp2yFkxBIH
tz8sFc5uQx4vUb9NZC1lPSvqp7rD4yoLe7V1+09TPKzic9OkxTch+m19uL+7r08reQIvdvI2RLEo
nl0ut1Ts0ObFljpEmvW9KD312VQ3aFe42x1c3NenFSl1Qi3ay2SptHkvhyIy6k0SIwdU6tn81Rzz
9fMKdOjgMXNjRWWxA1AolF8oa7sJ0cNSOrUkitprYSkBIl/q4CsOLJZTLaa1i7COcuJfOh6Jk69S
aa0Oouz1NiLxAknMDoYIiLDN5TTHUTP7UsBYhUuqyEJIYfeBSOwq+wSBCJHODtLQEQfj+jPKRwZP
G0Rl0arYJ5keyoHgbfstSopJhMk4e76nAguE7/HtoxuG6EMRHNYTVkBXzvXJtoyosGhQSDPLfkIU
oj8ZrZY8as1iHrx+r0MBXpm07tignEhe25crCc7NrIu11SKntGJ0uka9h8yy6l9IDbMvhjbVr7Oi
pQdH8sZScg6RVoWCD6Zij/6y0EBatwHQqDf37hPiH/HqL1nb/ZIK9BPvL+b1ZgWtxHJKu1ZC3T7k
OFIErWwtPdoqCun4RGgpz/wUDeKHVrqLB0lajONnW6vm35NZaEcdxBtz5WUiOfL/B03cHUkn1gvI
u2oSmdLiy1zpxOMhtDzXGEIenEvAvXyuy8j+XmeQZpO8jMkxLj+nNg1rvSVLFUFBmurPQpny0U96
K9003x5QYHtJumnLw0TT+v6ZcKk6gd6npvJbWWd58rUdoaBGJuiBr1OPIGETzPamomU2m3Xeh4Mb
b9nJ8aRWbeblU/nNjm36rlPp9zUP1JRd9I1nZRfIZDfYlsR0/NFUigf0MaqXgsvdfSiWtv8VFIQS
FDZSwdWU/OGa6eQXGcIPWHs7pYaEO4oQvjm1YyBKqxz8vugqEVSz7YS9vf7dFpb4RCvTKd40M9MM
TKem/LUenOXJs0rzuR+sOA/jRn1wFG/rT9jk5bDMt6H3gOAhh+vbXUy1Vm0MLW/58Z371pXN1AWV
1yZz6hsgcN2gVzznxcK8E8rOsJ4rQ5/XYBxX5d9umMjTE8jJP6U3eRwsmea91u7wkM2gkpCCb313
1Mpfu8Hgfedu02YEDheqn2xt+mggMzkGvGdd20fe7Gcda4Y/6AjyxvZsnVxSxsXfmlpdgaPhvLHG
xgbCyWrCzEk4Ji5KRn4c20sw4woyBoOwH4y1RDvSrNXQ5RpVAkhwQM3rHJ/av0b+g5/m2mLU2Xdr
Yfqjpxd1YORpmp+KbuzHFxcdqzlAQLFp/KnYPOep1AdI5XYVW8NjlmxVFxoFciQnXDsS7YkqU/zD
VJe0C/k4Iye4HseFn5puW+WnPYoQQW+qyvA8akm9PqhrtfUH0ev6ugNS897IAw7AU1yevf908toi
i/t8TES09lMRPxSmg9lNv7lz+MEYQr+XCj9cezjTAOp3UXI069Sd4nyNqlqLsbc3Wj+fp7+9pvC+
OsYKyVbE5i9JPX+4hg2GFNITNV5kFWH67m7abbSWBjdLqBe9m9JbA1jxq573uenPjtp/vT/Lq9Uk
YYBFBgjYRK6HYHm5ml7aaPpsjmakUJY9Wfn4vayrI6n5q1Qf7g8MRork9JkQX9ol2Ym95iqbzuXC
yRCmNKg9JcFmbj1T2kr3F3V1RRy45tSxmRulqN+UulHTgwxYTuUiTspfgZssPwAM3JVQgXCFodCd
daPFdGnhJypNTa/rP1lNjh27h43m/aW9ugSIxUAgyHhxviY27xKWeR4HNHJHxOm0HglUJ1myv9I6
9pqQTkL7y/3Brr8jKG5Z5qChLhV1djeO2g6tmlKiiia9LgIH/ly41OIIMH41Cnh+KWErLWgAcO/P
HsVyK0mIiFEvciw9zTbpU9gKce0dfKurtUPlgacuZGWHEXkIXW5LQ5RTHFfCihTcxuygNIvk2zQZ
3T+DtWQH6P4bYwHY5qaWWDOO+y6grJaY0ilzDTyJ+nYLUHzr7ec1L3UtxKr0UGzm/VNc7EMwYNRy
EC8kXScf2p0GZZaFsWqkZpo000jNdPJiXy2qcf7sxSmermteeV/A0GTZk97qFPWtza2mF6uypiHs
MOWwP4mEpPRlw/syO1j5q+SQX0dDEycF+SxnYS5X3u2SoiOzgShCtfuEFVX6qevUBeiiIqhoLU7z
qeqgox1UA64OpyxssIEl4AoI0V4MbqE5mGBRZkfrkjqPVeeV849kaUvncWziSZwoVmwfBQ0gFk5C
SjWcHi6eXrtegpEXBTzdRommwbSjfpjzF4CrH649UqmBNguaGGEhEHq77Gy0MrfT4hykPn4vfGZr
+OaMbfy6eYdWPNefDgNHLLMhBUj2zR4J6lVjP9RO6/EQLMov4+i4j2k9uA+tO/ehM6jxP3ZxpEtx
/d3e3S24IOmlSc2wy+0yDkPWrHSIADCnxiuvpRJztFlzytDtV2V9TJWu8g4C61V2T3WVpjhYD/m4
54a+HLOmWVGb1uxFlqY134dtcZ6MrKsC4Dd4M9tJWT61RVn82dSD9tHk431o2kBSZx4Rwd3pqNqZ
QuxkelFcxPoJb2jj5BWL8b+MQkeNah8rCvH6coIQsrJe7S0vqihc+7MSm36PLs3BMl7HPez0COb0
mmRV3N3t/0WdhgIVZi9a9FgECE65YdfM3dkW1Mg/eDuxbAzA84TqKH+72yVOs3jTZgPp7atc+5Pa
YvOprqv03/uj3NoXKLUSuUClgk6Wach/MkMnFWLYPLn/qYFvPx2cPD4bW1/PP8s1dftAcch/H0x0
RdA8VLTq5/3h5Z10GdfplkO+pKZJokFouRx+bcSoijHxuEfiLOgrzErUbVwO4vNVLsVSElLgdjAG
NGT5K/4zyXJtthmdEjcq0ccwQzt1erBzxZaO/liqXu5nuGL9aTRDu9GrhOkISqCYj1A2N34FqBST
zIaqO0ocuyNIigpZkWdW1I+Ta530cak/j+q2qn5qzt7Z6MfU88tc37YQhfBU/25WKVbEH15wKc1L
s5SSEN6auz6Lpgiiw9h7kbdm9cmMY5TFvHo4GOVGhCO0kYRQ9IKStq9TK7EzN3rnchjdqfbxMP9d
xFrma4b4XVudj9+D9OCAvxMyZZtxn8etWaznK2qicOQm9RU6R/IESHd4NTrM1BwzPiJq3ggCstRP
Kiebz5AbL7dTUyQpZbc8jiaM75AigJyUz5nnO529HRTw3ldqd0De80aYIXhOAm+9HCtZVFRFcOs8
94u79WHBnSnlbvBD9ZOiNn5ZnCIuH2yEbf+dBHIEn20vdTNf6dFKLVN9moLUQNc/nLS5mb6Luujb
b+pWkIimKORWft24qxOqiZdYnxuWd/msCZzqHzfTWX6S9VjVYzXVYx5OiH+o57EaXBEWa0yLbsFT
fAxHG9OJp2pq0bE25h5TCH3iLPtT2w2v86AkZqA5W675hTcm+Zs51g64GKuzs8eGdsYSaDAxhnAC
M+mGZRUb5mnul/qv0kHD/3FLOmPikJqTCDxFs35MuEzX/uwNZhuqMFFA3ikib59Ww96E33p2MqIk
L4OzVmzL+jLXDrK8TsML+GCP38gc3umLRC9SYAAIl1+GjAyoZsMeh/i8nlDAmGsahGrxaRyz8VS4
xvamxYWbHCR9NyImaAJaH5BXZOVqt/mKGYnKOR2USO28rPum4ivCVph1pTpI9W7cDLzkIZ5KAQDa
srunGAS8OdW6KTmnbtx+qdopzkJrHtbyaehit0h9nc7h4Fu12zq/TC6UvYOC5I2Z8jaDDIS4N02m
PSEK70dnctoEDuA45t/EqponQ0z2QS3w1ijwJqWAuDzSe9bRUti4nnKgonk1k1OWLllgmv2HWxso
YPDApGhABkQvYJc3eF5LeaaHWthPXT37ulNuT6jdLEmgtPWRqdv1zuQiZT5IjULkAvl2uTPxQTTn
VlTJuU+W8TxhlhROC3uyrIz0mSqJ+IHH1ZGv6/U6wthCGZLmNdnKFTm/2xavFJObnDUePYE3dAnp
UfthTKxkQSNmSPlFKuvskbcFdf5uSu3knHWJ9mxWbv+bR4fBT/WZ4uf9q/LGMpIX0dKF5s2Lei+f
SPk3Ae9jJGez2AJhD3+hUIJLihiebUotoascHLjra4W50ToBgikFRPZKeZlbamkcF+nZm1018ZMy
KwN6deY3ryWZvT+36wuaC4XerTRI4lm93/VJIZStxYT2bA0OjYxt+YGu09+xrU4+XKgjf6J3UOfl
LUZ5BoMzwMxUIWkwXO7IxUGcqOliJZrdVsuDURYJI9uaEpWQnSnq73ExETlR2k6LIAE0hHAz0C7x
OCHMpPp9Wmrmo1ZY1nAa6Hz8jkgw7YFh1gVaSmJwlcA2V9H8fX+RbnwQKaXE76X3wyt0F2ptNM8d
o29tpN3Rd6fP/XcOhOkl08uDLPg61FLWgDFANEcpigrC5fKsHpfU5BV2NAAcgIpId+cLV/UyB6ni
Gp8xVBijpWrtt9ZM+7/uT/LW2NQZpcwlbMorEtzUqSOMKhjCbqKeZ2fSA7svDXoVGgYiObJpbxJf
+gkslvhw5EV4Ugr5Ivn8Xte5nLVrVoW9zAgN8PbNHvLBVv249ryDnX7jIyIYwlan1QOqZg8s2uhv
Ti0M6SjLHPtTtao0LWBgzz+gm8Tf76/ljRgo83uIizxmJN7yckbtUuqspu1QkFnrU1LX/UtjuEd3
yc1RKPnAyIFQCGNmN0q+1G29pG7UjPRqGkAIfCfzKL25ESGoWNKIxxdOKvjt5tIbYL96lO5xmJn/
UNrtl6WRQou8HXyjRUzz4yvHCSAkEeB5p+2SjTRvcmtLJjfCuNd9GkVunBrFOkI43NoLiITAnqLv
j87KbpRm0iu0MVtq6paz/LbSJXJ58PozshD/3p/PNcYKhBVKUKCY3zkVexdOr5oTWyi6G5l4XDQ+
4j91GXruODzXljMmodEV8w8x8c70SfxzAQht6LNAtZHHOt3/Lbf2Cz8Ddz/5/gWTe7lfZuHWQzlu
bpQqisZrL1kD0xbu0/1Rbq0tGQfNCuCQHvIJl6P0XerAt7GZ8JRPvmLPw2MZ16PvbPPR++vW1gQa
zhtWqg3Q+b8cKo+NpWkM6vZgIrvfKlcdIn0yx+8IW+q+K3Tvl/tTu5EISDdVng0meRVn7nK8UV9n
qywbDzeRYZslBaN9EpsGkiIVw680Z6sgHZsPC/BLuQbezlKFgAbCHiGX9ZrQlkWKo7g58kbxqHya
RSVOrt0m/0Pckk1wKvncBGgPX05whpkZpzGnb5tolyba4AT91hw50N3ah7QoAMziIyJLn5ejtFmS
zlbHPtSWfn5R6iI9QcM/ykNvbQ4paifPHbypfacgQfc2aaqF6Dix2+c6m96yVNSfFketn5Kkbv65
vzlu7XvexVL0wqNOtxd9a/TW4+3LQc9J657WRLO+rirCiHZqGg/3h3r/Drs0iuoRiMb3FhlTvFzB
1EVCKd5ULzKsBaM4fk75NnqDofnbNptDUDnOWL12ndBS31UMdBL1tt0UPxFK/oa6n/FtmOxae1mL
ovzqWXn5LTGt9UeDBMuPOhbrG6yV5PfcHHI1EL3ynVKo/lDFOaCD3pubxzlureXJHJqyOjV4QaO7
X5Sbc+IsaD/M0h3UsHfzAcedrKK2phWVeYD/eye97ZdAYn3oLSPFSHy9XAIngbk5xjyk9DJ1vdYv
y0Ud/bwzAPwilmFRZaKjtyQ/Xb20jT9SbNDd0BCWCYkyA+wQqWjC1txhADW+zOVstwFGZskTvIwG
86Ou3pqHuO/z+LlWhz59M0ul/Pf+Z7yRcSEHAd1KciOkIsDlFPTUqYEmEykXvdpAGOiJhsrjvDx1
YhWF32Sz+zwu63TSdBF/vHxgUO0lagI0pg64p0SpiFZtDaXlyBXQT7wcNQDy7Y8nDyQN9FRALJHV
An+7nGJRWLCFFujfS7FsFMYoAAOQ0MehCvM6a8hjx/Lj7U8udlSr0F0CJHrVyXGcqtvqJYFe2FPx
sfs6e8xFq/hLg+/Y/S94HWOATRNbaM4DpVb3jBoVw/RKxVL5nNPBAYG/9ieAk+OzKxYjFEW5HOz6
68gJChW0tMqoOAru0UpJEptev8rlLJfplFLrDPFYO8oTbsyKBgCqcHQyKfvsP5rQVrVYRVqerSJb
sc00H9eSqtlSxQ+KuzgHGd+t0cC2SVVQzjJ6QZdbZCZ5FZ4uwBNoxRi2apc/6LWGKrvW/mFXVvdw
/5O9c1gvAwcSzfA84NHK4sFeZrJYeHu12VydDWPQ80cqFcCdFFh1/VNsulV+xvleNC+LCZnAXzY4
AeG8Wp4ZpGpu/sQY2XVPsyr68mRvHXAfp1u71xlyBJDgIp//FKohOoqZVeZQnqyW6s+V27sL3Xns
f5oNJVwkAkbnq6VxXYTVIrzstxQgx/ZGZrF2IUSVQj3pBRpbJ6Ek45exs7XWb+dV7/xqKeDoGO2y
/Z2w0Sd/mwb3zQZKiu2j3k5fR9OEhGzxnsofbQF5NzxYPr7GbvV4OvEUIH2W7qq7m2dRUn0zscA+
01ZIA83YprAS1Xa6P8r1XQoAGLSsbPlSJtjri2nAMZrRautzoljWV11Z3G/xHIsfg5l9mCpO2Z5O
KH8o+5EoyCP3n5aQ7i0EpXasz2qiWz6iA/nJGtQjHZabE+KepulJo+BKSy9zRu//cXZevY0j6Rr+
RQSYwy2VbItyB3e+IbonMIciWUy//jz03owowYTPArs92BlMqVjpC2/IwU6WwYR2/RH9zORQAvM7
FnIzyr83FKzThRmAng2h/vWEFMVOkGRqyiBOwvmkYPSBaqvITjXMiI1lunMdkRkuTaQFMA4E5Hqo
uPQKJVaMMkA5VR4b2w2PJjXhjS13d0L/GWXVmaT8XKVVMZaBggj5HzkA+2h7RzuN+pRu3K/3hqLM
t6BeKfbcWJi0SdmqSHKzGdruM2aOmOp1Ubwbx37LNenep+NtwqkMMBBll1WknY3ZAO4vqoIo0rMz
4IBkl3uK9/T+c/TfUVYRRoMaimiB+wW1YSdfhsQMfTeb5wBHx24j7bs7IY4Q/EtSvxuiQmTEqlDw
iA8MjLJ9ck11ZyuJe3p7QvdGYQCwYbTBEDZaTUj0fWr3ulEFeW6HBwV/okPTlVvulHe2AYwWpkFY
RNth3bWkZBAnotTKoKDV5NMQHx4Kt/ksQiV/d2sDCRlAq8D66PCTEq1OkEZ9qJMu90I59gkNUi16
jDLpvn8fXA2z2m1h7Hau1apl0Nv531rq6A8kAYOPdteWQ+S9TwcegqoXLE8DcdnrCaF1WDWTVMog
lYl7hKJUd7vUiKyPIPBSdyN0uDMYBEiSPC5Vtvna5gxUVJLmjV0Hupv3pyRBRqWqRf6zFs6WRNgS
hazePSp6iFot7x67b9mY/3kmnDbyUk/EIlikOFAbHrUPXTfZZzFl2k4vEivI3cbcilXuDLpoey/a
qDoF/lVoVFXCidy+EwG2wEp/7OwolPu49fqXt0/VLSABHzUqNQt8+rUkdj25nKxIbya75F4YP46t
QGxT/Z3VFVTK9CmtjMSPpukFy+5vb4975zQv1bEFjQT6A7LP9bhuq0xjGrZVQNWq+C4mmXzEd6c8
bIyyXArXa0fIAn4GGbkFi7yGOiT2POQxJzpIpqTTP+vlbEe72uRNobZY1s3JVcNUfhpqIzYv0gI9
53dmH3U7j2dtDPAwTuNnfaZ98tQV+uhdyj7qm0+RLpPqModIkfnzOMct6vyy/wbsWvzleWkaPVXm
HBVnmyKtczIkHvLYh1o1EVPEkh88AT4RWDQUqLMKUFnbqUNLBjZINfwVD2Zh+6o7Rf84/YhXklb3
lXgZnHr+pFtF3h/n3FQ+55SqMJtt0+RfT9Rxv7fDVP+h1d0Q7xtnsOXGLX974viUYJAwMFqghuv+
jYI8Lz3pvAqmHNq4I+1uJy24DVlmVhuH+3ZzXA+1OnFxPjddYiZVEBtOdsDovDsI6L3vPmKMQlF7
QXPx4K8rKWIcEUz0BC9kGCknLTWMXY07zP9jFKravFxwmvG0tK83ujRlnGD0Jrgkptl56I14rFGW
mOx046Mt/6L1VufaWx4Vcl8S7+uBRrZaaDVs9TAT2q5xx3YvxgE3eFNp5CPuxLO2cbru7Qhu4IW5
S2mZJsH1iK2bJ31Hfh2Ycef+bTmp+GZUXaX6Fq2Ijc/42mm9mR5oU1x2iDpvWJ+OF2eG0jUCvQBh
Yd9nZW39aXTreDqSqTU/pBbK+os7oTRFRcrWyn3bmdN4skI3+S6SolZ9eMhquXdLkXrg5+0Z+eK5
iX/m0C+8nSt4e3eQM3SDtq5n9busm/Phi232ueN3fWe5x3gGdu/Lrpy8z1zc2XQykWvVd5GMOgjF
1MQm33QTyzx1kd1Iv+ISlXscmmdlF9WaM/lY/enVvsSALHJ9l2KIfFSdcc72ehmn2buffgiUsA4R
WgLzRhvien34CItj0cz6JEl9oEipHDIvzXweui0RhDubD7zB0kEkrwYCsEoHKjg4dlebImgmPD7y
tkcVujV6OlOzeprz6P3YcxQXkJZHeWux/F1LijmRHtM7HEVgpWX2Z0ZYTPp1VDe0zJVE2cIi37mP
mNqiDI0Q09JBvP6QCcpBdp0wmqrO7Q7iWLpz4lDbvf1Y3cYZzMkBHAu2dEFtrApmHjWdJiOUDkaa
NZ/ZpNW3TIphzy2V+YMRzZcm9vJ/3h70zhleUnoHiMhrHWb1DhvDnGlJwqBWPup+r+aSM+D+bRbD
vP9/jMQ2JJ5hkyDXcv0RS0+MYSVdEUTdBBwPHQthfUgKDJIOZsLTsrH5760ZAQbrhR46xfJVAEVp
LE1VtHyCWR3Cg4EJ0gfNm7cMIu+tGQ2oxal74Z+tOw1eaqahVdRN4Al1tv6yoKYNft4muIWmtVt5
AVbfpntQiMC24Bu3kRsAQ+Indj9cGRL+6++ZaTOOs4PTBL3el78y3ucx8hV4hoqvRJWW+XHZdggb
pWk2+0bkKI2fZEZsbzw79zYQhDIiAtpTiyjB9c9odK2K+zZvAkurzGPdmNWncDDFB2tOmse3d9C9
JaXBQupHKWVxE7oeqksQm8cGpglE5vXhKbJi3T6OIQoEh7cHunebYdS4IBMWWvG6j9lIDXFxy2JV
IW8+RbnSgUgRvXjy9Gn+ZgO33ID93BkQHTTas8vpXxr61zOzlXmGO9KKIHV64EVG8seLy8x3oywB
o7wFd7uzZFzSFK1psjO/denaCqMByAXvQqUY4lOcCXlI2tb9JM1xK2i8s2TLe0CzbxHdBFpyPbE6
xYRLH7hewCwCbM7U3B/L3nz/eiGOyPMD6oIga91/K/JEG+gr8vrwir9QVpnpACWV/mwNo/0VWbYt
evvynK2Ckf8OuO4+z2AiUGyyRdBVWk4sEn+q8vxlBswNovoCauxf4VkbHeh7n5JUhkyGBgdB+Oo1
l0nJJ3QcJjkrWrObptkrdkgrae8vgXCZLBA7sEhUQtY3p2aESdmR/wSNBy01rDvFD4VW7oZJbJWU
71yfDAU6EfoSfIq1uZSSTEoTjkUTyNqgl+6qwxR4YZY8FvWUPU2p3h0KNdyCgNwblcyTWgXwGZhT
q03phJYTpmPcBuXkRA8ya7VjZA7dUeqmDMy+FQ/2UGxFLPcHpVkEvgVFz3W5ZyiyyDPzsAlKmimP
jZh7X5ehuSjbNfuk5N3Nq80m1a3pNd8VXXMANdyaVElWj4Q2GSngtqoN+lmI5hgqWf3o8qk/oTcO
Ztiu2hIBirzcN6qRgal27SyAkIQXW2LBN3/7Wr1z7wCe0GB5QN9bAKLXl0EawR3hyebHlDZADTHu
O+DNuwjL2A1Y2Z2PjaYfYhew1KACr9/GsJ/zZkDwLhjaIf+dGGr0CyvG+gmWfvrRM5SGIKSKTm9P
784BpUVHMxdxZs7OWhLHFD2Rhll1gWLO2fNcls4TfPJyY5TXPPv67qGMgOTsUrFBtXc9N90bMOI0
+Yq2qJtDMWo54viNjVgDzqN4saaw1vN5n2dJ90QvdNoXXT7t9byUx66QqIUhwlq8b2XhXeOfsPSy
KZuywGscfDvbg512jjyrLpUVI6zLx3T24rM1zFss79VXXoYC8k62vjgN88cq00jqBGhsk4xnZCEV
X/e0yOefto/vWsvXURYyOSEA3xlZt+utmmNjbTijGM+qkau72FKbI6HPtBHxr5EMDLMI48Fa4SKi
D7ouLUJRyLomSeaz0VIFDnKvjpvT0EwOdyEdCfD1WttWD7VZGsXBxq70d6K0do8ZTi/RqqBb+Led
p3P5qTTiOS78Lunsnxl0V+NgmKUT4NiqVYcMkkZzaCPVeae1zPL7mQGusLTcsSxZl1Bo3bpaPVnT
uRxtKv9wMSJ+gwSVVRj5xsZ/td75z8ZfBuNMA93jWWLnr5VwPSqhptqlxrm2NfhiVMga5IMndEjY
B0AKbHTj2jx9SCma6X6uUR8+Ygmmip2mp5Xc4yJk/d3yGHVfh6K2kw+RmvXZ3hRljGyqEs0nb5p6
x880RX7r9EFkpF253eh+0dWucWiTrsm+9dqsiL1pyU47GjFyJYw9pdXGZJ3rAGOZK7zqJT2nQAUx
b3Vv29Bf0zrPzLPhoYQC+SXt9rOiRrtcD61PvZEUf1VW805LlNdR2YWUCwySNNKm610/SARFlFo3
zqQrmu2bQAlPMxS5wjfb90J/XwejnA5pG8IFFcXlE/ynrG4Zbetl6Wye0dcyuMLieQ/ruNnosqwi
a0ZZDCm4LtmkpA3rKcH91oWTOOZ5Qkfy0ezj6MXITfdiJdr8gFfusEHWujce6MeF+cZ5gOlxPask
90YUIyDgJ0lo+3TgqifNTtJHQ0bgAMpmS91uFYm+zs+lO4HdBgUe2G/X44Wd11aIKllnflH8E1m0
4VjT23msYPX5FVI2z/TN52OLzPvGnb+OLf43NF4mr+wgcIqrBWwr3YURiuGeUJLGB4UXn7pw/KdF
1upxSOIiaDQr2dfkL6cs9EosIT3MESa++9t39SqseP0dMLe5F8jUsGpf7dquhLPcUHCDW5zbR7L0
cRdCD9krdbXVul3l3P8bClk0FJIWZat1Btq3nlrNIrLODeGNX+SVuk+KqtwXQ6U+6I08S8nAU1dg
lRdX0UZJ485a0yuEWgOGBbj82ouygJ6SW52OaWM12zuR6P2JI8SHtdIO1Zw6PkD6RqMok9NGgrWG
Mi8Tvxp6tc1k3bS2ImL73AgxHDptQr4iU60Ppl47x1mkfHKW/akfSrlrhYxOZvROANTrT8CTbRGo
giR8w1o1ocZmtZva5yQt7KPQNLmLW7EpjLm0Xa9fGTpFMLsJZFAWoDW2OlBEvxWCoOpZaPboHPsm
JCPvBJ6Bhz6J1cp3UMOsfb1NtA9mK/px33e0mXaN5xTdbrZxBdtI/G6XHZ4TDQTktkn99DX9M9fR
yexyQz23cX2eeYfGJ6N1LgSbmFw71nOKiM9GYHIbZJG1s8+X7wwgYv38AEieULI0+QiFlR8UNdZ8
XP/GjRvk9jRxRRLNLTBICvrrIu6c5YI+WGicJ2kNOGLI/rEFG7Qv8zA6VqCHEYWf69+IOlG9jvst
Obc7k1ze1wVnZBCDrZNPMc3UeZLCPFdaZaGf4yWBQ/d/4+jcHYWuMfcO+aa7xu2VmlU0uTKYZ4JU
9Ymvnn1Jo8zZsA96xdusti3dLNpZvHPUc9dluBrrXfTnauesVl7en0WSaRF6YQK4GQaGdVs+60rd
WhdUDrvoMqW2N/pmXEb/uLOThh/bupYqN1dqZnDonBZBgHiHYFX1Tzlhv/WgwPZTLb9oQudLDGB2
2qGam/xIVBeBOGFZAmynkhWq81FoeTv4yUSVZoesRPqXasS9/mg6soPdr1T2+E7VVS4G7n0uKL7f
ayy9upusGNjbGKXmeRRu+SwQA4d47GQ/335lbiMyXjDaG3QdkMfgIF7fC9QdzRqOvnkuo3B8KbK5
e4ncDm55L4wDXdr+2ChFv3970DtHH4OEBfdJGsL1vhrU1COn1WeMZmutqx90u1Bw/jOMB+IKE9M1
Lzk0npvu4k5kW3oJd/YtbUQeVNpHFPDWr7ueVwkONtjj4ePV71GhsvaZLLbUVe+PwnuG2jGV8PVF
o3bsU4Dbznnsp/xAG8d8wqxsq577SvBanQ4qL4vNH9n5AlC5XrxEa/APiKFLpejxYaGigJMcNKyM
xqY9CjvNfs6ZanwcBzV58Vja37x18b5v2v43etPTx7dX9c5WWvJKCtlUsinCrpNLkeOT1iq4PAIl
faKFcGkzjHdcuJ6xDMdnTzHS49tD3sZIFH8W8iUUBfg/68AliqLagkmNplaphJdOeuYhGcz2oTRH
deNWv11SVpNuMKtJ+RBdqNW3llYkiAWVcw48wPYn6dT6vnDsVN8I7W/nxHLagEfgAfFA3tS23HCk
k9QqZ6UZx58FiXHmO6LRv4aDtyXCeXsQl63DQ7G0eai6rA4iDS219GaXscK0dHZq3pulX2RuJfag
huLWV80maXe96U0G6vOp/k6nJi45C6AYiSB/gqpfBwFeNc9tpJVRgDez69eUn/fjKH68d5cwCMKm
6M3RWqJqeL10cVJ0nYkeY+C0te0XptN9gTs570oZ2xsdj3uLB1LhFcnH5b3mcGgaa1Yh9B9UVaE/
NPgiHEVXWE9VHGkbx+3uUFjfEj3hekAaeD0rA7YfKVEHK12Wn5rErB+ou36dnVxsVB1vdz7aLiCW
F4sNUDzrJ6L2ujSOWi8KulZVLp3aF7+12Cz3by/S7e3BWwdWC2GgV0Wb1SLJMBkzxDeLwCncxZNV
lj+arhV/as9qn8c26j4K1OY2lut2assry3W16Dchx7XqTRcTllqZnYDtcwH+QK/hL6GkOX/entud
YeAncryI8Jnkul00wj/g5e5qHNpamgC5mTxLnuTT+0cBWsd7wDkizl++8H8qDzEhThoKoCRhLrtd
DW5xlxfaFrnhZtsBiKAnyr+fwgOFgNWbU4c2KEEcxoO+d1EDlbLzO2f82c66PLw9nzsjLcBYHBO4
dkGtLn//P/MpOsQF3UJvA9A/giaK+ssUDcDiSNnYencHolAJyY1bENjm9UBoyC7cIaUN9KwPd7lN
OBBpeYYkyHtB0q8mEACxly+3qAas7ztwcE2dAcg7d33XvRizVf/qa+OdwI7XUchATNIPNvUNjZp0
vp8oYqDCFiXDSzmjDDsndrcRnN/sasAjILPw0UDhikhntT4tMRpXKyox3ahV+76Oo703byog3S4O
tQFKafyH3hZ41evFKZFi8SYBqwvZKEM7JLOdnbzCM4a9XuMW8t4tRxuH4jrUfcbiZboezDbxVGiN
0Dsnwxzbj6Wrj1RSy2IKfR1m7sa7dFNUW5w2l4ePOhdP4DqkqJW5ribADGfLFLZv523mV1Z8UMbi
RzyVWwK290bDcI+kkGuIbuvqehh7BcntaA7PIFn0X2M9YuaZ1cpjR7Ia+VZkvbN9zS5cuPXUtinp
0NJY526qlKqnAOEMDBBNe5E33UFa5dSix9zV5YkQ+Z1yfMuIi38XQC0ID1TTV0WOJI+sbsBnG7/N
3voHvRHlY8Ml8vL2Jrnd98uZgrfM0wHv6rWA+J97KYdtq9GKEgGKTvoXrw7Fd5hM4uH/MwrRJjfF
wtxYzaWE74TmFRADD7b9AVdqao5i2NJMu3l1KXmzOEtJaBE2XhcZsQfDC8HuZOCVs/MhUxNx6PEx
eDJSjJ4ye5gOea29E2DJMpHY0hwnIENRAubD9SnLzcZS0ImWAWJ1xVGrsnSvNhLBaJgDG1f7EsBe
ZUiroVZXu7RoeTX0hAO9cOcXw07N/RQv6G/NSPZJPmYfvSnOHzMlGw5vr99tcsYhW3o6ZLmkm5RV
r2eJ1J+Fdrcug7Fv48csBl1n2nm1l26Gu0+I9nffzn7Vhs5JtEqP4DnUoxa+L5hJP3fbYuMH3V6k
xMB0s+g2adAZ1jKZfIR6bkY5BJqLmwrYTeWDk7jlYUTheSOFubOrwPkBQV76uUtn/HrqiKgKozPj
MejbND9By7T9vOsHXxubHJ+rajr0IjY2DszdQXFvX5jqGLivqQW0S4ZcQe4nwByzfIqAiR2z2uwD
ehfio4N0+Z/UTbdaSze1Ph3YA2rBvBmUMm+AQORmUdFUWR/YsVqkH1JRWj5yaf+Ei8nXjOb5Lkfu
2pcAhrRTbzmbIq93VpV4eXFuQOBraRVcf2qrSvq27qIB3blQHkdnSvaij0jcZDQ+buzo5VyuDhN1
2kUHy1nYz2sSUe9RLhknY8B4KmpLv4wax/IjmeSftGxRtzHSMfxdMsvZl5oeK/u8M5Hzn3tB0Sxs
0sjaON33Jg/bjNCauA3o5Wqf1ZImN5IjuPAV2P85Vu/tukE5eWrRnDbmvmQC67mzlRH0JFHgz9Vp
thcjE1smYxCKerRo+tSf0vynnrsWvN46HX84fHD4Eglmw36PcYlvYee10YXT7k3YQAeR8AT7ETSj
r1dbhc5bFT0HS+9bMHSZ58lDbcfexdILK0gi7Vdt6GhcJdWY/Egz8Rir7hc7MuPMz9z26OmFuasj
VA5OiUDXcCN6unMYYLywDMiKcRbWebacoP5bmTryMErderKofFs7QYnf8XNrmnU/sZovugj1eG8i
U5T4tByiaaObdO9HLHkJoHcOBKWo60+UYMTn9Uo3BrxCzbi3XeQcC1uEj1pKd8n1MrkTkfpv4zT5
r8Ht0Ex9e6fchllEwya9WW58bqJ1FobAciPUnGsokTWN2Xx81jHi3BVEqw+iFhuzvfO+sQ/YC+Sv
9ArXZvRFjdmDk6ZT0BRx+6iKsCZ3EVAzfHOKnl21qH1009ugJvbbygTX0mfLOw7TE84iJojUcddw
wTBJ47CJyymg1FscW6QRaBS52LikSv1RCRHANDoLCw0hTOGixdBUL57a4gSSerLV9xUOhoExD+0p
yuVw0Bv7d1nN1c4o662IYzkXq9P7PywPkc4rKf96U7jK0Oo4foDCY22OEkkNv0tNc+OSuLP1UONd
7iPOJ1iDVVxj1L1WV3EyBRjdxc+KrgPUKCMN5f3ZPMghm1B4s8TnXmbNn9xJ5Pe3d96rrfnNLBH1
s3DUgdK0Dn8LBxuKmjcH8IgcT/PgRgddjRU0KtDkbapQvhiRl32JuFJ3rgU0z42U2o/zxDwmo+Ls
nckx/CmytF2atePBpU68cTjuvNHw0sFG6OhEouO4urDbBDV5bH+mAP/P+VwO0/wyemj0+LHRNHRX
9bD9kefaRqK6xpa9blTupEVXCYgNldXr5W9EV3Z9P03BoHj1zpJN5vfxMH7gd35m72L+WFflwalC
b286i991rfZfRG2NTz2lUxDnzpbMxp1zC08QO3fwdCqIvlVc2g6ZMoVJPAf0X+hyq0NPBugpEpWI
Lh2zk2ic9mjk9HwGV8m+vr1R7q0CNSJaVTab5IbyRtVXNjqs6aBVtf6fyUCU2jGI91uAuH6de/El
zzPv/7MIlPeghyNYDaVgdTrQWcsNfMCmwHWkGkyuxlGXrVDVU1bqKgrKFq+Hr8eJihNcPsZfFTic
5WOGgp6FuUrWtD5Jl/utwjz+x9sf5M6dTeSEXgc/DlTcmrqOZl7ooIUxBWBZ0QdJU9jxvhY7tG7m
JrqMxti1G2/lvRuJZgkhG0geg7789ZbE2VUtFQtDobnFakIZc/vzLOdio3R7C2bhigbuv1zOS8dt
HfR3CXMrQzEFlU5TYR+6rnfQpohYXBmqNn30HKF/KkVt/msDg/hXQegsOjZQjYC0SF3bMgy5exIB
y9q8VBBzEdC5nvZomegjK80cNEZqj4ekVm3TrwfUXHctqktHNWOFXRwg//LMIu1Qk9DVX4MzFhdb
NhGSgDh//BkSp5m2vtSd0Io4HiIU+RH/u64zdd5gKGHczUE4GOa3CikLFaSYNR/60iSOsLSpCDzp
IYmC/tOfzKxPMypcj4kXUfKScBe/z0gJ+KiAOX6LoMBGSvXairm+3CFQIV+DBwoq7cQ311+uUcfc
08pCDXRKx/JJeqHy0lP/ix5MYVLLAXaQPZfco5qfKF7yYo1l+XeVK9ZF2BjJNt00fMGH2RsPC0WZ
f77tIM43mnl2FLRNQf3IUG5EJ7eb/Po3L3//P5USVP5tu6lifvOEuEybe8YOEUTv8e3Te7tyjOIQ
btFKvtPSndpowZGGamAAHUmDjOdxOLhlbeQf1Lk20t3bw90m9jzuCAEsSF1q4chNXc8Khp6XRg57
WJkdsJRG1xg1z2aCJcvsZseuay591w4fFWeqCIaoKC44dGV4yZGwqXAQG9EQf/s3LUNebQ5iaHIS
amzQ+LhVVptjNPM5DXVjDsC3DJXfl2V+GAD3YGtGUeGsOFXv7BqjzNQ9yJdEftHMuP799m+4TU6W
H0FHnQdlQc+ti6fNaHNjo8kQVDV6pP6QYo/gR0ZxzGJrpLRpKn2gWHpOjuaOuwzdrEc0tNyDE1MC
TTuF+ogy5V/HKan38YhC+tu/72Yz8vOwlIFoi86hS+NxtWwp+p5h36lBzrktfCNOc8tHV8YY928P
dPO2LwO96p9BP6Rivdofrqpkc4KUb1ANeU6gUfwVjeN3pVH+EVa1B9h8tNXy+PaYt0g2+nIMS10N
RCTx+CqgsMMcO2m40MGkAVPfdVKRX62qCQG/9KHAoHOUzQdiXqUAx5caqT8Xhl34E9xLdWP+t48O
v8XkO3OV0sQGvnL9pScjLuk7TWrQmJ0nPigxAdSTxiv6LNIy8o4FeV+6l7Y5hgdgcbWF6j+QJUJB
CZQSRWLz+9tf587SExGTq9DDXPo8q/gvqqRewxTRgtboxDn0VPkptSZvKztfTtnqFFJ4Iv5md7HV
1iqQmmzlWBGHBtMw2H/bXQm8Pi6Vvt6XWWQVOyWeRPKk4m2g7QVZebibccb4FXfe5PmjnGhw+Gmp
15h2tFCVttgMr1ycq99H2ZX6DeRKsiA2yWpdqIEpRAF9dkkLLbcO9aBNykcdWa/QxNZxwIdc0/tx
+ljy/yEq6KX4lR1Dh1D0XAGXzg6qo0zikAPth4SfZWrzIGI8H79LEU3jvqiLfPiWGKk5HHVrUJSX
PHR78Y87VXN78cLEsTo/1RNR/SWMlFaRjyyNZbX7CC+iYoZGNxjlPipbnO7tac7GPzaQkehZ4HUh
g7LLCmXj2ry9ynnxKR0RCvOsIoOy2hhJbY+6GKPk4maTDioSyZ+/zcw2fo5zOgA57XWhARK3PEDc
ppIaP6Z0guHeGFFa7PVOi4sXqDHC2LiqloW4XqilxAYgdGl6sZ1WVxWMyjBtkhyrLScePrRW1/2i
y8BZ1mxl8D7Ezqga2Nfg1vfw9kG5ubqobyHOQsIEWhTwyWqHqBO1pajU44uM4TE/iKGO3FOO4huO
W6bIAWd63QUKVSRwkEdLdWM9bs4phVS6y/yXngQkztUzlg8VgZNtxxeRe4PwMRrtv+hOtdVYvv28
7H7CYR7xRbl9DZ53Kp6Z0VLLS4k8urszpDc0n9QM6da/Jjcu/w3JVH7jNoURxNuf9yZS4YmmFQC7
h9sBYOQy///EQ4uwj14lSKzUY+I+NoqnnCrshk+mVSkbQdHtp1yiASr9EEeBuq1Vi7x+KFyaLNVl
Evb0oOOAeorRB9+/PaHbUaxFZX8ZhoIXneDrCSlxrldCttVFbXILPtHo7CujqTdi35v0DFbjMgdk
MjgWN3Wmrp9DL9O76iJNrzoh2ChPg1uaX5y+9w66phB2vz2tm3BqoVFSyNEApANSXsOidM+tZG5I
cSHW17HcJEvFwMwAJnqcrMQOPxCIJtXnCNrheEDDyBl+tV4TN1tEqtv9AvIGSix5ElR04MTXn7ef
PUOg5ldfqOxWD6rQp/AIo7rWfOlom8yHO5956ZwsshrQCzECux7N0suBMm0sLgpb6lA2RfNQupP3
0EeGnvoa4FltY/vcmd/CbaZiRvESZNFq+6RZZU6gd8UlGlMbz5wUrL+XOu0Py1HGf99e0ztblXhk
QbQB9AH7uRpLuqOaTKoqLlpiiG5nGhGemKouqdS/PdC9z0hnGKT90mW/qa6kGka0wKkERqKJujOw
IQsoTYlnXXZ0BrJhnDYGvPsVUW39nx4EBcjrdVPb3nWTaRCXaiBhBy6tPiGTOT/ZLqHm23O7OxRg
OnO5GAmiV++Dg2+9nC0hLkPo2cVunlSj3jeWF3mPcecMP94ejaI5P/3qIQRySRjpLijFhUm9OgAQ
CfOhxBbpgiAyrsfeThha9QHJ3SLA2L7aGwg9f3dtJVDU4XcKif5QzF55nARl/Ykoc+fOWf88SoAO
Puad/R9zFvY/w1TupjFzdnGUa48xLDS/NMTQ7rDiIDHQkwyTtErzDZnHJ1HkyI92pZd8j7UpEJ3h
PHvS1kjyFcWvysXGNvPyCyXt8Ty2pvuhSeLmQLTbYy/RB33d0dVVwny6TJkUBzW2XfStHBT/5in+
nkyaqOictfIQRTEGPVLu+Vf1R10qP4s2fbbDcnyoVSTahiSUuZ8Ip4h9J2qbC9h4Ldqnhlt8Lg2r
OSN6kp2zMVRPpdVM3BRq6KPO+aEM3fzArxovLqbUx1pmUy3jR5qXY/Q9pYr/ggzg+EcTRZjt68nL
gnZR8tnV8dDazw60/OSzE4K8eartmY/loZrtfbVwq0n3QBxZnqU792Uoe6338yrX6wdvcqo/zTjE
sd+oNf5ZFSaX2XEqbErUflzoOSsyl0R2fG+zFBdo3trsPSWR4pQYIgnnL9cc0uTBHftFXaEr+qGJ
Lx1P8/TFVqG6P2DzYobfQYglrb2TKcoS1k6VWjc8WE5W/9uPFuhjNx5j84iK2VidOm1RNFOTLE6O
M4QFYjfoVWTEHK3mECo4B+yNqR2SI1pjYj7AlB3PCqyn37psasw6K8K9fm7s6Bhrgz7uOqdDjnno
plHfq6nqVjurAXnse8hD4+aiDq2KRHOfi4cub+PyPHq4Sj1YXaKPezKEovwyQIDsTvSPe7QLw5xK
OGoVNgECrhdqAILL0k55mRZ4gdVprcMccZWo/d7laaN8McJs+LczG8P6WnIdtcXOpOOW7bRKbb1j
7GVOf4JFQGTd6znE0slwW0GxjTf2iHNBXx60IasQIhuk+1M3CzQYQCrJzG9qu8bniApYdugt4X2u
S6Fmu6SZwgL7tTCpfNOLhvxUD1ktv5oQseefSdxOyWeRy+pXj43R9CBEMqX7sm5b23cqqy4+ha1T
wDRKUgfOjR03FNPMKSUBsNByiRo/zWSq77AK12MywjbPfxl1XAqf3kBvSL8f6CggaZ7KFwSUXPNJ
ZlH+bRjzCIQynLX2Yw1qz8gBUmh6xzCLcpbRFhOUWFTnwqeoxc7sYrW1Yy8nKHS7p87CJfUymxUV
0bZzcENKEnsYjsgbT/lzmIax/Kq4lfovYXoT72OLrI0DhD/dwdXElGF2ofbNp9GYmu6l9bq6W9Q1
c3W4YP4jDB/XI7P3C7KZ+cmpUrXezZVF4dsW7qKkhV2614Y+ij599ujOIxvJRenGrqkozgbl566w
lXOG+pf7qRpGI57gZES5sycg66u/TWAr3tc47ep4L2a7tndKp04qpXQp0eQbnQEGMw7Npymz3OHv
UCuq/FlJGRSHED0Sx2HAnl43Q5cHHpBlSos4jdP0WwTWuziaqdn3Prb3+BqFSCp8j6dINL7lJLH8
gDvvVPrqlA3yjEBcmZ0UYm1lT4ZgTXCmpel8sieE03aoO5qOrzqdKQ7/x955LceNZOv6VSbmHtrw
ZseeiTgAyrAoUqRIGfIGIcOGT5iEf/rzQeqeYRW5VUfneuaiY7olMmESmSv/9ZuZ99b53tK22cHM
nbIPC72sq3XXyim8raKKN4VtDstubrqifBvhQOb5UWbozUXfWvp4Nac6Dg69VZIjpeFehXpHZG2E
KHRFMtKlVvUby2ZSBGlUxoQim2S97VR1rssLEHcy0PoF6MG30VF/xBMQxMFWEmTdSqGa/Q2xS4aK
Pn3UvcCTnizfYnhgKO8rVU/bWy5EKp/HAfX6laNFU7IRTHB779SFsYRgKZ0e8qpdw1/afPlkxRjv
VbzexExYLYC+A0easxU4OKyPfANRpFsBkfHSCstSwyqbST/2RGhns7ur56krQkVt6vQmsjVFsIhm
/ey7EPTHXWOioPNbDqGdLzq5NDezZiL40iZs/3zRSNY6yS+r9vNqOnghtMwqL3l3U7Ff2hIEePTq
8mM8UcryUTVM1rxu2499lnllWKmisXzEAfKxwSzoc+w6kbpxOtyQcEZEeH9Z05AhoTDWWfPTCaIf
9nJ1Uu6SGWWJzxlIIjmvBLIrpRjs+QL7uGTg464qQhqqKlX9Dhbmg9q0pgwaCwXoXpXTZIYjy6T6
vopq+hX5VM2JnxZrVrIrsMP0pzItls002611m7vdnF3IvO8QX/WDYkz0VmcF5zozyfoksLvBy79m
Zm/Kq1rxSANj0YoaH3c9t9taRmW8rVrUHoufzWKufXcSPaarU7QoW1mX5vJVy9y83tpT5DwMlVXJ
kPQywF5dbfrJbzozElhTkSO7wyci0X2tUQXqm5lsW1/qk/l+EYsotxZXeLeg7pcP9aJhZoBeDF1O
wNJRVFsVSdKnVF3KihVoWcRN3JHyAUqHLimkSynjHeywHOLGmM71JuMprF9QHs++MtWtFxCaRJt/
HrrpoYUpM20rB5OTYKi0hYhMMXr6HdqLvrwdcPWqWzimZZoHokp7JYwRfLtv0dwbn5fRMjHIb5z5
usTqE4JmYRjDR7JNJnnoliHvP3f2nJj+EveKvIAS5Qg/1SbYHa1rJXIDizcvdtgiZWm41A2yFdqP
/XIRFXJJP89CddqtpLWaBrhQ9cvVaA79uFVd2brhaMbefG0ZtffBMTPR7qNa0+XdBIJpB3ptRe2+
ddZQ57qKsHGByuoOt4SuZMU2V9xFuWQzaT5jPE1Ku1flKbmhgCTfgJGyJJQ8bNrZFl6K+zxemupa
zxzhPHD8o0QwOscYN/ZQK/0VUXu62MUuSXjBIolY2ExWVeQsSUYVX8FiKImu4Ot09kg71SKoptjU
tziyUQrS7RiWzUKlsnaX6WkFbllbiS8nw1x2Zq3HxTvd6HCuHEQ8yAtPtrN28JbEIaZJaDDPZ6Y+
XYW5yeU2US1hh6qW18Ou6BbKlybT44+Ty7Q4MPuh1KkJyNqGHLdiviTPb2i3k4a61e/zKsnfR4aR
XnWlo9WBHQ0Zy0ZkzAVRaFpf8XDGJkLZvfbd2PWMJNTLKuJuXUfcjCker9vUXPRyZ2oUYdu496r+
UDdUt5siThrljlwzww1NKRMl9zGjGCj0iGbxoiUY9aSYv8SezLzU7wqFTCZlyKsmyIoGHw1k7VWz
Vdqalmrrkp4aOF0Tj+GkRYry0Vyi+Gucdbp+pyRN+0mLNGIDQtWaJ7m3UaKQ8p2k1XxIx1T73Com
vK+oB63zPWlH05YivJ7feaVJQEwrRPu+0yvPu4iJ3RM+BZ6sN9DzbbHFHDXBOc6wCo+Nq+4/WuB+
By2L7OwCt4EOCSJPJN9NBTMfA8GxHcNCWOU3bVSFFU5ZN5n7ql+UDyoFmOMzda0p7BfNFcFkZ4Zy
pUxqmW6NpuoOlZEV0bZQFWMmcyKxBPYBiuhIeGlZBorFJGYpttSp3CQsx94Be5Sa1T4qe3FhM+87
f9HaCcsbIy9vFH22XQowyt+r0dAaIyw47c2+nY+xxT+ryYZZ2tFimWXiOYcYpN70FaXQ74gdMLK9
WefC8ZWZ1eeyXmbb880ah0Y+EwrhHW+qj0JgnUG7rMrInC+7RRINNbkGhhmR1UzMM2dJmTJ4H7IS
yakpD7bu1NUFBUdXBRnRy4RsRN34lC+6M+60xUzibURTffHtqbPbbd6UqbEZ8f9NbvkWsmHX9AkN
oJyEI5fDWLlUb4UWT8WuXF1sfMIxcZoK8CMdbo1Uy7OvEU5TfahJJUumoKyb5qaK8+ZxTjITj0A7
jeqGhcDo3MsKWmzsA6IqRP1ylsyiLRLB9XBYyUVN2MfnIb3OVa+n/TzSGz3MOoeuHViIF73zKKiM
rTepXhzmIlnk5EMdi9qrKTUqai94JNlGndGS77uKHENYHJgSGqGlp0tyNVSyacKs7JwlsDNYkwH/
uZTXa2SasaOEQ9NMzeimB0QGBMHaekfnNnMW887Mm1Fc2dnYTBs9o0T5jH6/MWd6A4rtPWV00ror
I00s9M1jX6QQqtQyRtYOz1KZWh8GRd3TfSw96fp4dQz5N5iBS3P744z+X9+m/46fqpufh3H5z//h
379V9dySZNWd/Os/r9JvbSWrP7r/WX/sX3/t+If++a5+Endd+/TUXX2pT//m0Q/y+/8cP/zSfTn6
l41ge5xv+6d2fv8k+6L7MQhXuv7N/9c//NvTj99yP9dP//j7l+9lKsJUYkj0rfv7n3908f0ff0d3
hGUY/P5noMU6yp9/5fpLyU/7X0T3JP6XH3v6Ijt+j2q/oYiAEoZpJ+buq43f+PTzT6w3FOo0iwD3
oESseLeo2i75x98V6w1nZpAxwLiVyAjq+fe/yar/8WfOG1QjkDpgrACVwx/5+19P4eh9/fv9/U30
5U2FvZ3kck4w/5WJs9qJIQBYyeFwJo/hI4iZZNWoS7ZPrSFSw7i07Ks6L/U28AonuoossytX02Bo
SiIrzEstTeyHWC6msR/jaOTMK8XbpVDwZhIGZlwABfUm19reCUdbNkx8WiQ/Z93RpHt+0ScI/nrN
2C/ycjgAWxC01nt6BqSPqWJrXVLmeysWpS+jObvs2iRavVG6bc0Kf4D4cM6J+rRbtI5qqiu/jtVs
bR2cAm2O05i0SLJ9pA4cgRdz2ffFJHaQj1nMyu7JTKR6OxUDHlYJ4pap1axg0mItsKZzZOxX3hpd
K3pWaD/RFDonTWazBbwxxjnfF5FHliqTCi+0WDtIY7SD3Esy2nRRtxXO3JzpLJxgcutTYF5CsMfP
Fw6btQKtz559pk6aUZqMXLtDzcFbtoSwteJQcwbesU/mZ1DAl+967UnxxD2+Ib6T9XqejadUU1YT
GVbuU1U1L0qrz/xaW6z3M47XH1G1qSGEOfPMBHv5eOnQEIyLYSQ+HrBLjgfFNaIdHKyV9hb66zog
nBYUJSmqPZ2l7MKa5vFGaKUFA9vePVs//vw+n09teHj87megJw+YGfaDtcVzXiHr47HVqrFlltj1
3q3c/MNAoaCEHWDyFGrMasBCRemNTTdli/TLKL6FgnTVwOP6vszGcG/Veuvt4FF91g0rmTZl7hRA
K1DlDd91FcXxGy9ur3pRTn9kVu1+7aac0CjO/YBDVTfpAiBqoANq21dNVFW3SoP9qJ83urrF39/Z
jT0qPDcu/KjV7SIsrKW+SArNGPYKbkxeMGZj8YeHi06Y5j9iYmdPvZlbeGiQQaak84e00/pwSXTR
cgZ16CJ6cHb0oInoh2VqwXmsjcZMbBKoa2041un8YXUUIF0uFmzkIkt3bunIJLTgNldBZw9kyREV
UId2lopdzQezK5MqoyZnl74qF7uPg9nW6jowZDft0lgfPL/NpPfZHdr5a+MImPJuIb0gxfJC93Mn
y8dtnpriQS+z8UvvRFF5DcaZA4RY8/iYq3J+z/ZRW9ukMytONFI0pI8Aax6KtEkA2zgLgWLJW01x
Aw0j4TzwaCBdITOFfIKvEghSI4lvDJtVoRSMUrEes6RwdhNVXrMBEGGvVxNVf8DoK/5mLqUu9q1u
JPFFkenWfSmnJKKfUCWu32mpOIhcGadwASlrWAdxhRyyqur8dsnsoJg8d/KToSi6II4aEYpIs7a5
FuUgFWWmC8xUilmC+JZ6FNpD0iMuGJcMdsCcZeGMsQqQpR61RUDoiX1l2zGfYUb0KqUpy/69nc5l
5Jt8Mo+V2lQiUGNOZHs6MZUV2l3emX7sNlUeVJWO0YDR5znINYfhdpPCndNCJ/NMjs4OkTFGYZmH
0hpAWOEVlNdA2IDORtuI+ifp7z/FC0UHhQV9ymdrz4va5f98e0qOKpd//czPwsVz32BiR2MJSf7K
FDZZ6X8WLp5FBcIQkKlQHf2oQP4qXKw30Gw4++MVin0NF8EP/Vm36G9YoGFf8Yv4o9WQ77fqluN9
aOWZ0TGEbbPWRj/2ouNl0mpdM7J6z9qW2Du4oa3FPcaS+ljdLR4QR5gsi/e9mtuM3Pdayfde3A8P
A2Ku2e/INtzB8cs0sj6V+iGy0ViGTaKWSuB22MMEz57rK2v6D+bPv5f0n9fKg0QTQ/8RS6iTJT1x
1IyM6d7cKuUyfLCsXmfTstxQ9RbtqR8G5U54bQnndRrfTRHYZYznW+OXDkdNsyy9hz4e1EC1h3xa
v1codFPUPJEK2QaiVV3hN1FXfFtwVby2c7Xc6CmHZjyb5yuzbcqN1eZyM9GowOGjSe5+fXMv3gOe
EBZNGmqQtd95mtk96Rz1GxpfWx1iD1RS9Vth5eMD25a26T0s1H493A/z0KNnyXgkOPIwwZPXoKTj
9x7prtJ1+WSy8jr6tRI78IgqqYWJ3uCPPaqJcZ1FpfVYk6cV6mPt3HWNATIARHsr3JwlGPOqvQ3o
faZmWAufFxeGrB8ZDiQrGCbHFybBPewGK6Utp0tv6xV98d6M5e/RGJlK6+2bK7EQGwaODmv18Kwc
cgzRu/Oo8biJ3/tU2UW0iTF+OGOMcdzo/TEKdS5dVwPGJAqFtT56NkrFxxTHY2Nsq1HKw8h2F/Rq
YZMb1/2e8+06FF7tsEdgZOKCxpHreCjpZfNSkRuxHbsiv+Q0sVrhqen9r6fNyxviWUGhwGcOTiLm
0cejCFrj3tASOTU6WbexK9U5dAqtmYiY34dfD/ViHkCdMFkBf6jQqNBPSvMmjnOlsKSyzecST52K
LGF1qs9xpU5viFXPwRXN5ZTqQFY5DUVsEnoiQy7GrYOp+FU85IDriyk+AmvVZyr+V4aCiYenvuti
ZQW38/jZwdks86ztxq2MSt2fYqVo6Or26mc4bMSg//rp2celN7ngKmE4P+yAOOUiDT6p98vS6ZJE
7aat6RWqFiAWqO8k1VzkJw4hx/owrtzENMl2WofJ+AETuuWjlE5131dGciNJ1OGpd1HylOKYdJuV
SaRf6l4CLzpWq55jbg9s2o8FVRfEm2lTjQ5HKBeQS/XTSAXZx3qw/mQuSip9Wufy2gblNEJtKdQ/
OA+ZbaigK39vjNo4XEmX05bvdLnTo9Wx4ls1G/Qn0xrrtYNc1LdVSWhgWDmTrvvL2s0POiq6B6Xo
5oMqkCcGJR2He7ODCRa0VtE9Un+NeUA7Z+r8CAJ3ESwNDLWBvnEbNDPzKyhVae+WxPL6nQsUduvq
qfYtb2nebGxnMOdwMGk/8MXlTwLhnXibDyqEvlnPxUedjuVbW2sBII0Z5B9ESXc+OdDS+zNr9cuJ
Az4B+snGgB0JvPvjidP3kZ6tccJr0LbhN5NhhCbWxVv0B92ZabN+v88XX5eNBXiSleonbHIyR2cF
4l6swzzNG025hH9v76KhWbZgwMqNSmbJpYJw9f2v5+or90cVxAq5UuxMBj6+P/TCzVTR997auaJu
0rivBhyzIm3v9DDHztzha4OZrMn8b9XOnLKqJZLrBKfyCRLFRF5fNE4XwEcGLJXMDX/7vuDb/JCb
8OK8U/6bpItix9Te21nxkl1Wl/mDPU7lfiyk8fjroV5+7TA7MF7yVv4gngEni6UaxYMx1NO0Ba8Z
Q28uvEM9Oss+FaX+Fl+e6RPGYFj6k4x6jiL5ypRBLLHKvmCEr/Xq8dvLhrpw3FJMW7qhKp38Cmtq
AsY67abgUPqFiPTuYxLH6bngxZcvkm9i3Y24cQQ9p2z0xvVaveoHdSu6Wt8QXXPbLokRlrk4Z/lw
uhPBdUcsjhIZb0f8k05rBYhGaW5H3gKZCItwIuK3nTLnZ9iZr93Oyq5nh4BB/QKuoNq1IbBX6rZK
68RvWrvbe33SB7HaO79ZYf24n2dDnZQKFVBMzEFT3aK0JcnaTerdhNbwt7c7nhpcNCJySGt+AfNR
fpWu2rnLdplLyCdW1++KpEZIndjVmWf3ygvCpMnEJ9ZANINe/HgKyppkWa1J1S0+gAb5yZxNSBs7
Z5NwWqHz2MzVqoleLgZuGJAdj+K1sEIkC+dWzzKBOsgeDR3TAjX9CntLboyZne63VxCGBLDD3Agc
jR3geEh2GFulG6JuXal/ILusu3SK5FF35LnwpFdmH2dADz3DOsdfUMatEvlXLnp1a4t0vh9QPh8G
zP12swNX5tdLFVbxXPXxJoOoW8c9aRV4ENd3smJEto6mq1Z0NrCuji6GuS+czQBN636p9U45cMag
d5bkvZ5vDHh69WZqW4x4oX96If52WofYySjuBGZwElm2Af2NSWEFrrM42CG4mtR8u0yh6yWa3Slw
byK9CA3EPenOM+doIpMvmrWAk4H1rUH4dwfBw1Q4ZxUZpjatWL5OlizbcJhzVaD6T9MmaONlerDK
LgLGR0Q4hC5qsDjEERE8Ju2bFSdbA66QdKRtBwtEeoRz6uPwudXUzr4aKLv0EB2u0+4iYNMmQLLt
jRsp9Wa7KLVVB8TOx9+Miebrnq6iGQfUVV44K3FSh/TOVWLIjSK5FmCWi99NkotPEuvKbVTDhxxb
fSvmjMTDymnqT7Pw1CFA51COvqnGqhlMXjIpgZRG+kgrrfG2EfGWWoD7sf3FWvRcIY+vj+4t2EOd
P0WtU/sxVI5dVApvCrCsSL4aFr6+m0WTeQTNRM6HDDVKtRmgJo6fM7uXH6XZTb3vqoVpZcHS9mYX
lAks+o3W69LZeSpcty0Zpl2GO3ijGGANbj59mEtwOaBh3FapiZFk3OaLDd+RE5o+XehlXhiBpmHI
d2M1c5Jf9s2AGYcY9FYL9bhNP0npjaY/RnEktsIajGUjZtDPXZzACguoXm372p3VdAqGstXrLzFG
Ps2mEb3zNMaGkX/vFFiytJXdMd0JoNVgMOQFTCnTz9xmdjeGJZsb4aj2h1Gm6UM2ADQgL6o/5FrS
f1M5pxLG1U7qVUoz/UtbjDpGmV00fshKkV56eJPfkVq2QIrKk344GHhKyM3q/2EG0dxy5F4UBwen
3h1hCJEJqV3RyhYLzu2jsiq7vFjZCLXsgCmVKH5U5wieWqnFaOMwrsnpII9D/65fWiJhl9QZP+G1
0i6BjNNpi/RkGIPVArXfu7HZP2RKFt33EFKng1tD3s/9WTrS2JexVo8HnnCqA8OmZWIGeISN4rJp
M9wxsaUwLlyIUM7NUufpCKfIqB3vSy1WJDjGzcv9hG8nbAiPOoRHMSqJF/RRG49+RdptFsQpPJ+N
p9sS4VQ5jT3d9dG8b3G5SMGrHcW89EwxctRTrPYAdUZTAwWOdPpphoWk3PZa3WobDDogQDb0n8cN
LSK98G0oslDepFS+VpisVnduXFnj1wnxZhdWsxDelZppRXLo8sbZUpM0NJfyNHnM9LJXsGcvbfJd
rdL+4tnJ2D50pdGeszQ5aXytRzLKCJqQJFmB+9EPOV7NTWOEoLno8xaA294oaVE89C5y+VqO+g3W
Ad71zDPC42IYYB9FcXVDO9DYpDbgb2UY0bT/9Ur8yrbpIozCFY0TDL61J+swcT9KVcKj3PYKH3jT
Ng/dWJ2zaHhl1zwaZL2IZxBIxokjNdyF4knjOOZ7VYNqD7KB0s/LvdESUPDrmzpJzfn5lB20EOAT
bNiosI4HFLJesH3Qly32JPhkkS2mSchaKeS2yBqWyZcGdoF+T5/vg1EKlEtz0etUKDXeyEGKojcP
aFEWd5GmrjxwVmO/NXPlSetz7XJpOFtgxeI27cVstvXDj6v/D5S+QukUTitg9F9/tdlfQOn+lyI9
gdL//Jk/OQCa9YYgKQ/Ym7e7pgr9BaXTUn5Dphe9OAcagMOe9W8OgPsGB0rORvS5OdiC9fBnf3EA
3DfIzFEE4VaBbzKtWPd3wPTjKgrXU47oGLJw5nMopehvH0+9SRHswubAhlV0NRXN1G2yJtc3irac
izU5VQcDIqF+cY21o0sXHxD3eKwmi+Mqwe79gg2+A7Dn6EVRMYXwmcQqJEguDDmZkPDwglfjATG9
2fQ7VO/59tkruvlZtz3vtLrrXf27nOOuwR45GmGezClXJTPv+EqActumSkzjIu/iEmxzmBCs261U
yJ/IPZz/Nb18GEcI/LjPYldYaqOo9ujd4tJ3xAgglliyhRGYLrq1tYvG/ojhU+r5WqnMN5C29W9s
2a0IjChrEhjQVj8ESzkhhve8NYwd+XuomF0bBcbSjpbvNmKGFQyWZfl9o/f3+TJY3kHM1jyH9qyT
v2IV9bJG0wzJHSRA7U5CHrkgx75bgsLrSBRXGjqU2zkbrXhjdgQZ+H3vDbAidHe6ruKEBrCE8QRh
TqQVy0aDEOApIXH5sTHyIZxiKgH4vcrBEGgWuFBbRZog5aBsikGb2C2bWr2TJFOpwUpRuseV2fs4
N0brBKJwJ2NjF1PThWXfi52FFRVyDxulxAaVUPbBmLzytu4BsbZLhTstntXp8DSCRQWZYktj2ztm
4W6sZKmye0VJRgUFQdn0W2T6YgqJt6Lx3CutfpMjCbSCeqx0MjboSV+aloDHeWaKnM4Q+u80GkA/
+To18tmOZ8hI/WebTmVe2FM1hTpF1menyaJAETpU2UyR8C0y74Kpml78euTj3Ye5+WNk5KkAI2uC
8clmMBAXyd4mzQsJdH0T5c6yrWa4o5FR9l/afD7bVlmPmkcfAwOCsvMdEEXjvmhR5bDZlEjBGZIp
t7gglXS4m74qvEv6r8rHgVwBI+gH16q3BSSx93pVeuUe4xrjMDREmP/cDf+zn/yLV8Zq9KsNRcT5
F8V/KtKuF/HfLmTxRXyXR3vMn/w0fs9fRDP3DeYbIK06bQ4Us2wXz4lmLqscGYYa3QJm019EM+0N
DBSm2dqx5f+Yz4lmxhvcTXAQYsXGN4E20G8xzdYp+3yGQd0hQExjs4NYQ67JSRNUtJ1J0ci5rFip
+ClaHE6cIr2LJ70OU8t4VBGZeP6zx/bKIs89vxwU0/9116UVc2q4PWSIJZyaQQeds3VjL9rejgvj
52z9X/lop/snfB0dz0O2aRoWHGdPdhJFdQpbauq8KzVbhOQ4KrB6Dc7yuDqcuaHThYGhUKXASiIO
hx66e/IUwYdrFYhb3UUdR6MkSvEFLl15AbL3rRmz5kwj8MXzI2GAiUH9Q1lAcXCyW+euQscC//xd
3K7BpnHTbF3Rj2du6qd/5tHkgCLJbQHuYWXK7F2v41m17cxJZasIJ3YFR/BtU/YQktOpVetNEVX6
JThEjk7KXOBymvY0f09aRTykdkIjAS8nkfqJnpclIpEInmKRU1L5aVxr+dvIULPi0PdGa7ylG9xP
m77uZ3trKFpa3VqGHMcr5GQWkDp12uKThujWQSyt7NPiWBx3yKlpho2KgZLyyemW+imNq0kLzdFL
9D1kpfSynzX1pjBEcSPszF021mDFedgOafPOzpP8oeD7e4xNq4WzPynD56KJo0fM5fU/Zjj1j7zx
9KZDviL82VPsiSMtFG/frOJuCesoSyx6XFV5P9sm0hYvXZyPOMtQgyydo31q3VHzVsnhWF/MnSvu
PGfKvncuzlpcegRNR5CkeV3mVELIKJFLBjTMPIlEQ3xfBvObgeZ7X43J8BlgEJgTe3oMioWZV48d
9i0VTlEKYaR2b+cBMsCK7oq28IgolqJ7vUNIceicVj2UyIkgIlRDhnK0cHsr8Ky58NUhl93GnIb2
nYHa6XMslLYKq1J2H41CmtK3ca8twhFd2Pus17WrqLOKt26jkDhnuVOcBB4VirIzGkxDrsda1Rb+
y1gdsJKDGD87s3ZdVgt8jl79NttqkgdmUZf3S9HbDxnYCgYeaZw+OuWAiGgAt4MYXtsN8Ze1OT0m
szk8EjqNrq2C7vpO6kUywmxSWxy1jHSjILuLgw76neELvdFSUCFTvxihpefhpLTWZ4tz/IDcBwrw
FrpmkYC4FEwQSsjvtjDSe8PE0cUC2Uj80oIw7uuKYj/MKiTCvWuN8+Wc1yPZUpk3/REVif7B8JZF
vUj1GhWlYvf1NYhgbgcoJusPsYqKPC3S9KZvXAQ8VCOYfXYAMRLsPUEIpCaNc986mPpB+o2R1hSK
DiCWLNkq3tBKQK7KqKm3sO+/MQkXXHx9xDWVoGZnxq9qiZbrJpLjcOYbf7mSsHzoRLC4IN14RZxU
NFOtTTLDxWqHqg6mXqfFEIzHcw4m60p7uo5ASqK2h4ZkwmA4XkdaZMYJq6O9a722uWsrd0Cx6ii+
UY1mmGHAsemTunhLw0Xb5KLJzhSMLzYCljFI3rBSII5jRr2u3s+WMVTIMxxk094ZvRvtR7uCiZgD
zw0gOf8/z5PKlObVGldwyoNJTHMg1YYVM9aS4a3QS0r2QVXP3NCL7YYbwgxjJalzGKUyPL6huS4S
Qtcie0dc37cidqctp6RiU3p9uhVyHt7/ert+dTjOs6A7cKUIOD0ebgIX12rh2juUXV3gICncNKxs
h6oTWjAu1m9Gf9D8Y8dZu4+r/wRI0snGXUx2089lRrM4SwFMdRmFwuy6/aTm56KOXkwNGnBYDQFK
wrV/+STVoh7NqDS9nWyzcQPKNgcaYaoBlgrtmanxcijwTJOAdNgaq7fRCT62BoeS9djE+1VBQW+p
djZUWs52zJRzJ6TXhsLKn4fHeByQTib8QJNd9Joe73NTPuRujlBIzsqGA845d90X6wc/s5KeMDrW
mR2nBoiJgkTTSOd4H5uthCix9IHpjfHmNycgozD/YHGwimBTut7v8w94SusxHnFVrKtqqxAH5nuJ
/b3qhrfEVdbhbw/m4bK0Pr6VZnmK+FmG6Oba7pN9EpF+1S5xFEwdTc1ihBSNZ7Fy5ub0F8+QdjMR
7hwDiK/AUWf982d319t1AaqaurtotuXFPCnmlVn2KFzjLjroi7rs2x778JzFeWPLtlnVHEo4OK3c
1BZWUApdh1JG5h5DxyS0J2I7q2qGSez1U2hH9nc9GzuUTlrzQQM+2Lilq13VLQTpXz+4ExIgTXtu
xMFIFBkIXWdI98c34k0afg/24uxM/A2u0nKKDy3y9j+QZzjuxoRy01NMGdn9knCwD00S63UfW4gM
XwMvrcYAEn1Cmq2iUzraeFhoZ67wxT7Ekkx/n88PA5M1JPP4AssoRcgPGLib0+hLNy87XSgHskge
4il/m7b2J/qDWEGe9al/sYAyLhOXfcHUVp/dk3FdaQivimNvR3pSuh2Q3j9qsTAQhWKMkLfivpeq
ti/7xLvUPJleRvaS73ItTwO7sXbmgg+FN1pKMOuduo3M0ro/8+ZOcQYE9UTrcCLTaIHoZG8dP5ik
GkwTkMlj0HIVOdK/W3xNm6oqFJRIsR9FRa77isWpLSiRa6PLJjbrpjIHgxMAdN34zFe4bmFHJQNX
xAFXX8VexGedCloWRW8c3MG9XTtDQZ8MdBC5hy3HnOb3riLrdxziqiBarOGMPepr72pFINnBHbry
p+mFnHgqPes7b+dFiXvIl2jatDy7DQYvyU41ZPm7ZzluFBsdznGc6QnmOHn0QklTTdLd2VW147xF
XFZduEU6n3mcr3ybDGP/QHeBDQhLPH7DbHSFq8c2zzPtzH2Cvw6iDbuj+WVYuz7OsiCjPX2lDO2u
T3Gq8VFUp9dzJ4ZtFkfWuy7NrAt03+cKphdbFbcPyZTvYo0GAuc6vq7JisuqnuJoV/RKGuiaWl96
DmKJVZd8ZqF9fSiUQ6s9/roDHw9lerlCLEYe7SypJW/x4CgDu5T5zsorffvrD2pdsk9nL47VRJex
Eq5q/eOhhGwjYVlJtDMGDOZxX1T3vYLk49ejvDZVn49yUifRH25kXIloNzqpeCcWqzoQG6tvu1TR
rzAvc848wBdY0fquwCNXFg5c51OmBZ1Ib6K6Rcik2f2Fvbhf8maYgkrIUGno3lf9OWvqV14ZIYDw
aCFl6WjNTmYtLU67whc22i1xHqOXarqtq7YZTrTecvvrh/nKgkOmMaOBHUNk109mR0ETWLeyOtop
EeYOXeSREmMoC64Q4A9eaTzoGGBDciiGM2/x1XsEy6ABA4sXVcfxXKFjUYvM6KOdk1sfZjGpu8XJ
Wn/wRLH/9S2+MitRsa3KRLL7MKRdr+RZoYExDYlnWJHsJslJutdRh+KuYp2Z+y96SWwmJHr+kKhA
g6YQOB4GQ0V7jtkTds0ytpfdgLNTqdL4WPAoepdVqb3BplJcggwWG6wt9aekkLhpZZj6/fp+/y97
Z9ZUN5Zt679Scd/lUN+8StqbDRvTGNuJ/aLAYKuX1lIv/fr7CdKZsMEQxD0P55y49VBVkU4s1C3N
NecY33jheV1p5gieWM2JbT3YdlKsjJVXJfGuMuzYZ5xGtnCm94GSleM+U4QXzH1bvUs7uRZBjImp
gtboDyIEDhWhBqMgLn6X7HoA+vsummFK0jehAzB4O7ewu+81hKoQHrF443Tvo+kOVh0CzkHpcs4o
xw4NLTj/dHVR8mSnFTpjZsK1iDqinOx3epOYwp9spbmN6skc/dEsvDzoor7cqpXAv9jSImLldb14
Z+S0jvDvGl2+Sbi6Gs+iPbNYVuN0quDQ+y5Rfi9wkpRbM55tsU2Z2Y/bphgqzReIo88jmXq/WhCl
1jbFDXHS0xiXvu1pueWTODJWQeU4HfckLsgO4D7dGLWObsRqlMkfzFrdZLnbD7vB7qObSMGguAFR
jorERBlVr1gh7XqI506ExN/Gmd8lhVpthF0TIAtriEAd3ZUQgGKHD1ab2dEdiVCgziBm1EcNQ6lf
lTXnJ3zYGSBmefcxbtSCppbqroZI+Bi3C9uMNJwzY6F07ur4yFiMugnaWStO8t610tDQlNxkZSja
7yRzqDKwZ5nBFuxl2foQwYpsM+bRfGy1g6li3BuVPDDwdVr+aIwtUswxzq7vK69gRdamqlfRCvPS
qfXbYlDLQHe0Mn9jE/rCEmAzteZHwaSz4zgo0ZtFTOZkG8nOG5P6k4pAZEs4x1vVxotHYarAzhOl
KyOspytAP5Da0c90MElesTYzfptALvFbQNA3jmIeVNWlE9Nj7rVkF2nZDYg+JpGZaMLX15AXVmdY
2au2G/EHTqqDUylnp0no5/A65wMAe3cRzA9KbcOw/C2TxQvLFYYbtiW04nDkrUiCx8tzU2mzWRZF
utNEXvDser9SDf/YrKz6JTAfNOiNNx6H52dHg5kie/0vmhv3W9NHX4QKf0CR2nq6I0w43Ti50m2i
yZu2xjLZb3x8XjoUlSe+GJtOEuvT07MrsoL+YOGluzRrjWCSjrUhpcG67EzzrY3o8weDsci9mBsL
HGkeBw9GBtvIkFac7ZKGMpdiRvpa73mb9z4ZHMVm+LIKXHEvrdXZo2snOzrgRioAD1RpzKPn9YE+
p38hSewfvqjvGrv+jwN1PAh0KNhemadic8n7on8yQP3n537PTw1AHQ7X+W+1DTf79/xU+8BS5vJI
EemI6IYb8Ht+qmOS5RvIjoKeL+X+mivwW6RjfcChxZpEwCYtKygGxv+LSGctK3gKUHLzS9DYW5/F
R08BA4yIIZ9RA3XshvOln40Q/bi8s/Pix6Nrc/HwHX+sjLnfhD/5vLMrZasEb5kCAwH/+oY9OlSj
YYtbXLkcGWPV/IXdcrE2hGjBCK1i8uAFbv5zE/K7CHrSUa4nvNtDUNZ51wSRAYwiKNj25b6K/NjZ
Vkuft/4io4E0I+JwbmtIaPNuKkz3BPUmvMJostlhAyFSQoIFhhv2l/Vbu7+HyejTkwLS6K0JYGsj
m77205OynUr0LTZ6qt8hOTeGRkOb2TrXpEAhoc5SDQkhzxDS1bnE04rEJ4b1pmnJ8s3oqQZ8tHNT
HNYIQjXgdRXqGWXqobkljQGMlcwHI4j1KfqYp21eB2VsrKFSS4yPf+Bfn4/5Us6fKhfAF+kT5gj+
f4A5CGk5kTgzHLf+WQ+xnP3WbVyApNEEhEC1xpw+iDWZ32qty0q/j80YJHzbpptUWvkniZNf2UKJ
0vJtCyHBZbLe63fcMtcMccd2v+ZBz75mZTwuW0P2iutntc1Fd5y8PB3QvRibaDZhCUhrBF6qO8rg
BibuZAJZIzM5cRfkzwR3lXd9p7uXjApKucNW5SFk7WW/BMS2ItWKCgZnYccOqgoGUQ1ZUGtuOQZN
WeUXugbY0QcvZBIwVY76TbSQ4+ynA4TTiygpe9PX4T0upAXW8/k6EL3NV4WjT0xWLsN5VKfUn4to
uU2G1vuWClF0ISNa7RLdcHGJGCtGjQQlUwtmVUd1WjgjudQNCfJbMF7Vl1kXQiCqdxs16AW5iX7E
DXACDSF25TPHI+575HdMghTCguUvtDAg3Xk1cSXK7E3lUarX8OCNvgH3pKKBokckzYt6QEHmq6Mx
uUFilIVF323qolWwqf3k5kIdo0U+bEsU34Dssngxb3j4p3PAo5FCaVoh0HKTPD3vgLntncEQ+Wmv
VLmZ+VMzFneoxocL0svqm57xHM189F4Mu/PFPM+XeT6ShW51x5nMqJ1Jl2vG7yJFMfrDk+h1fSwY
Uf+pFMVskZxtJL/0KIL+qg0o7C4J4xDl+WwsreoLd3RgO3ST+VUlJSW/K4aWfRfxtMApvpLd4ZR+
ajdQfQFtoCq7lKXW2LsOs8DVKK2OKrhwEiDL6lKZGy8qiJMjQjv6atWW93VoCtaHthVwVzEJQdPa
lp3NP+Kd0YfzvuwjGHsUWVXQJrE9wI1oFD2MVOzUV6mhDfEWkp8OkbQjfzTxo7SsTjwrn72g7dLy
3KsalHWq28e3lR1ZvC+DBd1NGYr4k0vGNgtKO3rbNZX2op/ouz1sh9711fzfCcGCIfFgqvnzp/VK
/LxNb4r/fPoZp3X1n/rXf77V8XyT3zTdzePP7T9/1W9JrPoBhDggdhouNkB2tsx/f2019QPGNf6M
igq79to8+P21dT7Qv+ODS4ofgW1o46jtfn9twVWoBmN2dLE0cHSmbe/52t7HFT3+XKwHwIZMWiGN
YXRRB5+LBUhl2RGdelx15nLJTlq5prHeZn4supyB8hIByBOzreBPcbVdS1rFjF8Db4yvRjQ7wiLV
gVORq6KSbOS63aWQTv6jI474K76aGGbgVPN4x7b4vEj67UGma6Bz67ZkirbYqiW3mZkjInKHeDiO
RJpMYTsm0S9PY5EDSa4bDqyeYFLJMjrTyaJ1w4JvxOdqIaLFzykVPuVGazNnt7sWyWqJJgTGaKL/
NfNv65yC8QMtVn1kS9HYR/h39VNHIE7fKIzWjxXsOOzss775pNGld9FmiiT+FEVunIZTZ+Q7leXr
i2dMt7VSVucaExXtxIk1Xd3osu0mBB+TdlsMdKJ8bWTb/7CleNdr9z+tWMVAv7bd/vw6XdyI/sl7
8/dP/P3WmOoH+iAM/KlGmSWv89a/3xrD/MAoe0VyqajCoeX/89bwIzT81x+zabpBZ1mZdr/fGuMD
rwttnHV4S2T3uu38LXP/u1J8wP29TJN7uh9ir2XrPMpIqZlr4idYC+XHhWPiyLnCu9zuDZnKFVxd
B5UWFX89uiIv1Kdr+fnvq3l/FJRv9to8ZQnhP0+PEkUV1iKAVXsjR0nVzSY65bIZT6d+GY9eP9Rh
yC2DEhpGrAAqgBOK+cOqW8ChTkQ1j3tNWcBVR4KFJ/Rys54Ds82Wz6PU28vKiutvppYoHmbiXIdh
NGiJASErzSHzUl4eVcKM92tJKIhkG1oX3nw/nDaiat45e0CpgcjgXuTJLw4l7+DitIsNjLhz+r3q
ltPGIA3sOFu8ZG+Nb7YRnt5tRjschseG/v4KI+R/nt6HVKTeiNhx2teJUDCsaOjEWLQf9qR/FFe+
dBR2PdiXUbCiq+JD8fiZKpg0geKX014FrE7IDKla9Fvfylox1q36vw/VejLUTmtoGTMUVv37XvOj
PQ9ZE2xf0nTZGy2t8dNodoxlZ9RQN2FDpFWCOoQxqT80SQuLeY0c3Kxtyhu3LQsD6LvZXQldrVU/
GbHMDeaABLFG6H5juEOPaWvM1buZYfa4VZSusgNNFm12OhgdXsxp6vvSB31pf8utoQOlSKzzaTUs
Wr1ZadvNZnGd0dmoBigWtA9l/M7RwHr2nL+2YmXWtvJhsrheYz4V+AwAxtsL+PYEVG+X9t6+KmGj
v/5O3TflDi41H2pGrh6PJ+Nqtu6P76hnzJOpdpmxT9PKRTGi2FUVRuRuZDs3cRJvZ1bKTCjqrHwS
WkPTVaqdBabWNqdL1UMY4ZcwdrJdNkyO7hcaKPctXAlVBkgz24o6dhmOmjrD9E77q/sylhgHzmM1
H/Jw0XE4IlBcah3cAHIBP9eU/qtC36sJF1O1T0fZiylsjFpGwVjYDSGGFUiroCwb4xhNXckntyGq
eGMKw/2OGBL2uWn1nbY1khwu88pMq9+4ZOubdHDFyMaiVcf4luXdYQF/fMXs3kqhE+TmHsSTHHwi
S7pwUdQ4KPTIuhyMtLyl+FfeOOrTdfb+lcB8QOg9ui/GC+tn4/FRxz4dHEXoxh5IqYYi1bSdI/D2
NAhZ+uo3Elifv+brO44CmL6dQ2zi+ueP3j+UuK2XZ4u5j0wFKHKSkLlmqM0bjvv1A/T0QgJXRNZD
YwYjP22Ag6OUFtP+1DH3M3THY3NI4iuDRsRHK9WWnYTK/0Yo4EvHY8JHKCNyEA/ww9PjpQVGaNOt
LR71yPZl29cnwHizY6OPm9Ctmvbq9XdrXd0Pz48eCcI21HO81AfnF3VeW8eWsPb8Rsm3BpT1VjhG
flxHkWCYsWhnZjot2xZU40M19sdl+nAYxxJCVB0f9zWji7/9MH68rXW3VAg5wJ2UNr5hawmzzeln
W9XD8Zgm5WmjMcsQIreP8sjjhZ9BUg4z1/31S/D8qaXNw5daJyWXcuZw+N5BGM8bkl32aFvtLU3w
KQDdEK9w2Phh4/fHc173AIdXe9USAAhdG3LWwaeJXoRaLzK29lix1gjdmgSKsq5CQlhVJmH9vu85
MCkeSI2SOn5DP/LCvcYDgqGQjiXT/8Niq1QNl9gE3dr39WIHMtWHI14hLqyFBp7xAforfvNAz/u3
UAjP40ZpRT4+9MFj1gswXQqJ0ftGynHTaXNCS1+1sMYLZ7tIqG8Rt/1kGKs+aGVPtHs8vTH9fL5e
rENG3mYDLyG6loPFyWz7JMecvtLCSnsrNa0PQJgab9zh+4v49BajU1pbuzqMOxq9By8w7UwQlsAy
9lKzJyIim2hog6zDPuDLIi1/DGmCpduBJ04uRJtq52aLUiEcutReAleZHIgKaeSczBWRn74FqZ3P
hxiaTcmWc9q8/ug/fyJQxAFYpEVMj5RN2tPVhkSQuuoKQ923idgjzmunE6N1PqoEI+NptM4AW7lv
XKDnt4Eik1dgvQWro/LgNmBjJnOY7+Zekiy8gYOuMX8m3+f1E3v+orF6Umxymyn6ea2fnhjh1lJK
PTL2c2/h9yPn6Lil6R5WRRRva3Y4QaQt4gYPv9joyWAev374F05y/fSitF4dunwQnx5ezsvKHChB
eWhYM1vhpaeOk6Rv3L0Xj0LPnSUJlhWHenoUsIRlU4Az21NDqydc9fxzFufO+evnci8MP3iiLfQn
fNhZsPCLHezRhElu2FAJZ1+jSTjJlTKbQ9Np7S9DwbDZbzqJJsTKGXoeLUAj26CUWu9szEixDV+h
4a9uJFuQna6I1vrYa5Wl+n1d5rfVMJQjg2y0O74Jjuuni7wkuuD/OXsD82gWDmKw+n1ra5W7k4OS
tX5R0j4kIWcB4SLNKf3hDqXmbbVq7n4hEDfOHbufmp1Vdf31ij78NQ4wonzkgtVndahwW5nqVP+s
ZvQRO1OpC/NoLGfX8qOhL9uwkjqSZwbyzudktOUcDHBArgn5ya9b9EsnC2eJ55dw9RSWssH4TqLj
gHMSlwOJtF08L77KkOIyd2pd901VkHwyjVWBQWZiyi61osW6MaNmCtxYZrf0Ygb9uBfEIHENR68P
dbsWv4Rt1tqVUtuY+V+/nS88NCs7kS38w+5lXRIel02JOQ9TnJn7SbrVmSxL1R/oM317/Sjren7w
zDA0ofJEPaRpz+BjtTeZ6L14NKs4mq7KfOmuYrdLtw7ezw3M5GHbKOUQvn7QF1Yzhw4gn7fVughx
/empmXrstKRMOXuhdWKn26WyxTdu7KiiTCJ+PDI6PDcLkk7mb9lhX7iqBAKzzgB2WzPl1z9/dFV1
MnlKOLDOvq0A5iRJZoXE8RTvXzs5Cl/vVdZOHvPB2ql2aa5ljeHsJx7qzazY5omNKPSNZeVefHRw
85y11l15nh4pqgcnk2qNIrQkcfeZ46VHsaIMvoWd90hMTbsFXJN/W0jIuZhGNb3yuLU3fNmTcGja
4QY483zx+l194VFad/JIFulP0uc9WEsLWSR53irOPl2h3pmZfWzhXY9uWgRJH01nZD6/O7aSYpCP
0/odR/xqHyp84zgWloMwfI+RLPrY9Z65SUez3fEOv6UUeX523E00b9xNlK9YNZ8+OGlvxZLKV9kb
sVYFsSTQ2J9pnOqhEpWdHy9q/Iv4ZLBbr1/V9cv+9B5zd7GXUQ3ygiJBe3pczY2mbo5aZa800/St
XJE5viMb/QsMzOSNYz3/GK9PEt8nuj6U+od7DGBmBIMtLseKMmDeKh3eysdnW8sQywFpl6rZMCUe
TIA2BM8n1KW1rAn1e/2Un7+jJJGyw2F3RX4VH7Onp+zVy9JykeNTASLQFw5bimmS168f5KXrypsD
mWNVGrKjenqQJAUuDSkLJBLTK9oOTvcZvNgSVH1ivyHPfvFQK9SDDi0r+uHQXdO4c7Xbxqd1Xeo7
0Gz4YLvSOqmTWHvjHXzxUDh7qRJBcz7btxi5LtkVdvGp1kNHSk0Bh8H8sjiFfPemHgk0fDZ8EKDn
nn03BIlNSdx68WnXqsrHTh3KGy0x30LnPH/p+ACutkLEMZgeDhHCMCSmnJK6PIXcZ+3Kpq+umfzK
H8Kz2jMC1LoLCaXijdv1/PHjSIyokO5zRPqgT5+Mcib0IrfT6jRzYTX5fcX/dbPS+fH6A/jCYbAR
0u5mk8NJPlOt19rM57wTp5gg0uOyMNOznu/00fuPArGYjwQsZrY6B5+IJAchHclGnkagytA1qthB
S+19zGL6SQzoABPw99N7oRdyWHlGdtfNvSJPh8FtQqPvO79zpm/tor8V8f7sAb8XOPMSgavCK3b4
/S5xv5AMq7enDbGW0FvU76Zs9o4dv9NAuJ4S7RaEsAjw1930wfqgSBilJqEOp3pOglthUyPEpJCG
2Lvfajag8uGRerLIYyi6V44zY2H5PfT1lQtVMgWrRyymRjqi2oh+rxOzRgGddF4WYvTVCEoEFEy3
Go7bd2OYaX3Gfm5NiR3qXlex7cRLDP7uj6m/9ZSOgKPKBgYVSWHxRzqOSETJkKztUHZVpQRI8Kej
RBmXv9YH6tRdhpRgU+qwHw8BwXVTzkSR1ZYBHQ7xrLWJ+3KY/K6t1lBjGQ9HnsY3AtyeY/6dG2zX
ZkUksGPNffAsPTgnQOwuT4eFj+lDhHBad6a2r6J4dk8ecoSrTIn3VIyjfkxCm1KdN4Za9OgxlmI5
m8nt1Hx9SVz7DBFd6ewGPSIF0VgG1SMu+5+8YbPVSNLOUea46KwUp980s2LZZ8DvFOeLOusJyqSx
iujoZwUy83DQ0lHfdDVfZlr6jn5i36cTZ6u8Blb23O8Mmz5FCC0QhJdWqvl3ffCIL3ZlYQWyWoz4
rJ5JuDyTcTLFew0+krd1AAIeGRVo/9MUYesR4XCSCW6Be2ZzH2+ss3v5bpEL39J1UNXTJsOv59u9
NG8epx3HQ0rmbAY15lPZG+Vno4j7z1Fr5iQsPgs/rm0R7aRBrk5oV411sjhzgfj4nxjkzK2qHJoP
1IE/ZCGz/pU/2ERypn8KREYEFTsB4m/yDdSuXI6Fwe5r9zgbOU5MAmIUzWKu4kmsNP5DTjLRv1V+
qUaVHvnNiG4FXdUIfUcyngqBGc4fl2GeG58xjnJqeNog/IpcPmMrBfA9EMIatEkLi3ZYJYN0/V4o
9lVNCGsSGGmdxv5ouumVjNwEGzyj/XUO0oEpdKLY/qjb4zZitGMFesVcwlMGi+ho3S2uWRWqwleW
1ox9trfmOdoGIJkZZpXjShqVFham3jRB7aVV9lHp3I5kVZpaUzjrqWKFrmcmauBUNenDhTtTKpJ4
XaDHGh3nW+EVDbtxIv7+6sUArxGi06claSBVrbP+2c+zFAZcJgsCXAl+y4gSjUhRVRU3vZHOsFCZ
zYP7Ewo6oXCVgpT0o1IbwxmYS/G9UkfiGRO0Dt+l5hA7WUSVc1OrcdQF6IWmGimDZ36nJYL5Rsis
yOFSFQylVDdur3PSAG8lD+VFEQ/dWVpIEmHHZhRfTEeUP0mFbvFUF7ZzqTQabsSMGp+lX6rfNbu1
VnK1YeU+3/XsWFHB2W+sbGrzE8XzsmrXKpF9zU5b72FIEkfrq/00ZUE5C0vZQK208zBJo/y6HMWs
b9TGjLWQhsD0iarcGbjPSBJ9R7eEJHbI1PPQnc34TotdMouyclF4tNo6UoMoXrzLGnmyDFpCtQBK
LlV0nTpO83N29Py7NafFzWzJjqsHk+naILD9RCN4cO33WtPHTmu1L1VnxENoGwKAAgCrOPGXrAWa
ZOvNjWGk7fe4WrrvQPp7z5eghXlynZG4Epop0z5j/1OHeeIRU0jAx3Bedpr23Wy67rPiivmnAbbg
WmgjNHoUlwltloxEetdpc8IGm8U7T5R4+jzpXnZFqex+G9AjFn7tRfpPdRmHJsj4iVOCSdPSL7Xe
vBt71SGi1XGnOqjjZoI12Nbd3QQi/3vR1eadiBzjcwla9RvBxtDPshbWLylNWXNRquRR+qTX6xeM
zsc7b8Ga7/eTOuUcR3c/J25qFqAzPZY10xKQpADEln7smEQg9e6US5j6TX4x9pDzSaXH+wctVif8
0RtmeyTata8h8KsDSZKTKq3SH5bItH2oFqlKVPPsXLdlaf6ysyGN/JZZ7pe+NVWAQgK1gI/OKBgq
mWYs7Y6+Bky52JjR9OW0qWFDdJv7wum/ToPCLOH2d3Din5MS1+P986/9N8k/fJBHU1n9WazyW/t1
eyPS7okG7OS5AIzxMlOwlaH2W29tf0AS7UFYg2YEEYo/+a23tj+wjXYZq9Ac0e9VLr8VYIAU0T9D
zV4HauuwiSLyt5bF/oCLnhWcxCJa9RCh36VlORjdIdZnD8YRrDUAid3fQbUazxCfYqUryAwuN2Qh
WqTJ9MlxUibOF7fy3hhMcrKPa7v1aMjHbSyIWPPZJh80DjQj1VAcqNXOnvv4PG1YvSYC0L6r7mhu
Ht2ji4eC8bG8+61DHfSZ26xXs7mZKyZURMmzntoBVr4oJCHHDl8/1P089VHJajM7RhR0f0a0fJ5F
CYwaaW8t25edq7fDThY2nOS5Fuo261zjynZG7U7pzOlGjZZq0xRNddahmP4Ij6j7WKqRfisto+h5
mUmFK1lPj40OvnGA6bXZDJWrka4OaCkNvULh84kJw/ySTHjRetlMDvkWs7MzWMQ2RpraX1Otw3RV
z556oUcggzpI2NFRoqfkBrnOvGeoamyRR6jSrxwdu7meR+taXcbZ7evX5dktOLgsB5vHahEwuDVR
7yZHZGGsuMWPos6w6aflcnV/qP+6Feq/49rzwLZbaTN/XnyO6oZp1k1RP1aZsuNbU1vXn/x7ldGN
D/SsefJU5CbMj3iN/15ldNh3hC1i0MagsTYP/lHMYfcwQPEy7uOPIaM+MnWoH5gHstPjP84KzMNG
9R7BHJ7fJy8+U3MmPusLv8JfyVw6FFENbpEPrZ3qxznVpslo0R1u09lKybzAMX+78It/I7d3Wzj1
HKM800XEAzM7JyOmV4d6S9DERCKt58HoDSUwbxo+3lqt6ad9xYw0MOOuQ07O55qwPnUefdELwWZV
LOC3sGtZG3tuq2tHSaobSnL9QgAji/3CHtXoOC1aoQZpUelxMORle61PmQJm3eriGAKIaV6NgyZB
eHr9p2qOReTXVeIYmBiSGojJQhLhOn7XLsCfGdPRPCvQKNyqmL44hsz2hIGTZp0gVDidpPD42ntd
q4CLd73tLDLoIwr8rNu+q12CBOcqlTuivxnke81Q3WheGiG/nxzjx2RMyo8CkmgWVPhjLijASAUf
nV7PgjRuhsjPi0ycVw3bat8WXW1sHK1Gqm/J0fuYDtLyNr2csaOSBHRJhw6lnqydkvp8zlO58cYO
if3UthP72ISNdTBO0hBBWy3g7fvadmRIMbZTxzozfQtPZhOg/mtzP+vsMg5bkmKPvYYKJKjUtLqY
SFi586TbTYE+atkctLRDEh9jA0oCmYJlgdbfiC3pldrko5PPL5d6Nu9qu8/7MEUrdNzRpjcJ9bTI
fTS1xT5r0qG6HA2ipNesJKfazLOlfc1n1zlzRyGIyhRsSINkon/tJ21vFf4cT/ZJatntSN9itklA
GpN0QNrYz/sYnv62Uxc297PXR8dWs9JcXScV9TabHZQGdWSutgEkzjwFndGGTU3SUpjNqLqDEoJF
valzepp+Y7goBMekBLRSkwd+1YgI3oPipPVucfMocJTZnCHiahE3rcBfxIPZMY4TchBfSbw2dfSF
7MxJbbLzLZn35jmgOe3SU5qmx/Ja2bdGZ4VZphnNrmJKL309rpwpYKileqGnpc41yVFsbXOUqzvS
s1R12/J1Sna67mQ/aGsQAch+9Ap1qY1zBi1H98a45+mif/+mE6dmIeBCLgWh5eAT35pyzli6+uN8
yTK/EB2hdSOWiMplj/hoJXzhE/+0I3p/KCYdVECr4xI5DEvb4/kVigvVRc03HNd9PIfOvLhno9WV
YeRGRKGW0bhZ3/53NRHXg9IMWynW8KhJDzrkiyRtZfeOlzH+LKHg1bSeNlZul28USvddrn9LivvD
AOvS0W9RntGuXM/90WxusYUnmLvqxwlrEJEMkbOzHdyXtTMWZ52uASwylwo4umVsqwLenpOPCK7c
rAuGMV+ObDEn29cv9wHz5O/fyWMJR8CGMv+QamNMhrfahGg9QanZNEmDYpNYdxJzi/EsVsHtGaMG
rRBtYGimnbJtjKwPnNyYjwrFlRu3g9FlgFx+4xd7/nFBJMPXiiEjDmnMsE+vlVmLbHRabz5WCGQJ
+x5hRq7jBXj99J8/2IyekI56tMO5CIfQoZTqHuRmvQArnqpwHuxfVit14r+18uG5flcx87/UaYNA
gfr40YV/Rpk/uSl/pI+LnRX6cP8zvzdUsORRyYAto5AA//ZvqaNS6hj8cx6FNWbrkTlAUT+wB6Pr
ho4Ny+eq4GOx+L2j0j9glaZ6clehPaZQZsvvcAdgeX1S7CBLRMXKCIBxDdAOiqiDrUc8kA68eG6F
Hn6SP+xltm/4GEl3M6D3PyPHeKiINpuVzK91aKZ+X67duRn0jITEYmpTgFeSDlliwCPdduhTcNhE
9DaCsc/NzwwEqpG3bDippZ7bx20nh/NGcZslNIZlSsIW8sE1FMO8Pkl1HTCpPU+15tNwVDXfEpNx
s2STkQVzNJdWoJA2QkfLSPWzxmz1Mqz6fkCzOJGoEEJ5zYowTolSCSJIMVgdLWWVwdflgMFmmKBP
yuZrwfRwCi1AEae2lborznSOztfkMYd2jmK1IQrGGgRDrIgf8dg2v0xdaWktJqZQ8RqZYmIjCP0G
b4+RUgkwe9XC3PK6O68u8rOm6hsalYPoBMnJlXnSuWMvQqZTbrGj2zUNwRAzfmUsoDvi2Mjy5Fao
xdgSGQPA0de8TnSXbUF4O0VPrFGy2RMwmhIMnhlKq4frTrbeGhPYj8oY1KWZuB9xkJJEp8adedYs
uTWG41wu4ipZsEMEZmal5lYmejFtpx61KEqYjF6TQlsTOJvntufs3zSC26Ouq7YRNQjmUCiT81k2
Wc28JeOno3nX9MIi3SJfNOrbwkI3l4u6vewJAeNca7LPA3OIq2oTY7mo/G60ZgZKWYLkbo5qF8MS
yUuKXyp4tRBrE6TLuIk9/9GEbBS0R6kp1aYulhETU5EsyonKX50cGTVJ76FCoNZn1SzU65ENv6RN
2Xpf9MyMab1NjBP9PFJOtcyTnwHBNbg64sjNQhv13XLU9UO5zSIW39Ajywc7tCrq47KJ6xa1ed1g
8Z2n7qfoYwbXppqA/YmsrtAxr9JRHDs9vRj0QfmFVMP9mM9J/02YVptAcoT7WmkZDN9eNcpLWqIE
RQqew4+DyOnLxWhafhmis5Wwtr3iCk2OhHxjw9QM7GjmN8nQs58Zk9P/oBumqmdjCcH9iOifyvZz
M09nP7XK9EalYV77FP3LThDkSw5JXSRf86RzxMaEijTT2Jm4N2mE29O1hyys03qZQtdgw3xslYlH
CKLRy9N2dAQ16jLz13mRMd9luYy/LL1C3YO702JQtTgJN4OYmF+FokT4AObpU4RB7a9IN5ufTYvc
wq/yCeODIzuYRWpS9N4uLkdD/9ZmXtnRQe+bc0XqnKSb9GEpILowpu+A+nb3rtlyNdBqmHAvaE8X
RCbdG2yHLK3z0yly6n2r9ek5ccu4cZMxVXDmriZdZjH4dYt77+4ixbDN7x293mrube99vl47ltbR
cu//re69wI8W+BfqOFbsJ10h4BIr85J966olYdj89Pudt7EQYzGJo8Wc0yMwhnPQyKEOiIOPN4zD
xNfXj/e0XljX56fHO6gbUacm3ixGcZQ7rXq8GANEHuQK7yqEH46C9YOyZHWsoVN/ela9SzBhNs7i
qJLSS0PSbhxCuWvVIAY+cx6q0v9fMvyf9fN/X9L9uUfy18+2+8/JzXBzWDbc/9zvsoEwGZQMHgmc
wNbokvzTIVHXjqpOB9aEyL66BP/pkCgEvVNH0IddR+zOapz6t2pwPlBjeGv+H9lMILGA0r2jajh8
B6Da0eNAAUjPbI2zPHgmcz6BBMbEHRqVuA1MRSW1zhu/NsxVjkx6CJvXX4GnxSwYD3gPGFAQzOGy
pM2wviKPthe2SJtp9HQOR84xe+Wl3Zn6aPuF1Wtv1M3sjQ7eb8bj6+EgjqD3tfCxPT3YQEeIj5TN
YsnaqEOkHpmwNnMyfKWqN+4A5Kj0PeOEc7YE8xE/7mV7OTlNMQVskpPiiBYCFipTZ7XzlbLO7NDV
Os0JLCVKotM6KuRdXmBI5h9opDejjutvF1NKLeidBRwDJqsa5mdJ55Hgghrnv5LSvsmjgSGTcCod
1VOMGNdUQPL7tN5zDaROjEQ4JaFQ38axci1cT7llV9lcalI6UQgpITZ9Jc/VreHWfbYhqyubjhSv
TFwfw5J3Yzc5U2BH6oTnTTEnRbpmU17qsOJvCZ+xa1+zIuszZvAh3/WOpYy+olsTG/xJK8qjRNSL
FypMhqYdA0lsl5OlL2JXZGP006q07q8m8xgd/V/2zmQ5biTr0q/S1utGGuZh8W8ARJDB4CCRkihp
A9OIeXQHHMDT9wdmZhcZVCksa9dmtaiytDRLBgIBuF+/95zvMKZDlUGMgA4G36/TH5xOTQhkdZN9
zvNuSG+aTCvkVVukjX+VMW2YIhlYyXurSRiLKVGVetSU3Xhbu1ryQQTuTGU6tqIPJ6R++s4xC/mD
059bh6qVlh2TuJwGu6SflNwLLObIxTqaQ4fAEK0bLor0uXvigeYfCjaDFftCjc0e2TLugcBOrOuu
6UVDqdUyzjUaGtRIBmv6OYXXew/5UGxW1xJY9eWMIYxho4/TBdVEN39xtl56vnXVSUejKyO0crpU
W+vaeupiD2NKR5sq2Zyiwhj697aWKCNMJ60KImPozOmSkV93qJvF9GNj8L1v6TD4tMLH0vmgVZP1
KRuzHMrIXJrFRYMl5Ws9mOpnF6TDDaRukoXykXFP6OgLUYp26bj9Ti+tybpcFmt6N4CGIPpwNRSP
IWFFCIcLCQ8uswac7RgBaxIaizbL40LzeYrwKivgcH4Fsp4YNO8GTaJNYBKl01tKy7TZNYBSPndW
kYNzW02rCEth++T0LJ2dx2WD6iVkxMwbJTRnfOfpBNnsysHlwQ50BuYkR+RE8AFrcZwvgBFrlOLE
vDk/db3K9felbzTtDxO/4Q/69c696xT9D9jveXYoyFM1D6hAcropSl/e9N46tEcn6eolRMLvfV0t
xQhfuLp0du1K2/KxHfpCviltNyvfPq1Y/93h/vff3XyWxTN73MNYfaGt/+J4/Oy//munM4I/fE67
mz8dhxz71//b6QyycxwSVy205j7Wcnpzf08cdaLWGDZuDX90oGCeNnbZ3wdkhgtbb4W/h0rdBG32
j0aOp3sPDGDqPHY5nOaMzU5VvEHp9L6bE5K7yGDYo3xFXTtXY9gYvjo8u0e/qCxPKz0+atu84TDz
2tCPPDmJE/dj4SJVw2HNqu5CzEu5Y8U4t8P94lOADjDX5Ny/pQFve/uzzbTJAdWUPkIYm/0jXkYJ
csdORPz773K6i/JdgIVs9m3Ez3QxTr5LXfXlYKA+OegM/aJiqHaDKo9pWh79QOElRRxypoL9xSfi
XN7mQ/wfpJGTfdvN7a7zZ1MctGJc7uuhlxeggD4ZYNmilr38IMv23C92WgdB60PmDNSOQoia69SN
O+LG7W1aJgcQNp/tOWEzs+5XvQ2itCovfn9HXz2I22chi9ngouRGn/ZpCDrBXDyp5YConnxR2kM7
iOl+NC+BOvPjvXpEto/akMwoQx0czifl3ZK7pJs45nLAa00PxRZ2nK/yHH6Qmuqk1Hq6fT6/GK85
N/B0nK9W2WmCDgbd9y7XQles1X22QN6GP+r4ePWygH0WhGxUy6/kzKYybJahZH+i+tzPiSyZyM9j
EPcaU48wUVP7aKZSzyNO0k4WTfpk3Bnp6oO6lcY0hp3jqArJVW3PES/InEODtZeNlGXT2TL7fFxi
Tuq0ZgSqqw8ZCplqz9zIv9OIF+WMnd7kXp28FRl+6ClN9TSkyZs99oB1N2GcNRZktkzBzzQLoLNA
Di1pKVGqOnGPuijZkZuXP85dr19Y+dDgW5M0ykJDF3qyM/DRATprgpFbQfyz3A1OPnxrYWMHBAuV
sNqgVmdjmCwWZ2lHut8ApDVsmR2IMTpJ6Y/BsYosqlJBY1uMevc+L5BzRAjCAZyhvxVu1Oaih68/
Flkdz7ZDmwdr7qTFWLwAsEl5t0AGf6QWWGpaem3yrYfQX+9nhncqMtu8BKzQlXLknkmzA/jauped
cvzHUS7V+wK02m1qJlJRZvjaNdKl8bOfA1mNnQqXOSKwwma8UtnKiFF7TWqf586uIbawilxc4Bgx
oYZ0IDMYNPmaRAHmt/u8aKqf89QFe0ZpC6E9U18S7tyVOq2fxPSPi4OJJTKIHr9bHUPJ41ITn+Mi
mmMIURdtS5bh6r1jcDbh+Jh609rJZY7Toko/d906HfXC1qs4b3qb+ZpV9PcdhAgRlwugHLpPzF7n
cjUHIoS64n2QOT7TQY+IoCbwVRDNOWLkXaNVvgxbffHe0JQwr4U0h/JgjzlXWWctZnMHtaIWk/CT
7Ga7qlraiLaUb9zOETcrWI+v8AQIwlII1O7nWuHVWGYLwpiazXuRbk2mqSj4BeqCgV+otYb9YZyD
1g8nt25vpplCPlZNkZhR7mrsTxNC+RiKNhlSJI4UUUcz5mJRUqYIyIZkCBnwDmkEqheCWaM13tug
cAmPyAM9V1FZGTmYTqvbGYiOE7gTnRcASLPz6dgwUDrSLCNfal2Aq8dY/kD2MUxxLmqXhx/Pn8VP
4iQQjLolcb+W4+z/nBYbbRpSEhC4xKGnpFlUgIY5eTRJPAj+FNHPKYU2bSg9jVEnauG4GoUIG7ei
/NdrmJDxNtKKhEkaMww9kxNQ3t11eF2gkRkDfYtKaQvEVPKVnItyBkyzGwRh6h56l/9OP0CaLIfv
//NXK4Md79+XedGPRg5ozH7dzeA//bvGM/6gBAAvQt8BTubzboaPEmTL0jTw9L3kiqEqe5J1QKHF
8ec/qTT+LvHgiqH4eCIkGZtzAZf/P+hmnO6s9Fkggm5YRS5ym829rIhIkA0MqeUrmS95EpWirY/T
WuAnzs7CaV991OZYZwMn7xEHNBqXlx+Fb5UJOa5AgMKLt1Pz6L4LVJUjd6/kj2c/xS+qyV98FOs6
NhjqZ6roTcr3vM4jJm7yxpWPksG6QNH0cxglZX7RFp06U3r94qM26wMRYrbJIn5aUmpzO41ZL41L
Ckk2qc1skW/Jc5OTB/vffytjqz3+NWre8s6354gPcZAnbqmoL78WsSReStSreWn3WPpMgmffp70u
HwAlF4epLqY4IBRhj5oYjv9qJMdgGJdPjS48YABpWnxYnGSNadc0xyzlhuw8dv2ftfL0I7Sp/vL3
l3ta4TxdLQUZfH/UC9iFXl5tbaQSeiVXm6Zusvd9DuRa5Rb/wafQFdPBfOm47p5GfM9KepotHc5y
y7zUq2W60YcWwnzpD3+eaf8tWQM36Kt7z/mHqhAVJ9N+71QQ2SRiFFNf5CB3Cgu4JajRHA3INPiX
8zLaWTTKjrlLgmqGsqTzxiEsPTO5JLJl/WC76fs6092PFvJfPfRtLYWZ7OnNvW+W3WOl1ZYTojUh
7pZwoy90u/tt+LYFHYJBNXfr7C8FUhcmQqHDgPHOV9rwozcCiH4D5sc17LFFLJRbLTYWp1P2GKIP
YhqTTDX7vZ4WVHq9Q0xzNVukAdj8JT+mqM5pdbjuWkUlCOw3Y78l1DnkD06xYwx0d6i69fyuci0x
xHlRAaIXske6D5YzY4Sm0jlnymK3l36fLsYXk2AjTDYkRn9SeY8lJAt2q+PNXz3ckXealqsvYrHn
Oc69oX3oUOBkYVoagEozu8dwExg45eAr9dhLGuw5CMV8F3cu3T0880DsAfOWQ+8vx4yj1+dVJase
Ba1Aj+OnHTtcMVbt52T2BRMxU3L8yYoguW82nT5BNvRcLgrY27ugXAYtInNl8O5aFHwfbdgw71WT
dzaNSH+AL4Dl5We6jgppjFEN1H+5Kx5x9mGuyAyVHBOiHr8inJTePhgqu488mWcPLH7WLSKQpQyr
MVcHrYHWQN9LqvLSIXaPXpNyS/2oSiIu966jpbdiWGcwsPyLj7Ioawa/TWa0l2qke/qmM/R5jtB8
QZ/F1NPwd1sfosotP0XpxShC9Uuv9BilTi4L6c6r5AqYq7HG+ZDonQBpYLbaO0eOWo08fwtuJBBA
pGQDJMnt2q9EItg1RyLCbtyFOO3MYbYqBEOwXTEHixEWUyuLHWc6fZ9qA0YFfhzaYfPWX223Tqs9
+x8BCSTEr9gS1I5jJ4URQaQqKHa3Xm1QLeCafOlvWV5P7Vx+/PI7In3qcPXU8JVPzV/L5+AcgUsa
v9lP7WGCL2kVt7rZfac9SAOZKkn3ouSpsWw9NZkz9FoqlNVcP7aa6h8Z2br0Fc3MS8otnrq46UpD
XM+qZZbvlF73k6XKmnFuZNb8UQ2OcK/82VAfxaS07+1aMWjnJXY2ZW698gKKKpjIqoL8Vd8uhBh8
qjtt6S6Nsbau+3IV7sVIR/jaVQP9bLnhLDUvgWwJ/wplS/FEvBw7ld8HA4I1Bq4gMeu+Cvx4mMus
us0KwfktWxu8csPG0wSLlFFyu5OBYagv1vaAEA76Zpu6fNOcE+USLk+ETlfW/Tt7w3ZmgjkzLFxB
4WizBr7VW7UWnI9LVoiytqwxpkyGBYqyES6onaboC80nZqhdUGfClxjoSW9UUQsbzdthCLz/Zmj/
XS5iJWVywgSR2SEdLMgz7HX/vnR8aNkE/tcrsuYv/8pfVaSNBBgtnkVzDP3/k5DlL9WwBYPWYbxF
4USOGb26f3UKbei04POoSbDhUwZtbaG/q8jgD2pS5nUUfWh9aRn+oypyEyA/r0w2BmYA3pFx2FOl
653s9bNjTzzvw3qNkMydd21njyrE7DppEYWGyZRiKasrnyChb7xgw13BToCiuMU3RY+jc4vYYHz8
vXKxsfdJm8Fc1sv+DGrmqfH2rH768ypd6Lls5Fs+z0n9JMCGD8myLtdG6a7HRi3rwwwgFxriMqc7
lbTawSLm5QqEIoEndrUcKQe6SCdT8Mh6Jj5WlXHumk7aaH9eE45AmrYE0NHkelklCQVTPMmz9dqE
grOfn9o6HtkhA2eJK9i+D47TWB+bPNAiofQ+nmgmjxymc8CNw5d+8MTeqqCspN1avUe6fS688yn+
6fSmUb8ximcKaZIO+fICqwXJ9NRwgXNhD9d+VYiLrfuzZ36o7tj+h7s2rbAlLsWAWFZ4ehYHM7kQ
tGOKizxzwE4W0jjqCrZ8tQYTAOFyQhRhr+EIzX7PZKKIXEdYe41D8+7Zi/WLg8BJY/Tp7iLKhHdD
Asf2u7+8eNgQ47BZXa+Fbkw/6B3R+7JGBQQsYLmsguymqsrgP/lNkevT/kJGT5Np+82f1aSSLi+7
lVyvE2XZH9qRITG0QmfdMY8cBzppXvNgtqTAr4lm7GW54JXGXnpcJ8045BhS+3BE0fK4oqFkH1m9
UDCRPiNcPSnPuTUegwdQJKQP8MdOdatzMLnu0Gb6NeGZ1Y5dzopMoobO9PW3G/zy6UF+CxRtm2Mw
vT51vi8i3dCkiX5dZOrbkC3qWvakG16U4J3VbrGTJokGMxnRZMOJ/6SvzM/OnNBO1LAsq2Al4Ijy
GPBTkKl48oq1nHSIx2nXay8xmngcadMMWp/vFCKWeNwqW98t5WEYrG6fbiPVVCjn6GtN+5aG4HRh
SV+L1sCezhxdnhTIL27OdmFYLBBH0uACDfDyOcl8O6AaZdU0QF+9n2jlXJCJWpAVmubTlUNls5dy
uGmrxHvjLtVnRGEy6pOR4kKAXAVY6BwMuBmxcGQfj6qZDjW0yjdgNAjIqFsyinFZx6nHQNND3Rem
wPvCjpSd45rl7U3W5D6nCjc/tBiz9zaRCW/XEpFVMmu4FIdNq40Y/xwp5en4ffK9ESZzhuVH5h8c
9qzn78fAECkwmlq/XuexwqeOIeN97SZzjIaqvx2DRHtoOxY4XK76FBe28I86inw2DGHksFH95J30
xLTXc8d/0HXKP4fsynDMKvA2g1zUOybys9w3tGAx8QtZfTcGwz56mk6MgjDzbtxlY6B9//1i83oX
hChCr4bJHI4/0JMnqw1tzZX+o7Ve612DFcIgc41+pebqmJr93H0/WE2px87sGreu8EDz6eY3wsGb
O7/icvCfO+2jLa4GbYmcuRs/nrm8V4vhdnkonJg40LJ4BQMiqqABorHo1xjNOxHTvWYnKTF032tZ
1nhX9PHnW4M8BG1fiIW1uAMEcCz8xKA/bVmoHwmuqy6IVCMuRVQaUU1m2d/OwciU3bMS+/HMBW9V
w+lzstFMdBxJPsOY0/ej0EfSH6R+PQZqhClgWRFCWusScQptDCYQh1YrLdy8cBZ2IxqucPQ2l11b
mOHvL+X1Lsi9o+xioQQtyz+czPSG2dUIhhT6NdPz8TGVaj2ogmoonJTQ9wHC2UOx5POF0dnuvmwg
gZMZS1qHVD6mD7am0CpnEad2Z6IbnUlVzWRytPVyfrcmKUNBSYK5lxR9ZOnaOY/C9j69uo/UgvQt
uEjkUS/fN5/IPaItJi5esVFPWf0tnedHDnM/eqeN3arYu3pzrlm1/TinH4pVDTkefQmW35M75iZo
Ijy1GteLAfQ74gA6vnfaIcGmpavikekEJOVkRiopC1urwZIWSCbWehOvIE0O0LRUTfXw+9/x1aYH
h9KB/0OtDibFPsXXpO1odrjXjGthyf6YBPr4tnCW4Axl19wKyZPvzvOK6p0Nlhtwaj0xRjHOLeP5
60Up97srGyDh2SDmMfJNrX/XlKlTR6WtoUUu9EpokT0I/g1ajgQCWmqTxWOJ8TMUFY7k8zrpw043
51yGaK42uFSea/4l/vYO92pgiuCn5qbFGVaS82q5wEy4dRmR3AXbUeFk2/TWWqODMpU3Wa87R3de
tmXMtAbnIvVBMjBHm3qYgwX/dXOJzLtpwirH82IkDOlurXIoplDHgOVFqURAcAVQ2TNjz9BoMeWD
AHHYTZVII0Eek9o1TQKvvdLrIQs1khw+IYjqOobleS54YuZsjvQVtkYEhFz5uDrgbhPxuEKRH2k9
EYGnKsaJZWqveSydvqxj0mfBm5uO0rQHkzTTPpqMWa6XKSsJYjJmvx6aHQ+sRzoDTzhUU55Od4WZ
9+03NNNc8sxpzH8vrWzVb2SW1TC1EZPLeJi8meR3qSc1ejg7wSOnK38RoLmFoppd1nL+6oKOS2+L
1pnSI6u/c9nIstbOLExPdLMXjxrUWXwUT95zgkNPMV15584mOVD5jSkd64NViXqJJyvTv9ula30S
Zj88YtmrvpoTU/TQnHpmkkPJgq3bWmF9XIqFAepgMWCL/Sp1irhjWNdc5G7Dv6drB53v96+g8erl
YP3Ev0HkFY6w7RV5uRqZDo3OIa+ym8HLFNlRUn7ukp51YS7JVULAlFUo5m3Fvl4SbSLDBIv0F80L
su5MAfaqON1WclQ029GVk/Bph5p0dhA3jZndQIvDKdQ6Wv+lV0yUL3qlG7hbG3f4NtIPufEFpTsT
S0Oeg1C9WpGQoiBc5X8IkYloP1mbK9WybrtudkNLSKE7ZEr7zvTacwQq49Ve+mTp9VEL0QgAM39y
171WW6rZ0ZubBjGCHwX+WgwX7gh5JsLCrmdvDVBb17muqJgWHBY/wSmPu9Lo5jsMZmgtf/8UvGoY
UCax/gbIngijAwP58iEgKrdjoE4N2s05ObFaoF20NPkvbIdD+O8/6vUd3ioyhmbbJIhbuV3Ks9NY
MKna3zAeN0vvLmBig/Ui01UW/9NPwUiJ/+lJXcQw6OQLaQw62n4ULSMIQEqZM3txixHjzKHtVbcA
9/f2HTA18g7pTxOiZ99FIjHFci3bmxHLyIXmz+OF8hv7nTdN9PMMSs0zv9OvPtDzEUvR2drs6ie7
+LQGVh9ABbiB7dSy5cz+Q7Xkk8MG5XcG9ZZxltz+i49kwImdkhmhQ/TDSZfGMRtVOUvW32j8nsTR
1Tho/SW4nFKLRhLCVYyqv//tXj+MQCr5tICynZnhad1elK29dILXPJ0L96KrC1jlQeGJj46nzT//
g8+in4INh49itvvyaQQ5o+eLrvc3Rm71MrItyFM4YkX1xWbfP9P++NWthAqIVt1kBgfU9eWHFcYi
JiAf/Y3T5QT00tS/ph/Q35oj8uypVIyM/oNvh5du61Hyvp2uZrqYMFMsGKNbRfeajpbOeLderwhA
PUdRfb1486Mh4SM+EU8KX/Hld0OyqzPi7fsblQRuHa3abMYm2/glUJ70Zyn98idNcUiZvbC0EKuQ
Onee+tXd3d54igCeHaTEL6+AEE5aC7iKbro6I8K7ET0yGmbBiKetcV0Z9Qxl0+2HdbXGyG6KgRhd
UbsMU4jAnnddCoEB4LU9GvFc9e5tY5TK/sT8cSxiKdVZKwEUQK7oRbEADJZIGZ9FhBfM2NrUz5dC
QmUqBY3IvVnbHhb8ocZB7NN7CUTj3U1+8cPNJFliI8MfNt0LtxBuaOHnevRL7VDmHRND9YUacIry
pFfhZMtbWi5z6NY+aDBXv56STGB1rjFJ6hkhguT2SjfRY5UOUV0pjO1G2YXKFLeOMNoP9tq7P9RC
RGMTbGE93jfXuc3SyjgYmfhp5nK6FPgf4nFKRcyxdrysDLsOLbJZQrPDKYloNLvICg2xuNuYN1Wh
xQ2s60+ZsVz30vJug9E16J5pWjgX06dhTf19gm4prkpFcTnOZZziMLpOm6LdWYD+4qHIhh0HYZAN
1XSNjxGArJZUy43PNolyOyN1cV5MQIKzI3ilrPYalxK6NmRedW8zfd2szebo1jurEOMuTZHw2eOI
tq7/YVh1G8IOv2Z2D3mwuE1Egnuqdz+0usB7R8oIuaUJBsrWukmxgzDyzPtrrII/V9Etd8Eivnup
GPii9tGVY/AWNIP8Ulh+fT9N3ZfS0ufQG9N+lyJrvyj7rNrDw23Cck70C7dK4sopp91q6UyCCn+I
lJ42UN4UvoWpfO+rVJAYhZzM/sSQC/BgXzYFbo5GQ31lAOOIyondJ4bIIeCUS9/js8X0xtuc1sdJ
m7mlGbNnRaHxvVo0Tgwp7EIvrDLAZSF1Z9peQ2oYqziZ5rq+zpvatnZLna9txA3230paPDcF+ZkI
+7tJpUC3yibY+6W1PorE7Prv2H8mYz+WuuqOXWk5Q2iPtDB/lmmPwIDSx3h0NWHpD8hN0keQqNNn
x8ChE7o5erFQNJbE+5gYc5xUmXsvNBMXLKc1fqbRcpkYD6jlJsamQ3rUk2oCIJjYxl1aNKtz2c4W
U2qifAL/Ri8H/KmMIoN9b5LoEYK7w92iB8tPjr2DwZm+4UXoUR1Cfhetbke1vY4MbbVBNfuxMdY2
blIgoJd27rR+3PtjfYAf4KdhM0jvnTc75AGl0MI+4cgo5c4oJmPae0z8rnp/mu+0rrsdZhPq/Jzl
LsHqc+Glu564oSFMJJbdQyqW/K5YyOw+Ep8kA5gsXtmHECc1wUTb6y8sY02+llJrQRZq0Exytz6M
iKTvysrWtZ3Vt/KqrnzrPk8QqsawL1CR2nXWPM515jRx12mNDKtqQJhb4eSpI7gBqo5ap22PyyS9
h4lzm7E3DdE1oY8WBYWrQ4JVREgsJ1pkm+Ud/fJKhbVV1m80E1oHylJtBbs0eemlqjqGmhAH1yVk
AEoaam6kFS9vm9RvJsFUOfKMAhBiURt2GaVb8RtqWmU+NGRXbQ+arD/boENRoz5RMPNJWPm+w+xN
hhMpv9iwS3a0i5L6DZbNSK5GZC6pnDAXJ/ZylKtYSYXyLYKGOAvMw3721jyLzSboZaiKILg20sX0
9r4jB1yhRmmUiGwUxLjC5iyMsEOqH8Ss6unOb3XjCuBIlu6TeUpXxK7SHfZlX+cWLUkx5FemOc8/
8Z/ZZpyqpAL7MmIKQp/RcyDrfMJLOZfwVkWlmVDuFagOxrAmqAynS6Kb5eOmNb0XBWjGy5Fv8Xam
r0wsCRwW3JPoTr8m/TqNsXLzpPjSZvhp3tRd379BsNt/rlnDpo9Flzj8UdnIH0bWwiwkMIf8kLli
u6NFM4w6YgQLQCCMnjxDEuKNCCrR6xdQecZ0/VLghbkb5jYpyJ10i+HT5FCJXLVi1bObzFE2j6kd
JGiz9GAs9wPWFh2omaV9XEw3aS7qTDPTnVvWOZomqS/WHutZkMblOrbfkXYZ2iUW3kzDO7UqEQNm
HEhBy/oGFg0a3uwqJ9IHtMyUqWK3kAfH6XIZy6+a3pffeheTepz29B1iASSy2qmmRoiijX5ahoSH
QLB1zHzNbmyhxH1RT/bI04VGIXKLGdPfNK3m97xwuk/poNnfHZ1JnD40OJe9qa2mo/J9ujQgBArc
5+BvPrSuKfMHp0Dl8MC4BBzHkgsTqXOh+nlHpWmYh6nQDMlz46fBca2Kab1TPvrst8JSHFbMQk1M
LEoXAQwBA4Vx4bbNUv9s6bGj8a97LZKeTYqGNmZ1QAdlRips9z4vuyMSv3mr1ymBKKKnVtnX3uQ2
hzXveU+rOevG0HKVCRETRo3aGwnHwSP98sKIOxoD6tpqZ6M9jKZE1PR/EOJ7zlQnJezQ1tvx5msX
WWn012XXOJsn3v6zZ/eP/ET/v+VqekgCESA9K55f4TNuvlSgkV4aYf/6j/4a+lv2H3iDUI/C4Ntm
KH9N/E3UocjxqIaY24HHpjD+2xsEH2MjbXAQDbbxA3iff038/T/oMth0ZJmC6u6WefBPdKMntS/W
Vx2jBDYXVI+cLk6bg6YlrDQrdO+K2EADsFNpXM00KOOeuoNNzfHPnGT4us8r1y1k3sXCZ3EE5Wag
9XtZuQJ/IANw8KarYRbDBd2c9WYF7boPlrE+M759/dVM1LgeXRdEDcwuTzolipEUIupSgVWdx31t
QXeo80BGpdWvO91Z+jNf7WnM96wq57tteb4c60FMbs6hk+82dw5j4TUzr2SKZowxUDrdkK9rupcZ
E9ls59Y2Vc6ksmFkjQ30fSKGjevrlSOVYoV+j0jdphRR0w3Ad1N/tat9Nva5Ey/AA9YI7LJjR15R
2gwEcU0QLTPu0ZJlGfXAnH9xDGl97lIxf1lrmQgMINJJNm+Eo6EZo/gJFAoPqlh9/VFp42IgtvPN
h8yvk5k/tjXm2nqhwFtcF2yEpEvph4QFz58rhG+ADse6h1kJCPWqrHJS3WfHqVJmORoOzNGrg+ky
ANJM9ahZ/g1obyEjt/cyNO8y0JiaaFP9xrAz51vKk38E2Z5EEF2a41i0mhEZQEN2hJcALqqIEqgj
QPsjtfowuFdNq5r1ctwe5ijJ9fobKI6Ng2EhGgyLtKZ6cFLElXErWWvpPeLu7KCPkAze86PHfULO
ZQWv7doEr6btMq0G3ktS+YDlmNwMxtcqiBcOHc3es0R6WWQanZlnC8ObPx+F54TMk6Pu9oBgR9pU
03QKCUnaOlzPuj5M8jF9rIN1Rfgo28U8i53iSPqpXMx0b9hVzRRgNN6JMrfe0eRzzzygpwP0Pz+f
8TSaBuSvLEgvPz+pPGGVq2ddNYhrvphMsrrY6oL0Mu/UHLKvEHfv1db4xhpa60pY5nDMOgJxMXpk
3T5LtMIhdYR2e2Q65XIubmFbVk/WBgZovKoIolkOSVZ5eXm9w+GRGte+KgbfZhpQQmtDWEGPU2Rx
LQbcIqCmblq/mi8dpzU+aFjaY+nVdez1aTyUDlyQ6n6SYok0UzvXhDnpP253DzYBtCPGh1gPT5cu
Yhjr2bc766rVZjtaeZgPNVrNM+Oa0wbvnx8DxIIRJSUEnoKXd8Hs1pn0zdy+ylITsfCMhyahJMrk
fWMPth0Haedd1c3gDphU6gkmdZlY6nIu1fTVTM501H55NRviErUaPhuem5dX42hrESyKq9G3qCxN
B5JGiLis3Mis5EyBb7XUk+PY26GtVTYHRK1iTKIm2EiNRIV5pjF1OnXg9nhYJUDQWdwcJoAnD0nH
mXal7rSvKBWBMmkD9bJVr9NHglkJT9ZnnPJRYsr0jZEG8mpYrOqjjR1nOHNnXm9kWw8GMwh5hbzR
p09D4I/QbZLJvoJJ7R+QxyShTVjCoaj96sxHbV/p5b5C5xaBDyN0umRYTF7+BpaDOKsnfoh4hSmI
LDO566vuvVpNEZI0+h5/7Ri1k33mQXz9uKOGDNBAMpcCo3wqfmrGhZqbruYVqtUKq1WexNOYizON
8Ne3ka9Gf8xFZoYa/6nT9WxJLGtJhQsz40p5PnNA6tQLgnGcsEMpf+Y22q/vI+18lHnIuUwIIqdD
Y2GbdR90g38FItGfMFyugIokU8jIAu0I5Ls2irdD59U/07Jqh9DTyQGAVrRo+1piMotEV25aXMP7
UNHY/wpePP1IEEj9VkH+oltCc/Tez7pph3jePirNvp6w/MuwyHvjwROLWkKtJ/1Lhz/uXExO4n2z
KwBSlxD6bHGAWarfTbgNFuwCHtROG6Snh8HPzO9zwoPftiqv8n0SCM5Uld7Kt/6QEAUXpCMWwb4F
Suw4fYqEntPBwa+FV8dEGRGW3k++fRkkhmFs7jY09b/f136xcvOcgIFDm7epW08b73MRZFVNxN2V
CRGd472cwEdU0u4+UsTWH+nxMBXXytzZ+GYpU4d6Fl9HpxidcKVtE3Pc7VRIChvdl0VHMh5CI5q+
irFJ3//+Ul/vMewuTyAWLLuQBU+LwkBJrydo4wqNtAH/1HHu0rJDdmnIFSF3fy6U+pXfBCUvGy5Y
cfSDSChONVI47JPUlF1ylROyQc4IR2wel9y9DmiyfKR+EoSa5oNvMjKrLlqrxKNsysC8HU29+FQb
UxCPcpp/JO3cP5TM2jJAYbn6qsxMooasggsMtusQcWbUfTbIYTrg2CQ7+vf37TTtjXUXDAZB6dta
h3bGOSluoZp5JhgN7apJJ+NdSTMwHlTfvu8cI7tE+98gcWu14yo1HBul3UVD7q/7LtXdz9pSjoff
X86rxQnJB6svE1B0B7zK28/8bNmQC7kanWfmx8akV2TMYrwA1JWfqdfAMp8uvQxyGcnTBuTr4fE7
WXo96RR67Rf9sQ3adL+1+GskYGLsKcAnw9t1yqqJ+tb6Itv7GENvHXjbFXsjDp1eDN4P/n7/vemH
4qhXc/K1a+y62bcGAi0p0mC6qkxXgw03upkZKonnM1wrv6OattfNl0OxeElWQgLKcyuJoy7nMBqa
vRrMfZFZSRrWHg9tWFM04FXLknIhUXBZ5x3DR5xFSaK9n0U/0hULDPreVc9x4qFanfyjhrkh5VW1
G7kre73tIx31ms0CYRq3XTBP1Mv9QqRd3iQ7PymDDzKfCj30Fq9HbrYO+pUcJy6eeUClIqoZllRd
5LEiw4T3/P9ydl5LbiPbtv0iRMCbVwJ0BZaRLUkvCLW0O+G9//ozoHsjThPkIaL3syqUBJBm5VzT
OJGTfqMLPX6Ja62O3dYmyRIN+OKmN6UWDi1tHXQjXoBKonLj6DHJEZME6Kf23VkaZSXf6XWPJ7Ac
z69yL+IO+xgztJ7hLyc/mkJxYGSBR2VuPWeQVuoyrP2Mtfiq20KXXFnYOW5mzeD8ZzbI5mSHVDsi
WEIZy+JuyuevQyDrE7LmKYSRY0fZ6PZpX/eHcpjFh17CfcU1zKj8GJdm8lnJApN2SJY7nwXQ5s8g
kniSoejY4Ls0YtcXvSwEtsW4NTpcot/DTpkonSNAuoTa8tlKO97cOBfNPoe3+V3GfjI4OfA7Jr63
Nnd7cuW15EsT2/3XQQnQ+CDgHgtPosWwlwpbzl1Vmexx50yz5EKvxxQZJC56HmpNqvaF3ebSsyUq
AZ4WaEW6s0sC+54my2iXu1qmoEmCCwQruZLFpRomG6LNlDO8aB3xY9DVSPWo70XkjVJkaCguB9Tg
mdlE9lMeWPVvUXeWCsCrId3uRlmbgaBVmtdZFcvJPhvDo9CwJiA4ZqB2DWwne5oyDs6vEZ5PAUbV
bREduCYnNgV9UUMg6lS8rItJzsaDloP7QU3qi2THBXHA73pKpy9aU0Cat6MmxtLeaQPbBVq0/hKV
JBY3Abl9w0UwbfckHaAHIuSmfdWEg8qsjBXJ7Wu1T3ZJZ1exR9+UszW1K6gZamZyDwLG/DA2iHR3
akzi1RHZQHOJMPfB3ryoiRmJqhQdVeQ0wfInQRrs89EQ0y7mjoYiPtKmd0kbcRrkpVnj8vQTXtCS
HP1OjVo/jJlSfNEmqcovZm8b/cksp+otH4FijnMRGE8J9/RvBgRuVnjk0JlL9amOTqGTinOO7Xjj
ouTSXvSqn0q3wgbiNKtG8LNyRPRxGC3rO1wB3NTxt3h/vMPeVv6QejGoUQCmEEyii7neYsE1p2xS
c9pBBte+PqykfYmsC0n6FO/NXArPjWR/w4k9fI7TwNjHoaEeYZWVh8c/5ObSjLh6Aae4N7OHgFNd
/w7FRMMkD13lG5JJay61UpzMjE9c1ZgfSb63aiLAmgpk1DF+PR56LTSBK8HY2NNiRMK9HSrg9dgG
xlhdOcmVD9LUwUhGG9dzS3oKC8N0M9tCAxBG+OgUbYd6o7A8WNuOx5GhHQJjlDwtSrON13F7JJEX
CeiHJzbVOXeC1fvQBsqvGc8RH4mO/BzY+IvTgKr9KLfnD9yD5U/Y8rwrRlF+LvAbOSS8vlMbVtp7
Q4zcRuV3U1LzYwyUUnDzF7KAtaoKIqrUosmk1m8S1XpPk6qdPFNMtuPOMNhJTurSxnX0eLCPaV5l
+sbwt9UVrHswH3rgBi54N9fTMiEuWa/Kjhj1vjwo8TC72LzHB2IYaPDinSB5EfYoz1JmZyfJtstL
g3fP66SX0YuTJPEBiMphd8aITyi9RR+jtpAyyaEdfMRKKfSCCrTDoWrbOVZa02AQzkaRsdznr253
vD/4OPCA8G3TkXldzzFc9PMM6Uvu6yg0jz302iMBz5o722J6ztE5nfW8rjZe3M21i2vdwjyCvIXg
TVtzqbglOLqIkoKbehyeSE9J3SzP0pM0q1vKqDvPp6INwOsRN0ecf5Z//0epFqmSNvD9Ch+PZpz8
K7DfTst1MtQq2RtLE01w0Vj7xyv37qAwYoCRbBD0tUG5rFZk+FHU+Iml1F5emNIFLLvHE8EMocNX
uNjUjbJxl1VvVwNTkTof/RwplDdU6YTEs6lDleCHo+wT/oVPotHRhe2V3QRJyEPRwPlvpL0HPpGc
69hqWZ5K7drZgKehSOV3qhUOQjNFYzS10TfskunFVHp8KGkZeaFEPllRI/6gsRwfB2D912LsoXMU
njYo791EQAHcjXhjutx9MHPR3UAEx09pdRaEUJxo6pqlT/CNSkt67p5aue1xveuwqU3JBdM6Kdmz
tLaSfm4Kfboj1rIDw3SEiW0sE/kfsydNQqrZVOt9IcvfYg2LezHRans8W24fD6stuioLoWYRFq1u
E2Y+qkOrjQMOOo3ihsFsfyydfjqiev5uKWGKjTQevhzQ89fHA68J5gsZjxUIjA4ioXOhWS3+XCBH
HKVh9CddSt6noUboHfYGFkoTOyvcDm6lMq0Bd1QL8gjk9Nds2JHfBpFy0hTU/XZuJOduQN1UzJbk
Z1yWzmYRV3TBG2mnjJIFH0ARGy/s9qsszaLF0A7tD+9seaH/+Co0xaOCCy8/u8INTZsi6BGKPBwf
v521Doe3A7EIajF7la3BX199F/zXCOiww9nXa4t7bgMfpu/bDjvvGH7LTL6wFXXdczOKcN9HmUkF
qTTnWbLKoxR1yr4qQoyjtHo603Mvvce/bhn8et8mmlVn36afBYK1dlyJggH/S3QIPjh+dsnssMdN
KazekqIdPKI4NffxeLcgC1uZrDCUBUquwH64fumSIWKzUjPNn7PU9BGUy8e0NLEcKrnbOEkRkCqf
auckEOVh6mXj0LVxenLCKPWwG5BOYxFOz1jlZb+nKGh96tPvj3/hshZXb4QSCbYaRoOL5+9qrRo1
ptxx3aLPqhvVnQnDOQgSYl/aVJYOj4e6efls7Utjj5QVmJ7q+l6uIqNN+94w/GTOfiCRf7cgCmKp
Vlu7Kao2ysCb51oGs6m3EIEqcEtX0zAWdiV1Ee9cKBwcCn2Ks6XJ5Umb43Aj/fl2Q/gzFpADQk7g
jTWV3SCnqJtweyKwdejdGsrSsa/IlqyjQDup1P7EnCXtIbTE8MWq1MmbSGLfjXQAFq9avPPTTHvS
zSK9xBbsIZ3y4qkhPOc1Hwgv7OVInMwxizfWws1+wK/GHURHUrXMzvUZXwqdqKUutXyIudMJkphx
QquebewHN4c6onTQdm0pJ8Bk1NUCqMOuHUc7s5YNB/kTLarcKf8aVflstM5b5jjvjyfZbanNgAyG
I6MGF5ba7HrFZVJlRpArLD9S+pcurj28cZ8kTteqv8BaPUR6s08ySnxsg1+sHJZbZWn5xtl7/1dQ
GnLsMgUJvbv+FSHmSmmhqpYf2IhbihgNUhmMhg/XFKSJ4upE5zXzM4xTdjmUkHOhZiPBn/j4Blbf
fXz8Uu4sBlgLdCXpreMx/WeX+sfWH8NzNdqgsJbFUO+6AdabbDpYcgA6bnzve0MtXR6d9gB11XrD
wwMHRqgFXr648T/hsGNyDk/jPh+CLeb4nf2EJQs6y2ViqQRWB1pcEszHpmURHNbhuRgG9pscLhEh
TjJ/rK3K2Fgw98Zj4+JKai9uXetgH5G0rVmIyPYTQjjeiBgKXwanDj2BkhsVc7Cle7y9zSOaZ9HQ
t1zOD87s60mUBtgK0LONL401Bk+12jQ/y6wLPrSGIT0VvJNzjjhkH+i6TCVhY59HFuuLleBU8nj+
3G4V1MaQ9BEx0txEO3L9QzIlr/qh1uOLzBXXXdqFHmjb1vPeTp3FMQNu9EKjISZy9T2B5mDjoIK6
tGMz7tFFzG7X68qRy+K/NVZYfCgoTnDJWqg6iKFXx4MWFpOa6kQ+VLkxn7SOWjx2kKBrhTkAdZLN
5qFaH/ZSLpXHItE+iSrGCSCNxUVvkHUnQZZ/i201fl6EL24f2IVr6cX4NIhOPmJaCueYLJcfoBFb
he/tjsq+hnDn/5l9cCm+/hhdZgWzJNXJJW9MfMTnhuQ5uanDvRbG8140KUbh2dRtERHufR3gdFY1
tnVLjXc9bJCoEq6mbYJ/h0pysWpGHja37a6soi3jiK2hVtMN5UYI43JILgGGi7sgtzHmzp1pT0ZM
eHo8s2/X9PIy//epVi+zwHK1xgAkuchG2ZJeX6uvWtU1bxnonBsLedo/Hu/eSqIXjukfQZRUJ6tH
y62S/1ljvFF0GK7HA5NKwkTg8Sh3nwoJLOf1wklbyzPATJy4aOXkAvYv0cl0jmNrXRS0B11NRNHj
we5+LRAlbmPcomGBXE8MdLRG3JRachkiK3KdrJ/2AW7oT3Y8bE2Mu88FiQNRLz0t3LyuhyrGAsNQ
2UpAe+eXNI09bcyfulAxXEhC1cZzrWXnf/YIdhwOcUh7aEzU69G6Hi9XktiTi40RPPzMxnJprlz0
QaJ7AVrxOiitvq8wjzo1zRR8saJo9gJ9tBGIiexk0vB5drJJOUb52JzHuqjdrtDrl1zOf/R63576
WHuZewMK8eMvcm+HgO6yvCWOK2vdLy1lI0HskDKpG/w1JiXNP0DeDg55uOTSh6rSP/Xt5v3yzsdZ
kAaKL/p8AHyrwqutix4Uj1U7t2mznxp678VYiv1sEZxV0pDaqDTuLCUdywg+DKANh91qMpihbeJg
wVKKhtHxokKPTiNN140Fe2d2M8rCpkHAD367OpS0SVbbWFGSS4gfshcF1vwk64G9z2bL2ppwy4S6
uouBty2o/QKDG2i4VhMuLPQsFemUXhxJyr5OWFObOyUrxV+hOdmfKsItTlPvFKPblUUtu5gXQfWz
7BKbvIou4t95LUIFf+m6elNQVuMRrUXFx9iEr1lIxvx3h13hSxHjG4e1sGT9bZRa90rZrsyHxxPw
3kuDM+qw9bDLoRS7XjlzJyskpgS8tGEOXrSyiVyjhSE4DFL31+Oh7s06yAtEyzAXFijoeqgYsxS8
pu3kMknml0SLTnYn6x45ZE8kgW1NhjsLazGxAVEziI+DWXY9GBmrGah9nl5CFXNoQ4nlF8VOpX0s
CWLm4uGnEpb/37nt/3S/vDfNEScDpLDHsppXY5pMbgV2ZXrBaxyFW0BiRWhF+saJce+LcUtZXiGw
tr2mwVbhQKp7V6aXqNReRiRbR/wGZywPRLJ//MHuPQ+EHi4HvEnW1fLv/7iLFIZTS0OvpxdpTgYv
c6zpMGXhuDED700LJO7IIMmhRH65Lp3zMmw1w04vudPgc2il1mnoCc+VhnryJ9JvNt7f3afipCMt
aOGFr1maFgdtSWxfisTTjNyhbyiTQY53/8W7+8coq7lAyaCFnW2ml2kuisOAY+Ne7+hq/ftRFtCK
dEaingjmuv5CFvaEVljyLG2FLXHR0+k3kedsPMvtF3JoAHFY/OHTU4Rdj2JM9QzzQE58xYy1I8SJ
vzssQw/QSdOXhmvRxrS7MxwnhaEuQMefL3Q9nJnnWi8RB+G3DhzoVJoJhqixAFEkIiKCAjLO45d4
BwFAc0nPD6/lP3vTCn63Sychs35O/T6oa8iuxhy99hGidF2MAe5Pxe9SoFMvlSg7QyqhNakl6hGT
pMGfNPgmj3/On492fbbgcYfZIJd/7AgBP6+fPzBLGyCMn4PECsipaoTmoYdK42VJmJip60UmSI9o
s5+thMDhODYOFjqoEwVoNGncv0mXdODUdUF87jLMUrCGSGzhttjjWV7kFCQYlK0K56Gb4sNYEMft
2lqr164yVNWpVszxlybK4U0m4wfneqI1SyaXZDZnrYrmd5u8z695KdHOmjuBsXyf17sU3tJTwgFC
wKc0zsKb0YtbJHFV6KlKG2teFFpa/UJEoHgpCBw0PCeKVQxJhKViOTfQz4VfD2u86eEHHIoxGIlR
GvPqh1kPsPGNsjbRTFQlHKFU5QDFCG9edABQaaRjihEHotK8d/7DrafCYQ+l3V9VIlfyQZUmuvt5
gHx9l/Zj029M2JsdBfM6mQs3KLoOmL6+DfeZk8dTkcd+P7b6brKk2EsQaW1N02UjvJoXGMyA0FG3
Q21HcLwcef/YjpuynRNNj0e/dspsP9VK48tGTrlbBwSwCxhOWmqWRxU9n5+gLT420xxtWPbcrE3Q
m6Wa5xznVst+cP0bwqbI2XTo2GPVpp4l6omFu0S3QAzmk4G92sbWc3PYLWzkhYaMOxKXlnU3vnNM
SRkUp/ZbNSAe1eY7xlmgHg0Z++jH6+72K1KcLr0QRPJsP2s/haLQEMnNZu2XqfqzNRLdgzC5Jfy/
7bnwQBQIQCKYuoAIrPaaJAtLW8xz7Td2YF/mFJs6t5zZfjhfA2yCVLh9/U4DEv/UGqHJgiasAvoL
ZnQ/A73JE2+gyP0NNg4RVKjy+BMbtPzz41dxS8zgVxr4ICwHPxXNumlekqZQWebU+FlVFC/Z0A97
gEKvyX8qg6Ue1KYIXIxQwoo1bYkjdhfpf2LYi4eEiswrKlLiHv+iO/OOjZD9EN4+/Mh1w3nilq7j
ydv4Qdi994neveKF+JXcJe1JjsN0Y7QbTsxyPwbQowMlk6Sz1ggMcxPoUhS1vlTU5inX4vlpbqMR
fmCMySAN9Sxo3JKqKHR1Z2yPWW3jr/34iW8hRcwh4HzocMPx3QGbvl5qiAgRTEKB9/XUsHovyPXh
94CW6X1oRJF6Vu+Un9BkKCTWjfX0xrUtenWsls5ElBlfH/+Y2wv28mMWwA9rGJJh17AiwqQybuNg
9JsZpiB7caLWbjzlCVmtLJtvS2tocmcavMhrq77Cojyopy8WluleYxTtvBNI5bS3ppTbz6WsVcou
IIRZ381Jmv+UExnXT6a3KbtlGSZfNTvHDSAzsi1/n+UOeL2Hcl0jIhKHTcjC6ISuX2qumZMy4Bnt
h3qPLUEW/h1GrXWS+o50ajTOO12excXUeNLHb/B2SkGn5ZDAzhEiN/bE1wOzp6ulCJLBt9SLTSQ0
KUWtdlYSOHYxEdlumaLsLSpl9jG9ezz02vsKet0SngEMKcv0k/Hlvx4bQFiq5ZRToR06oGAU58Eh
nODujEEtv6tLNJ7ZDwoGnnmU7ay4l75IgLKncZZmxbPHNnpKIXYE50LY9aUeZHaoIIvT5AxwNWzs
PbdfiI40Hr8sPn42k+36x3adojdpMU2+FdvSUjQnZuMOWU8BqEqDjW83PM1yR6KfXbk1BKn+8Ph1
3R45+EuBHnCzB8pnplz/ACeyh6FSmtkXSV+gc6f/58jB5Amj3FhV90biGGCX/WPeuI4GE9h6jqA7
sp/jHnqa5rLBR0ARR8yk9PPjh7qzm2CCC37O7Gc7waPo+qlsUtjyZKoU30qNABtdPHUsSLqHHmne
sx61xhEeV3y0kuGStHL/rGFK8zJISrgxGW/XAb8Dj51FzEAD9oby16U4S7eO7DtDY5+qOhR+L9re
a8gHobiHtkzgYvXE3Rf4Cy/GjWV49z3gCgDotWzsUCyu34MVk4GaVobqJ2FYfYKUj5sRoT8EXEoE
g6phVbaHCnysdamA5ZLvT/3smUo2fBdDoWxB9TezHSh28T7GmQf45ba+0fPQ7oN48rNcCfZRq1U7
GtO/nTJxPlva5HhGEegfkJtv3eluXwSkQgVVE+0x1tlNJ3zusE6FDj76Zq7opxDrmAOqEgJnjWQm
o3XCp4Hg3te2tEqPInog3HCyvwyW3Gws+Ju6i92QHgUMbR2XW/gu118EVawCF7nTfQmsco9o5T3N
s2hjUd9WNIhRoFYhjQafoQ25QhmEOcVyGMY28x9O4h4DQNIFZ31u9N2AJOCDFk35jzIMgq+23tfO
rs/o48GEbw7KZFQflG4aHVpMpRxunPPLhLs6kZYfhs/68puoCNdwRGEXmrTY+/qjbgPHCzm99E7d
YEUVow1zCEb/tzuBTbEEf2QRqso4b692gmHo2gj6ju13xfwbkhEhKQQBUYSy4ga6kl49G81FliP7
UlXcINErBG9YFVYfHv+Q2++O2xzIPXenBaxde7TJVVvJYZc7fq/mCapr/L3GvCg3qvrbD78Y+1PQ
I2lkIGNNchLmTKhdpql+2U7m3ijD/Gig5/qAaA5Ln1xYfiUppTfqgxA7Q6maXZul8luPFGyX9J31
pcQx8F9/AwKeuNRADUW4xLxc3QLQDvQB6RyGPyVgGsWgqj9TzQCn5DUcbTyOvCyKuwu80ZpoGVry
2BXi3jxGb4+/wS0fZmmXcGWFbbbUd2tkfjKKPuwjW/PTRJi/w3ws9qVTTa5mVDlu16pzVAjjO+I2
ruwxZAPJMvuKwsBU9rYe/R0qcnN2yE12HauIn0Kc1PZdbilfrTYPvbkznb0lJnlj5txWozgzEE+O
4otaanGovd4ypGEBj7LO8GXCbHDlcHon2MlJ1g2vQd5ZP3i/7c8pzpyPbOhx74aaTWLwcltC3CBl
fezO0dKlzEwhfo1YA/1nxFnud6vWc3R2Iqv7iDxzHnfwhEWHkkKuFz847f3xy783NUlYXUTPy10Q
ad/1Y9g1OQvAUnioj+aAz5kSPk9NMp8yrII8uzfFk2Vjo2AQNO3nwdR4dqVJBwuT092QTf33EmHq
4590bz5Aegcup29MiWesoL4ROFGo6mz60xhaR2ycxBseP8gw1YD4Pz1E0b/jq+COrtIyK8183nOC
2V4eq9I3QiKz56pc9Gt1RChEVWiXKK2iH51TBc9EsgPWSNaPGm/YjarippLi5KSqIOEDDHkxfbx+
k1qcJHAmS8K+aik5tlNMeHQ7xE9QjLbQwpvGAkFw0ISQxnFcw4FYISCdEdk1zqyOT4qbSs8nV89x
TWimqIfsAPwke7PTbmr3b7AfRqWtgJ0JvnSAE6tN28m6ps2tyvH5+PhKtaGyw3gm87rOso8hieOH
ysbgp5pF8TY5vXowky21hnpTui0OK0ulisECpI81X6hr26icMJHwcU9LXQ3k85Uc1fkt1gmPE/KC
1So9mrEgHPZdMJBABYHuONVMVzPOpL1kkHQk92MKqW6ydmZuF6+NWTc7bbAkrJMs+clw4pSehqad
JZMuZAjtc28CFRLDZAF0jXXuRmz0btRgeL8M+dfj+X9bFS3PCG/oz1EMMW31dTGQaXLdGBwfU8Xy
vZ1H66RFdeZm2QARC1OjF7MY/hp1IzxYPYlhqJrSpzJvlY16/eZw/PM7Fp9N9hUOmFVRlFUDIYC9
7vjkgKp7pH4aWVyj9t+MwskLwMa8uaFlKbPFi2wMx89AwHcDCbm7xjG3Ko6bCodnYdLgo/hH3LrG
bka5X+yJJccne7RwuWjaXivppqc2i7VTAeL++CPeGw9qpwXNYRHWr6NirJLMjpl4Yr/JYuWvMMBx
zQjwjOI1OC+qiLdyrG8xPR4QowK2cehJcEtXxxGyNwAOh8WJ36KYDqnIHdfuCIFFOhWXnpUG7Wut
D/Z7Q86Cs7O1Ws49PJxhoKcTcld3JGMHX7BBh46uo/exdvi1ZD8fv5Z7Uwp0k6W7VJwcOtd75FQW
UKc6XLPIEYncJhvGvTwT9PJ4lNtmCi+DzYpIdgaxAT2uhyEHZwbK120fuW5AnmQe6z9QlTbQj5IZ
/kSXyk68i4Su/NVMsOv5C0JdPRymxRMHO9oLtUyGrVbmrTcLmzV3XGpesHO0QKuzlttOQR+dSVii
c/qxsJuR2nVj/opZzyTvQn1wLlrThRgSxOo8e11JGCGl8CjhG6AF2THDE11FPGCnrhCasvHa7nwc
gx8IwxfYg4Cq1cdRpIIGbNc4vjNF+R47vHIvnLzdGOXOymDrpuAEBEJUtradlQJrKNXaZr3bmF3G
Qfm9CJRop2jFdwXZ8VbpfefQYjgOLKRcHF1/vsk/GhbQ4HFDwInFtxsMkKY4Nc9QGMQpTLIfShQ8
l20z7XMObrfX4OSQh7exv917XiB9EBbgdlhIy7//4weUCeJO1YgDv89pzCShbVziIULdI/VoSbN8
S7Og/FnqV7c5ptlyz4DWDGLr6Kt9W4wyIhq8/i7NaM9kQ1NGlPhMBAGtLOIuPoQ1QvOdKKKUgCe8
rP6WNKtUz3yW8N10SD/ZSY2SvpPe14Uorolg1J3iV6iZjeAWHkCTyGp5IM8YYF4l8DgUJVOGWOUd
lap0CA2LB8Wgb3jqlLhOyLHrx9Ilqb07Ok6iHK1Mlj7PGK4lO4IWcJtFP6b/cpoxxGhy0QntKrIq
MUclMvpSNZn6POvW+BM5ytDviEVtz1y06K5lfY77bq6nOX6cU239Vc2y/SXkHp/tyHMsPyVTQIrz
HDkg5SpcXxdMmHTI2sZCccnmFrjhUuQvSeRdTuNOT/tPdtjN/F3dYhsiCd1VrDnGQ6ubBN4RVhV6
Gr6dXNUwHEvdeWhr2VOCKJ7cCY7MNxz7ytFtpDj6UIOwaruOwBWCLfvJ+Fjn82C6VSji89CM+S+B
ahGXzTD/NmTFyYnVwS1SpfjuVA15kEZiv01FIX5YmYAXRuYU+DYZh5khRb/Mzpj+tqpE/EeGA96T
BMl33CcBZN+h1PL3kMBdt3JM0e0A4zjwlGQeJ+x0rC5yc0gauYvgSvm8se0u2+pq4sEgozev0JcD
Sl8VLhTzkIdKlnZANiY2AA0W4PhnenVuG6iY8E/Q0JDxvhRfkUtUc12Ebb2tzW9TkEsvWdFKG8fw
vS0XdgU/BYa5wZmzWgvJUJFdhVGyHxhZcmDeFngCKwPCmaGZP2iZbn7NTUvynEAevncdrlLYu6W/
0lLQbiaHlw0J21LnlLRRtAUD3tkZQN0QtULRoNG+pjRUVTmESt2LC0rU6mNW9UHkybE8vxJuUQsM
GxwWaKhQPOzGDHW6FxMDJlyVrmu7k2NDa/GxDgpSORJb3TecFsKVUGk6rqR0SbGxb9+53oCToAjA
BAuEaO1HbSK375EeB77ZdbhkTkTEWc5QeHJmiMPjiXTnIILRzRHOOmbjXPs/jYlp1joblj9MmI9G
IUkTut5MG6Pc2kw5BCsxN6gTYM5DVb/emR2novfVEL1cpPX8QZ7V/Jw7zhEj8uKw7C0HFWvnXSN3
+WdF71BkYOOx8VKXE/96xXBl5DFxuUL7QVVw/RNSuk8YrGTiQoCLubcyFZOKzDa9fmRlIPMJz3Kf
VL4dozdLia4//dsXjU0O+kRYAxSpOPtcD09l4aRFb4uLwv3eddoaS1hWzMYivL2tQk5cPLTQIVN/
r8E+LIHMusd0+cKsVs4NqqcjrHPLw9NowHAhm8611DYbzpB3B1VopaO6BN/SVrUWweiigXoP/z6Z
3cJsfxkTNspR0Z5NEFTPljZUXbeLmYekaYN/GpUGN43rVxnZKQs1SMIL5Z90bHOjfRJptFxRVf0r
0MOWLP7eeCwO7hgLcnnjkSaSQpqruhIXo7VwPZ/Hb3Gl/MZluN8hh9gKgvmDwa0mKgUrmj/EXyCm
6zKKMPPYLOtA8tEpYVxrttV3zNjsj3nEretg4vgk7zp8ybudbJYKnvNa0hFC3NrRcWrZjJ6aAKtF
wpbDxM0jrXnH8CbbDcLK0MMHoyPv+lwdFwqZwRW+jvp9DelqTzlav9X4vJ+70h5/siuPHzHEK74E
dOIVrx3wfPEIPSb0rx4I6j6TzRUiiRsqanoHkvdGOXm7CYL20cbkmAPPvencmFkS4xxZmT4RaoNv
RP3vuDOsp0hNNy5KN/nxDjGtoHH0TZlUiIdWS3NyOKt7fGP8IoFTZE2a9CMktXFXYoMUpql0FrUD
aiGpDSaCTfGx1RtxcLLlFjPF4oxuPt33dYJrAjQVt2IFHtHJR66SK1sA7p2NlJ4G4QoLjI7c54Z7
VMsYJeEX6NtCvgxgEm7W2qBwaVdfMqXpXMIBvpdxWj7N6Vw820pc/FsjO0hJRFZCGKFhy4tbVx56
lpjjUNp+Nih4I7eYbQfs5Rtf/96DWjoV4UJMgWa1hvhmGr19hYoUpXpjX6LgkxxONNEHLIiox5/t
DFpCWXXdK2hpfZ5Gbd7YSm9PRu4yKPKWngUizDWsUGEbybs2LaDRKd+LPG+eSs3eOhnvjgL4ysmL
5Aml7/VeVsUQ3vIxtP2yi2EGTUPuxiVBZ48Pnzs7GDAZgA99A0TW65SjRoPtSG1l+UU0/MAz78NI
ei3cBzIutArbpcej3Xsm1hNbJqUWwMCqEAzjMjZm0ds+Nr2YrRexti8lY9MfmDez2iZRb9LcXjgW
BGep12+u7NUMl5TK9gNE4wNFru+MyufJ4MABgVmY2Ibbhcbw9vjh7qD4QCqLcHR5QPbo1bgOHhJm
QTqCD7vCfJ+kOf+qLS7nHh6W7Tk3yJnwtDoZvtFOwXmMO1ZcEFLewrSXFWk82NVYiJ0Fy/PH4192
97VT42LxABYDFHP9QobCztu0m20/lCQFOEEQaG4W9kYdc2dbBnDnrS9qEu75q8MeNZvVFZFp+3pP
kB2xB+0xpQlDJtqwdZ2/U7GBsMFLozOxNIyXB/7HdT4OtLHkiuX4GMQ+8zfWW2bLrV+gz90FXVVc
2GUJh8cOfm9hvLJ//Drv7kCApdza9EXEsKbwdOo0GGlaAmegCvM7pQ6OlSYiF8Z1dSpmpcGp2f7d
wMu6JCb2ymFXtsfHv+HeusUPFTDlT794Tb+MCINRxnGwfdOOs70VdNLzUGTFvpfpU45d9fHxcPdm
EN1imAKw/+k7rDYjIr+jIAxYuHM/DIuHo+U2c2l7/34U+qFQzAm6o7ew6m1UkQgH0pttH5/B4UnK
0cmiTN6qt+9+PofdjmXK8XEzewTuSaLEYtgnlUXZt0IMGIGjZpD7SNtBmnqOK9t0R0vOT2oUZU9h
NMb/xedjiSzeAw7Q9PpyVaqVA/LBVkEYBgYjrfqrJ5zpeZIxdTBDXTs8frF/Cu3VlgjgCYH2T7+f
qN3rBRPaklEGs0w3o7KLv4uiDL/zs9K3zmk1ZTfPAM5uZlld9lLXhYLzpaRh961W1UwGciHFb6pc
al8npe8cbw7FiM9OkqSfHaKOvgrdmL6ViGC+Qaye3nSzFd+dzjJ+IOTXPuCO8k5TQD1kQRz2dBWG
8hhIqgWFEllHjxTKzF5lJwdvLfMxydwuSWdrzyJSvsVQB8k07HX1dZQLIDLdLkDLogz0WEkyfWub
vIUpkRaD3jtYrIJTrme5JVCKdcFyFzW6ut0tCSRfh1gy9qrTu9iiq7U3/6HAG0pTfUrTUe52PCNE
dxz/0uKYDZlMYCeO7wlOt3lMTodst5TNejn0z0RaDB/kWpa/6l1ha145x5DQLdfU+sjaoZ9WCwwR
e6wm9XAcTcJMMLs82XUNMUAb9PxjkSbNK9jo/E1G43NSmqzEIA5Eqzwk8G6NndyZ8mFqZ/Vr36ew
79u8LmDrIIDf6aQP//14Ut2BdWBOsgty5aIRR6P9elKpoZUnsWDDj1pbfdPUXnnuVBJ+LEQuB1Mp
OGox4CNShxgdxQjFnohq+4yNg/A6LiG7uhDWm4HNw7/eRvBN5bYJW5mthM95/btkSbfmkt6PbxfR
vHNitNU0YrYqp1sy5eI/RR8W9hpW0dyrr4dJEqOGMYCG1mpJ5q60PjmFuQHLtU1ML2tnzTOdQSFN
ZkqfRDMZeByM5pOQReoGplS+BAquVHEelW+N5Cg/GsUQJ6lt4w2E6/ZYphJa8oRxBEPYsjYksKys
nvNRoKpqwB3NJo+OMUECu7HMt0RIt9d9jlo2VLhVKBQQ0ly/EVnKRQYmnV1iXQtR6UzNHqpwd7ah
DwARt8phqIdko+y4PZogaKNEkBlahiy6OpqECHSnmfgMYzpiCE2bAYP6Yos6e3ve/g9zZ7bcNpKm
7VvpqHPUYF8ipvsAAElRpiRrsS3XCUK2XNj3LYGrnweqmhkT5C+O++if6IkOtyUnlkTml+/3Lniq
0TqgNQhGdcLTKZVJTonFyQ5GGhNQ1Oi7KUMsI/JgS6jkpYzTc6NBjsStCk4ODIPVgxwp+UtHxVtm
UNIes1eM9tRCwf9QQQOTG832/S/57WR2vD3g+gU1mDT7BR9av7hUcP6t4zE/2MQ8g81qmUXsGmlZ
HyslFZIbIFf9WGtZfRWUCTonPnq0bKJNoMZUVVJ4UJhgHphj2RCB1u4JaTVGkp4QqrhRVku3aWLi
yU36YAMsnugvLWxbezPKZZttzLkhC8lqpuZ2yBCIk/BcsQVhAT5+K2UNBfaI6gtgLDATtxymJcaY
mF3gsvK+DFXpSZ464ieI08P2cCZi4stEZdT49ti3L3q15C0lSm89GQpbro86x8FmpjWnHWF6yosx
O81LF2QOVmCGVt1MmOkXG4q7qfHrckxlAnt6I3LTkjSuQWci0JIN+4e+MRVED+OkNm4uuGlPq8X8
GvK9De48dPZHU7Is0j7UenjqdZ2trqShU7qVPHcm3W4ElL+87lHOqBzkOPyQPLFGAIQUqbNOjt6B
1mLkKdo8+HmZzxeq3zMfOXUEvu68IUAobdXjVuDqVT2ksEMIzP0URlbq5WpWf+hjpfAQTMSHTo8v
iXjPfOQLJZL/LEoUirbjlUUlUVVR6744yCHOTMjGk43RyfOF4+mZpZKSHvs7gnPw5F8DwdC9nAzG
b3GYcHPaYpIXb4pex5S+j/6N9WQRaS/iH6xTENkc35AkmTGWQU1xiIiJ26V9fZWp/XjQ6SftKhRQ
F17auednQE3A+o6mELyu4+GiwsmlSNKKQ5k0/bYx7WCr4wp9YQIuy9JqGQFL+N9Rlqnz07GMVgrR
ELngptDobAI+0ut+hJbXDpayA+JoN5hJR9t4lsJ/482BMoN6YfPDqXC15ZOOBw+IWHXcE7qHdkr6
jdOFpBQSGffLgAnKPlJ2lwMumPZadJ0S/zFFkKsOIu8dj8ScDPG+HHsiUgOYOcYlndi5OfnzeKvt
rcE5o257xqs0M34aY+Iv7HSeD2Oadr++k4LcgakCBLGZrus5chNlGLBpedCkZEnUtGXPlGL7wtHn
3FRkAKjHi5UsTY/VJBmGxIQwVR6yzAyggln6pumK4NcnBLOA2+AN0S5bExzAhaK4LpTikNO1dcnJ
G69yu3moAyn79fpq0cbB2lagGtHAOb6fILI722jl4jCY2auSWOoVZ6XRtbTUuPARn6kKjkZarRmR
AtzY9TbLU5iVt+HQSgQtWSWNcy3ehWlvX79fFpw5KLPGyRxSYTMBa6+7jXgCls3US8Uh6WObSNF5
OnBYbrzCwr6I6rffkltifCwtufRyw/qjStL5+/vXcOae36T5kGFgPWJQdvx0abnEUJ/N6qDa2bDD
It/ZWuOsbUWSN7uqxiT1/fHOLGFgu/glLXsoU3S1hAG+OYlTR/VhsVYg5VQod1JP+GtO/QK/IVU8
NY+NQ2bjOf7+yGfgQ9h9qBrp3dNqUNe3Wpa1FdpDR3ptpkV3AQ7IH8RUYnJu56qX0q/fqqSZuKYB
ophWg/Et18L5kFQQk1Orzve6lcYXFrtTnE23aYEAcuE6SDmqHj/9rAQ5biazYLURH4k3+GA28kta
lR8SJblOSsRr4TQ95rL9+f1ncWaNoJfA3AMNWgRCq2/KbqVJJEFbHoBa8y/11McfcfguLnxPbz3P
4/2Kegl6IFUMDbLT/d6cxyxinTgQOavZm0HrKQVtsD1XLWaa/BX6erFRmknkXiKVdQy4GPeZO6rM
x6qSvyVKbX2LNLo+LpSPSL/pDYdc1k5HyUQ8L11BX4QcfT2c3qTOJ6ZdJREWhQ8Ah6RtGihTX5H/
pR6Z9Em2xZAMXDgKG1O+DiIt/R6gUblN1RQyCaGsoQtFKNXcOcDWy40MLf9i5mZ07wz98BlPqfp7
IDepTvCCVH+YZyW/sXpR3wdGZW0Jm+hvRmCg6xTh+MgsVoyXFGIWmTx9MDdu08IjT5W8/VM2BJyc
CYT1u1OT9eHWGhG2Hqf9EgFQkcyKJ48t5+mRD+MPmD656cr2FP6wBoFnfGmRv+GHTMYSBAK/WNhY
t4MTFqU71JL81HdyhJWxLj3wNIji1Nok/tOpq2jwzSBRnzM1ImmqRDLwXSWj5Su1f/4D+pT59Vfn
GC8fUije7gvDfd1GirK56UjOKw8RuYCbbgi6Db7pyoWv+nT7Ph5l9QVJcTfCjMnKw0RCKUI7s/M4
TaRbklvKC0vX6UfDUNg3Lhxb9FzO6qOphcDrEAHPoQpCCbWGpnkVtrUXbugMxxU7Qc6JC3kShfw6
qKzXe6KTo7zGJyj7CtOyvtHzGbPTrLYfyVCO2dKHZBcKbbiam0bxDTkxiYAqyh35hM1Oi2pzr1bm
7OeDk1zo/5+uV9BCKV/YJsE6KGGO1ytBwywwGj7oIK0VKGYCIrwYS/QKUtPvycRIrltZq77ko1GQ
UtK3Fzqgp7sH4wMKwXel3cIqfjx+a2fx0IGuHPSos1+LTPlmjsl8OzeGimOpgnROxvHKoI134a2c
WoUwHvDEYt9N/c2adjyy5USpJnVNfRjG2mhYHHJjxvwcEwxIIZgxCLuKpi2RKM2zCeE38+W+Lswd
SXLhddRYYe4WAxChSwyPDBaNtgAvRal8MgI7/kLWpPFs9MjNXdUUrD2VNXR7u6gTB82cOQtfzE30
NUPfDd+5phLB3r9XNZ8W7kCKeheBGARbIefFlz6xxU0XdoXskl+gH2ZcZGTf1JfQc9KsDHsbzejw
yGmp9PSaWPDiq1w1zRW7ZsqRPY5r1aPHbD5AhUpHz9Dm6oPRkUDp6nZs6LsuNEn9LNmgSGwuKuJb
wkqxJtfoY7X0m8BskXwrpMJ4o0G/wcXIbyw2oqcl78P5E3+qlSbuALIr3R2ahcfVW6l5qcwweR2r
nedNg71EpnKIXsc5pIvttGPMTJQ4rjZq7Uib1EGrAhFt9C1u7cLacHpoXyTuCzkAeGchGx1PjzKK
WrOr9PoA5C4+ZO1QXjWtNtBWXsytLTXZ9XHj+O+vsGfqR7yCDPpji0QLPs7yFH46D1qhGtl6LurD
UrI9mCmthmLqh3vbZDMAuqmuhEKwJGFEI+ZnlToA1hrThSr2zLLIfXMoBBReNACrNSGu7c6ssGxA
yDi3nsL36VlRcIm2ff5eLQQasI7gka1BZwfgEdcAuT4Imq0Phj7Y1OXjsOdoP/oszCmSynC+MYQQ
m7RI7Z0+9Q/vP+8ze82C/liUyW/Q4Wr10cY5VeKYSzAyobqDnPV8hvarno+XGBBnuP1gQMvERRwP
8LpudRPkLoKSqJ/DFFUl2bMQpO46cBvZpb/RzF47QPfcpFUsp34AgO7NiVzv4iAbXiU1Qw0g8im6
QDY7e/swFtn/uCBSj49nG5hvksiqVB9meQw2c2h8IVQpvFWc2bhQFp+9fTrPFm+ayphm0fFQDgJ5
qKxVcxgg/sa7KifxBXWent7iwNYSpqpoo5u1cUtgWNVDAG6j5L4y4RxsLC7e3kgU3ZfIaG9TbL2o
8KktXxqiXtCl46tKldlE62ZxVepQ/LG4FzSb1DLCZ7VRshs7y+WPiTGkpavFMuyYhAXflcJSSd1K
qkW9wee/vzFQRe6GuR/h40vFH1k/ZYi7CB6AgxmgU+kAov+NxYl4GYowmagDkriPr7tRCaYf2qw5
4G+jb+PetH2pVArchCtlG7Uh4WBz3Ozf/1jOtG8WewmQTOR0dHGM1XTp4rIqS0c0h2DIxhsSe/Sv
rZbUXxbZhNfUAa1J05l2Zr24JHQDr1XG44vZLLAJNktyvsyk2lt2Pfk50B2Bk6p0wCBHu7B+nVGi
cUBBXgi1avGHWPMqmoVf0BtGc3DiKL2uWiN3ZUMKr4bc6j6FWKzgzq4/thWBFEGbmO4UOf22GLG4
ev+Jndmz8HqCRbIsclCSVvWliccXGtW2XgzvIXFq8TcnKlLyuNIYsN68UEqdGw14aLHTAnCj0Dye
FEYQjmzz7JClpNX3UVr3pEyQZA6IPnq9Lvqr9+/uzDax7IwQDxbXUGR/x+NVSa5N6sjimY410h/S
zVxRDPrm/VHOFKg4NbIRQx6jel4LxPIsVkY4DuzDlEmPLRlvG7SExm2czuIaRQba6jkfPF0eZr+S
x0uOJmfq06PhVyvEDNHLIdC4PnSlktGOie4JdHucET8hNrqBrvtn7Rj3v37LHLKXTgHeFlh3Hz/Y
Pi54oJZVH5wctnoJfnrdq7VxCKIm281B17ktB84rYc7D1okM5deRQBD2hfsMixNAcP1iFS2IC/KC
satxysoLqo52Vr20KiZ0JO/f6rnHyw68dApZfUGQjm9ViiepCUTeHBRHmq+6Ets915bH6eAEabzP
q4mIwETtNrkcXOK8nSnwaO4iWAXxBLJZn8qswLCCRETtoZis8KpPW2Ub6mO37VW9P+hDW1+ZY36J
c3p+UJq9IOIYka6JdmOeho6eBc2hoA+6b+p5QEkX6Pteqho/Lqg/svJik/kMKZeGO2vvInBBqrpW
DBA+mEAOLttDo7YcBuxc6+4wTKv2DvHNpHkZZPKIRFxhl1hcjfL4LYMYtYPA8GSYWeEnraRfh0Nh
XI+2mR60SJN8EIfk0TaK6UKhcKYkgSG2xN8u5gRUn8cTIgkRb4JztYehML8A0gmfIsn2CIG8xL09
s7DomB1DeaADA+dx9WUHw5w146i0B1qnyn0TVbEba3L4B9k51XURKcnHKRsymqTReB12Zbh7f+af
mQl04eGAYGHNh7a2idPrgZpLL7tDH8ENCoNh2g5VWrlyWUnAxSaG5ip+G+8PegYxBdWC0rDAk5gW
r29adcacJZrHayIpIxRTycg5aEwSz4ivIj4s8domm/0sjbtrKBBs1F02+WqGqqTLe3ykssXF4O2i
/uPI+7f913/y5+9lRURkGHWrP/7rrvpRPHbNjx/dzUv1n8uv/s+PHv/iv27i703Zln926586+iX+
/b/H91+6l6M/bIou7qb7/kczPfxo+6x7GyD8US4/+X/9y3/8ePtXnqbqxz9/e3nN48LH+qaJv3e/
/f1X+9d//ka1K78BC//x8xh//8DtS87vbl7a7h/XL8PL2d/7wd/+8zdFMX9/q2fA14mXf/O5GX/8
9Tfy70wgUHDk9qwoKp8TOvsu+udvkvE7xmhwoRcrLjwgFzuKtuzf/sr+He0WEgw6t9inw0Axfvvv
C/z4V3n81/vhofz9538Uff6xZNlv//nbuu6AckEJjusfVT2qjnWVQ45ipUDFS/dzVKtP6iz0zyR0
Vt9sqU8eCVi+5Ee0rjsWiocs06Fiu4A7v+7MVkHdaIHUZcgRJc0zK8t+rIqi4An/z2s4c1cnReTb
MG8hWhpPkZrqeCXCQ6GchSxlewhp+ma06gnIWlaafZBk+t04D9J1bITSRivUgTWx0Z6IrYIHgdLk
Ek16WYp+PqYgXtMxmqKfYztMhjUbedZNOZsgFl6ltcbuENoLGNMobSm5eunoiDjtOsg3oWGguSOH
L5M90s/i0iVfVujAdkpfXFin1xu3zbVg4rGsm4uZx5r/omCjYdtx2uxTZ4SKUmjzJwV8faPMcng1
14P5sTG1hpaXfallfvL6GZkDHwy6ZWSq6uP30mh1W4s8bdkza32XVG27IdjwUm78yaRenjX4Bz7K
gAN4Kh+PIoRC2TP37T6V48chySuX/3+2o/KHabTBhUp6vekt8CcG0QsGi0knPJHjwZQYmWAsmwNu
KHHuxzNGCGknEvhEirhwNnpb4Y/n0jIWVGGOCtzamgYdxmpBkk407jl3k5ScSrRC3SnH/2WYNNi8
NZ+t7FdYZkPglBFCeUmZEtwUO+wV7Tzbsz+rpXzoIXE+Z0RTo9Ru8dyynSIc3Yh40tqr1blKXKxa
YSJJrTF2D3JqpukGtzJn4KxP0LerJYDvblkK/bte2kCHsYSe2B31Ci+tuJlKIgdxX/QEuuULn/ab
E8/6GUATw/ibHi313/I+fkLZxlBNRqWuqj1JN3PkBY1DcJXp0NLyhhnhu6u3pT249ayI4GMVpkL4
BY/rTlbH+rGWxjTcJHpLGpE86PfTUMe3dhyXn8GDCeCiF1p8whEsu3bkevyBJSTGizGOnqUn5K7+
MvZRGG6a2MnNJ6UGmfdEmCv2h7prVPKysmzuvql9mLauSNtIGC5JseF4WEwX8x2OTHnqJaSwDm5h
5624YVM2MHoxo+mD1NjJN4OZNKPXZ+V385D8Zz/JIkVxmzwsbNycasIHmY6zfhg5wWX3YdzFr6re
ipdwFA1LXC4X6ufcnmbjfgiz6vn9ZfXcVF+O5MxBTjjsT8ePvh0KudYbPd0LveYkN2VfyOc2XKuq
9Asr1LmRkIfiHLp0poFKjkdK+ioG3+uz/WCZOK2OOkoyNR5dCC6XCF6nSxKKIMfBkhGOxqnDUA03
L8QYFNcvxLI3EfEtfqZamf/+ozszCvEzBpAgxoN0vVdLUjJYLXtdUe57IWc+GsLgSq1y5UKJeOax
wf2gCyXTT6Yjsyz8P30bOWAW5sl9va+NKHtuFHVO/CGd0h059eUls+Azt7RYx/MhsoUsZLXjwYZZ
IeFdier9XNvPJAWa+4GiZfP+c1sX+iRkA2bjDgKGAKl37dPWD2ppFFrY7OFmj1f49sx8H2loBRs5
06MbpRjlPRaO6k3WarnmjZF80RvsBOvmGiyoZOyXBJfbyLePbxT7Wp32DNtllCXRE+Ahlr1WEJAD
HVXVTdrORszCAeBr5XaxR+81fMwCp720q515FMvWCaYAHQua9+oytBF5AsK2di/RMhrIcCWU9KqL
owbcu1LH0BWdBh3dDNvxxglIaPTNZKqGCxP5dIrxOIi0QXGIExi+uscPA0t5p+7arNtXBXxZO5OH
h6wEGccIfr5QOp2WKcuTx7UYJB3K4LplnelsbEk0d3sIBzI2gEU6b7lfufYNbdBeE6dSNn0VSC9B
hbHGXwebo3PNz4Xx6ezmGdP3BV+XoYm99YV/+pQkJRZ9LoluL5ROceG9t14XatWF6X1aqTCKyaJA
xBug7NqOAfHmYKSGjlwuKl5CjvJKLm7HiuxwNvJ/55YgDbI6cHSgZ7BaHWq5DdhupG7faV323Kdh
t+mMcHx8/4s9nSDsTotXw5vrLueU4wmymHUMdGX6/ViI4oOMeBnM1CTuoK/mC7vEmXeEhQKLymIk
SqG/GsqSo6HSaGhiI5NKXktjz+UEfMkb8GQUvjmsv03oEyCYYLTHN5TMSWHR3xkpo5TiFudnuP6U
GBd4dSczAVkU/zizHDouOM/q69az2InB1cd9CuvFS3tFhowbK9R4Wbwb9fBXW7Lsrrwgjp2gv7Dd
1jihLCdOrOX2uA9E6DyU+GBjxymq10GN0p2kBKF54YM6+ZoZEGUGBz86aZyHVo+xkTK4YI427o16
0jfgDLhpxs9iVHaBNd0pgYofhX6pjjg/KHOeky2I7Npjl0SVWq5mk3cny8+ONeMDgLNoC93dhQlV
uBYeEGM+XqhRT4+fy71yrgaCRTHEIf94ytRakrRqU4p9E8pbe1DwRhz6ysVWKP0QdJL0kDTV8CSK
Ig4xFG/0B7PW9VfIHJ/e/xZPNEvLW+aQTYQEyANA6WqPzpKpVkvHFPuwwHjOLtFfuwYhK/G27/Ti
OquS5KDWeGInsWztsknXrsOyS69H3HndLlAKwrvGQrqPIk4ZFybEuRkPqgmPgyUQyffq2hTR24uu
RmDJM0zeEJuklsQ7dAaJC2L3x/tP4mRV4kHgs8xeAjRJobeC5eu8Mcc+jqd9lDfBHfGywVVA6v1z
EBivvzwSxl+4mkIF4NmvGdNj0MGCmPtpLwqzuEYiInZKr2R7MaiXTLRPVyZGWqyTFz0Qfhyrm5oT
upWYy017RxfGFwvmxkva1Jfav2cencapndvh4Ln0Do8nc6SoST0ViQyW0icfi4o45jyXsEYe2vzC
jn86FK0ohlr8HN6M6I+H4gCdaVDbxd5OrJEszWb0hcphKorLX82uWTqv4G7ke71tv2sgKsTKwxKq
ITD7rYdHhPLDF8q8+EJBvpyIjg6rjLK8I3B7kAFNX52YqlGGwYM34l5BqeMh0k8+hbEm3GHA0Fbp
Y/Oqwsbk6ldnIDoLVjx2K3mJdVnt86Zc25PQsbiJw05BGVCFnweeuiuV4XxhgTmdgQwFywS+CVs+
zvbHLyxMp6ZVdMFQcZdeZV0Zbya9E/6/cUOQsiHHg3yaJytFT7gyMOa011P7aZrCaFPj3OZKhRZf
GOnc/djGskoQvEOk4up+8FSxrGjSpn0qoHWEDvbKWod28/37OV35eDUISIF+VYrM9RIBBSwTZFvP
+4DMxLKr9jTsFq5Q/WclqZd4EqdbIIPx6aIY4ra4teNX1GDvZuOhPO+d3p5sdN6z9TTi92S7WV53
pCFIej9DjNDtBfPo1QuY1dl7Zetdahu0s+tc77w0W7MYxnkvbKuLvcpshFfLmrSvHWxk1KS41Lc/
/eS41QXZBGRmU1l30htrNoFtombfIlncdGgX9+jj1A8O8QpXKZyHK9ucx8/vv9HTh4yJ/WJgCZ2D
+Jz1DFWnwkpgo3b7Js8bZ6/EEp5vYW4hTMuk1O69SY4jIkayVL1Py7m9JOX6C3s5XmlYNnGH0Dmj
asueevyagwgfNVIyF/1xjzNR3HXZgF6nHdtNHhFZ7Y2QtWN/GMr5EwZlteXJaq+kGxXvgdBNVWUK
XFUrpAcaAeP3qM/byjOtLLzrhtQwMSOU4TbVit12nzrHaRuvFpbI3W6J/PS60a4fRhKb5A3JAfKf
aZq3qj8qTdK6RKNBmUrjfoyWExRRh70VGTuza/UabVSFQ2TSN+SDSq055FeKOmjQsxWBHS8/By8B
OjHc6kLpOsmTpSRRvJmSiWsucCyj49sZn4RcoJzXBynDciTI4GXVQ2i+QHcpLb/Pi6Tx00TPZZq2
iUYJAEtu07Q9dkWplYpPGeZ25jZuJOUPaeyBxDty3GRvsDBIdNMwodGrzaLa0ZKzv8k5E3fLqwhM
X1aD5DO1TRxAj5E4sHVTNqsgkBKFHa4LmHBDrcc4oLaLdmvMcvEpasnB2k92I6fbLMNK3lZTgMfM
Ci1nUwfYW4DcNlLlmsJ2YCGZSfNq6oUcbbJUFx96Ox0ICJktrKdN6PM3Q453pIrRbOn1VPr9BiNc
Hs4iDyMkPBDqc5hoyheKQ6xIiaHtHxSwUq60dchKR67/KOQATJR2btx56pjV2GnVTVbvDB7ktnRa
dDc9BrXkEDrAkH4i68m9Gney/FXSFdyhlWqe2aIrc4x2gciSBF9rKezcODVoN0KvaVvXmTjMu2VP
btPOyUUWYUvTlI/NpAPPJr08vJj8I3eFZBTfJ7nvXyerNL6qdFexTofXq7ywuZZXGHiOKAraPCq9
pqtFQwy6UEbkKhopwtHAdnuX0YRbCnvRoAeFOjzAbpG6jwlMfpTochgLX0+G0vaxldYHn/03epzD
ZNI9Z8hxtq6Inko9J7C13gUsb2D7WEJMriYE2GylOEXupsHQ/NDtYL4j44TCXkM0kbhCVgd1U7Lc
hrzPtv6m1YhtmSIGxR+1hmupafUlSKriwdIR1XpJr1WyW0Sy+WyY4Sdw9vkzh9jgKlJ4VG5vWGGB
TbBWV+409Tpgt8TMvTJmEqP4FOoaBqkeSkgWEkQLBP0JGDx0iYkVHGQCHSY1MDno1DM0KTwWiFSs
sPv1p4z1yVXsMLkWfSgyNzLrbnHOKpvNxMnvy9gUg+k2TaHdFrHaPCeZY3yGdoLJVkqUk+YqEcUs
xnaSRK0e1bbjC5TW5FhIKmcsW62zP/Rcy28iuS9R+tN3dku2p4fMcsrSbS1eO+O3kgGL2Shiv6tH
ax+BnLY7To/p04jo9oeMfx/M8nqIfEIO++ceL6VsPwV0UjdmO6V+U4tIhnEooefIlCB71Zyxzx7H
Ki8+GVOavE5DEWruZIrC2WeA1NdjrAQPlhSwLHdhTIZiq4jhe53jT8EHnEvf1biPdrY9Soio4U7f
SXY4ENVrhJO9G8iUoW0okrm9JT4k1IDANBl/0VJPJ9/qptah7Z93mAElmoUdLEFRg6vU0oQK2hnD
G1HZxJep4XwlB9JTknRPpd2NJIQJgxq3mLFXgK7RDB/kZJn3JnOq86Ko7CUyHuxA80ItcO6gGLTP
qpwEg+9UhbqVYsd60bNoup/M0WCGah0Z3xVGE/cmGravQeAEqjuNQ3RAH2Prd9Ecs8An4/ClG5Et
+JFNF8RvVWfipcwhJJ5pUvhsEAD19i3B4PLf9dwvkQb+n1SAI/rAu9SC/y9JAzKoOzjU/3SrF2LC
EWngdmnx/+OxJ6S0AVf4i4vwF+Hg79/9mzggy78TjmZQw3OGX3iIv/3jL+KAY/2+yNHhzEO7+ok1
oP9O9QFFHzQMPi12O5zU/ps1IP+OrwJ1AeZ+S/45TWfnV2gDK0rw4owErLDESy+BgfRZV3CVNjuT
YZRWsMUfgXy1LrT3hYZB41BblLMYnG5yrYdnavT2/ZROEehtm2y1xkn9KbaV15+e4Jl+/3GRuVyN
Qb2nLiQ02qKchY+LnzCJbeJplWBrK2H4Efuz8mvVVtFtQEbiqzZ23S8de/4abzEY4YxAmxlrvuPx
GsuoQ71qgy1t7H5fIoPeDnXyN7fm/whBn46y3PVPEPRA9WL2fRNsKyfK7205U11LT+Uv7z+74yMP
PQ30MzbpIfzXkuthrc4HE05edHCNcdsmbOBxWz2bmriU4XpuEOYeHHKmClX56hzcSGFVJkYqtsAz
9R857ZMn/qdL+s31NOBWwN0WIxH+D3hz9VoUKWvLMpLG7YSQ0BWzuKUB8hrk859WJF8AlMwFnvrf
gvvtuS1OQJw1ELUALq5uSZl0QnajcNziNB0OmxL0VvLSPCnnW6H2+uxyllWpcyZa+X5Vtfhth3ki
a5vSmWX6w7QsbuIsbQpXYPyU7stJUz+HQ4RNellkceQHkrS4RIkye+aTZrsJhr4vbkPNIcCYOF8c
UOXqc9WT8eRhzVoTpFDQdvLY06ec3cPQ840o5+xFF3r4dTST8iEtmmDaCMTTT7GANrOhjyJ/0Nh6
DF+hjRy45RTlndtoBk7mo5HchilmSh0Nfaxmo9Zv7VpN9+kQiWovVZHz5ISjUtwEXWandyjkCnGd
sP0UfhvZ/GuoBiLTx3Nk9I20GElGkpGU3prhQIpxkRY5zkFp3XwHDao0N8bnk8Z9OCUPSwx269VJ
1l6AZpcpsH5rJMos1i+slVgFHX9TYTv1ZWbpBLrbOj5T7HZeH+uOR99E3fzqhwVNAeiH5iiAFiY6
x0Oh1paUOq7HrVMWYjdNg+rXxkWuy6o7ucxDVE4A6ixEOP1z7j0eRi31JKx6bdi2VvIN7Yt4Vcc2
3+KdzSmQbMVD2E/loe3K2ZNUod4VMqmLFwCN06dKQi1KTJ4obVJwteNrGC2NblJVD9tMxORNJU6P
gtcCQTaDS0HMpyvJQlSjW68sgC7mzsdDpUg+87wthq2p95xU8AP259CZ/Pff3ZkbwvKFjhzULQ3j
htU00bVGKhLq6y1JDgRGGLP6MM+JhnN0fQkgOT8UmzUrI1TSNV4hS2nbhVXLUChUHvBv5rA59MgA
pfGSU9jZoYg8Y8FixTrRsgK8jlIVVwPR6nG7K80pf66w0eN7VPL0wpQ4hmHepiUKOKoR8Dq8B9db
pCwSO3CMnrEcZxNjkNun9iOmRndGpJYAIRh7/Pore1uHoQqwUKz1wDN2fhMZPgxYyqHPTpBtClkX
VwXY7C/PDtIUaTciCmFHI1LmeA7WsQ4gDlCx7aKF8p4tuRBGZG3ySszb9+9qRfpdniMWL4js2GUW
ZHwd+eY0BGJUtVC3cjuTFiWZATbT8Iws+v3akjuOshV7M3ZdOjaJOsW3UtA3tQtvYnxgY3GgO8Hl
GdyKWM8Le+DpfOLaDOpTWBF0Ldff4tzpOv6vXJsG24pOFpIZ1566bh9Z4yXewel3T1AfDpJL72ax
O199kabIwm4sZG1rdTZez1qmkKkWXYrLOXdH3AuNeJhlkOxWoxRtloHdVOoWP6wnp88aPO4oJWhc
XqKQn7sf5y/zJYWife1TNxldVDUk62yhcfcfM7M1vDCzf41u+zZ7YA9zSICztRBRV4UxDB08EAC2
tuyEBdJgQ92xg6j370/Sk3uh6qJJvjSu31pEq1FSHDwJ+8jVLe6XYoPGFqgjsAfvV0eh3oJ7Au+e
zRhFxPFXh8oviK3WmbeFMG2v00fhjejILvThVy1THhn9GgpiZB50vZYm3vEwWac4UVLIYtu2aTcQ
a9ERDmPKnYyGJk+GdA8pux3BLGOqu0IqlB0ZNuFw26k69N4KXyuoKiBMgcfZbKz9OoVLc2FVOFlc
uUaoauxNiwgCY7LjaxwqzKyGNOMa9fxAg9/wR8O8yRzl44gMxTed9pLbAhw1/s2jyokxYUHApkbv
g+hhmQQ/nUbIsjHjZFbn7UwvNyXhRxGRm6cOWeZWJymmxzGLtrpoO2AdEVNpbjJZaaNdGKX6Q8Hp
DJlep2IgX7SV+hDmKqF2kRy0eHiijk08Owgk3J4KQHLPSUbAZSckR92VImvKiYDMVbc0EHT7gUgr
EI5GicEkTWW6i3GubH0D7t5jWIqi9VDaD4OX232DJ4Q07INOxQEhMSO4q0Sel56Mgv8ppZT4hL1g
mfpKQjamLLfWa5PFk4P/TD/cxn0hyy5hro3kVkZVTbAIwmQ7TJ0VX2EMaGxMWJuGD4Y5EOWkFtUn
fgzSbagUCCZnYibIwqkCUXsicKIne2rV1FVpEHNT4OufcSYQgyeytpb9Qorzr7LAqmFbVK0VER1o
Ac5UlooWVZVMZE7ZoIepr1aUz7vckqLQt5LWeazkPJ58aMjlk24OKGGkICs0F6GQ89w2kv1kxzKI
ZNsOxq6fjTn3Jn2aDBfKaFl4uRIXnzKMpUvXmPE22dSmmFI3VnN1oaFEub7B7UQqeG6ciD2rFfKf
ZWAophuUpfJnoyXyH5jRF4Rilg5bfUkIZeFXqqjYg/RimvbSNAqFKhtm5VYP6qS50TIoThsbA5VP
QpcqbA16JcAhIwpIkynttqiJminM2OfoTQh605vTR1KqLWsr8YuPQ0o5vPjGWAktulH7L/bOZLtt
JEvDr9Kn98iDedgCIClSs2VLdm5w5CExT4HA+PT9wc7sMimV2OpVL3pTm0o5CCAQuPf+U8/Yetay
bT3J4VE0mqg30usTO9AWZRC+GnnkL0ZLkyT+0NVdvh0znT1Wg0UtN5oWK3v0XOSvpTmcV7S4pbre
8ULe10Paln6zVEK5bREV06rp/dBdZmpkVbdeFHXNQRu88rF1xZCFSW6P6U6bKyW+bru63ZIGkOcf
2WDOFExWp5WXc6dmyyX+MtMdxs9QWzHqcFJoxeuPq/N8bIIUrdaNOgzedIGsrhY+gw2vD0bAHT0s
rQJjJr0eyBnwNGXZzaOtyWCalTneoHckkRRURs48vyxtwgYzpQeOBqx3Z1PYt0Uc619avequHbe2
S7+dmwpnYqCi3Kdd6kJppd7jXDr1FFpdhXu8rWTqEMSjVz8BWeLajtiz/qYuDIEZDpnXlvDMbyUz
URzURie+SUTK6Z/SNjbhDLc27IzeIHC6TUbsDwxV+aoqvCRB5wzt1h0jb9zoZLG1AXEzttgJUBDa
JE2V9rWqj8PnVcpQoLdNMSgeG2HWIfTWDJdmjVj3wKkHJw6zqfCG0CxlVAaKkk9fZIalVYAV64yV
k9WVIlTaavkqvSJLfV5/U9k0Zms+xENvAXVFsxbgnR5NgR7RwOxQvehFGGs22kmrJGWFvCj8mX1m
zuSUEV1gBbCkKQuyeAbbsBOjeEimXJPEFWutF+JKYF4upV2QZZf3Om47TdFH4dzoEofAUvE+ZkLk
zoaMqC7a2/FUZRcx+Vg8xwSHik2sDPHgq2lBCMfk2mocFOTTquHIUfBJaXOZ3fUDPQugFHqxsCwz
qd2TaTnGoV7xwIKkKfI7iE6cHE5bFV9h4aSGb43xWLDhRnHPiED5vnT8UxuEGnoSDPM0blNHNtle
9EWN6afriRvZLARke8USuWFE6qqBtXtkP3ZTa2uXESWZYLwdVWYonbHcaJiilgdPQ7a9T53RSG5m
K9OmLU9E2c+4D+H34djpnjBCHay5lpPtZ0anPeKGbd0CQ+K04uVl/bFoMRb0+T7HxHh5YrrOgEPv
U29JDqaRA40Vcd3bgWvMUc/bEdlELE59a+PAygWExM1pn72E9JgzBcjJ0BO8HpAJyiusubXgpbE/
/gRW00Bil6Yhp3NqZSPK1r1W9AYmdz8M957s9dvSMj849mReWH2TBz3y36Cu+vYKUNM6Y/5zXKr+
+jEuxTcPGqoZH/njHzNW0TibC5pp4WlY1E4DwCFqhqu0Xs7Fdr++FGNChgxwBk/t1I04S+AVzMN2
lMZmMozuttbk8KFfztH1jgvJX9fE+JrCZtW1wS4/vqa4s00z71yuSaYO1V0m/XLGfO/tQvIUrF8f
4y/WCmOE1dfyeJWkMfTcIwly20kzvown0wJEMXC0heISFFh93ZNrMV1KtX94e+HjEurn5cFWZXL+
03Kd1u54YWzXlkyfknEba4ays+SQtNBLGnWn2pMIs6xVLyKpImUG6g9tvIpu3l7/leeIWxKaChzA
mH+dquJar6eCW1hfUrf6Kp6aAVai84FAyHORFSdl9N/XCl+fOhrePpZ6x9faKKbAw65hFlsJfRtF
urdTKgKBDDPuQoZTi99ry3zJ7JOkOYo+ZgSlEs6uXAmKhI71ZdptqyV3Pr59D17ZYvRDa1jWipGg
IDr+XUkuFmMcMu6BrDRsU3BLH4bqnM7tZ+v7r2r51+X/bLtASAAKPCCh36tljVogd6t+3Jq4fR6q
KFdvTBXUGvAwCoFQycIsOntHVSBRWSHnjT09o1MX8sPb13s8E//7h6wdE9U7XjmnPfoE9t2R+Dlu
HSgiCKJd5bItco0vYiQRLSvv1YCvo56V+w0sgjUX3cLxhccC0eg4p0ynUyKAvRiDvl7DiaD3qnMD
1pfbGXHASgqjBkBbeUp/RM+mKRPWM1vHGpdbo8i9TyWhAZsMgkb/runSehvXtTA7wyoTAsVPNOC3
7gerljlLJnfcZiZs2bZTnNE38pTpqiOHT28/Mn3dHMebh8UA1sBjXKZTLyRusle1GER3q3S9gXWU
UarfNH3lDXpJ0hCS3MRKs1VEa1z2ztQnEAma+qNhzZ5xgUFKTK2Ru/adukQeCaPEEwRWpVltECve
0gRJUeJ8Bu5eWjt3KErcyiZVexDVbMe3k9cW9hkK2MtXDoiDIQfGAAwjwJmOtwSuknZjzM64jawi
v3eLAt96zxvP+CG9uspqqMPwj91+ugpqEUVIj1WWquwPhl3peI97Mnz72by6CkR1dsCatH0aJp07
8WBbSzZtl9n7qzL7IoB7ey4u5aeO82QDMFjE1wJcjhbnFF0VfIkawIN56408Wr9NbHMzuC00CrOp
F8nkr2O67zSdPfljjhMq/0mVF74JlafcFQ2CqZ2d8TXdob9oroe8lG1QCKsOlCUxQpRT+Ph79njl
CTdx/B6Akb1lEoFFb1hCyZsHIj7Y5l36IW7hHflxQzV+zSSSPvntO/rKW4zSnvwq9jxj1VNB0bAs
eiIaY9oSUfM0L5A7ELh+ydD/nVnolUe3eo979k8JMky9421ojGpTwNmZ2O5orzGxwsk9whv07ct5
ed46yJWwwECBxxDl9HJGrZ3sLhfzdlzfO7HUB0ctLwGaFt+Sxpka8HgO9PNU4rxdGYdYYNH/nlxS
XE5mMzf2vOWNLrHbdPXK70hp2ljWnF3mOimpeTekX35e4v/TN/4T/Nti2/x78sYTzg3/cflcpOVz
JZ+r3+kbf//tP64PkDGIjqJmXp8Mo7p/yBvMFv9YbQkZnHOCIDplvb9dH/Q/1ncenYZJejhKDJfH
+Q9/w/hjZT5zgCKFw7F8Ne99h+vD8avAjJPkV/4ZvpsWdBBcgo5fhZFBfQ0lL74gF2rYLLOrfSg8
EX387dbc/TqvfpfQHb/Z6yoImfhAM7CH+gtD43gVVR3LxLAGe9fFk7goke4yynFaYJLsXL7AcUn/
91IUtDDsYTLYp8cypjzOmMyetetc2exWSM/1Xa+ALtZ1bbCkvbNdf0wZoMzXPr99mS9vpm0AGHCl
KMSwXjppWky9XjBMT23kM1r0PZ1MiOO6bL+/exXmvDw0loLXfMq0d1RsyIiXs3Yowm0YoG45fJJZ
Y57LLHzloaGlW5MeV7NbIoqPH1rhlVnSoj3fVV2ibmqFyYqYmb+mjIU3b1/S8VIuXQgYCwRtYAmO
S8CD46USd6EPGzVnJ93aeXJ7LwrT1vK2qMuj3fuXovylHF2rgxeR3OrQwbDyancXizH6qkflnAUL
JLtDLhfsGd+7GDbLK3yEqBPS1emp7DZ4mjGR83YVDd9usBX3W6mTdZxIKrkzax1vvvUeshYGMkCe
lMAvWkphx4rdQZzYQUhuKAwwRXioW+9cRfL6MvhsUpIYPLOTA6Np3CwuHMPblYR+QbfNYHHG0bm3
+OWG4GLAcDngXP73lDGRKl6FiXDkoXf8CbdM/Uz+uOyZY7biXLzwK5fE6QxngX2+qoDWH/NbRc9s
IUUQ63JJCfxaPtt9UOt5Hr69F44Ppp/PB17V6h6KPmtNDTteBVdz0KY6jnbMXzGVaAjqQtLZDc8R
WUfX46THt2XamNB8s2p4Z91Nl8+SEKJIp2XEd8pQGpyxIzit83YNkWQwwqG5xFrtnCl4ThDq9RI5
lHhiaKmYEOmny7QOMEvrVNGuotZQQseBGh7Q82mLP+BGl21VM0IB0ZhGTEJuNIKPpcvQlKFU0vy7
UkZY1DL2kZW/ODqE4rcfwMs9hfCBxo1zhlfghWremjFU1LLJ26mTEoVN2psBdqXYHGfNuVypEyrO
rzsBDQZbMOZXQLonb0llkYGnoAlFxd2pcpPrcg4q2fSOH2l1tTVSz4BVLbu7HnvnoM4K9XYyatjq
775kiIn8DOwzkAWefpAiYQGNqHW0s1BxBIVrVruyKUngs+f3KrN49iskjx0A95ionRM2TsdxijeC
quz4CLYXiE2/jGrX+uWYnXNXXnmtR00xpD5cLRhbUUzx/T4V7Cl60hEYL5QdsvK8DZNW1eY7l5zE
2K/t5WuUVOaeEXeC3zWyFSDEaqny3aKbkcKEZ0JXlcULuvpxyVr+IlMR4Xp95TNvlJY/FJb5I7ej
og7qxG6aQJWRbJ61ocvysJALc36zA9Dw09KwsRNPGhy93/nYIK3wvYDEBVjvwWU9Piq0MSYkPo7L
C8Mdn5oq68K4Kr/AkZvOvLEvTr7Vh0plkdVRg4y3k5Mvqgc65bypLiYvT0Kn7mxEgkZ95uR7eS6s
y1AScfBgWQEicnw9YtaWqraW6sIYdURfUNP6r56FcihrSQYeatFemFPcPFtx2W8E/fClVsR2IMFr
Jh9lZvu8cBnn5HD4k5xuJH6XR90LdZOj2T49+GNy88a6ycQFt7doLmZmv55vxVP8VVvKxbnC7BYY
zga8ZijJWKHzCSSaP2p6n220Ql9yv2sHA6t9xen9Flv/GFiuFtlm1VUQtdwVFeqoPiPAohqb6YfI
0aX7k9nnRrCSkQCtYy19qLWoLbeFWah466rLZiqr7qsyYTQAAOXOQINp2ys718ozNQAuJiNOz02+
voY0lzs1gr64zGZzQbSxsUsXi6w1vXQNSfgj5phXmhah8ikjc/xRJWCO4HjuFC5lNFchhkdZFmqy
0Vrftkf3XuktvkvdMOH8DrOgnEgxHlYAXO9xS57L3vArhh0XdYFzMVIOiK9hMYjW5X8t0PEkdYyn
Mi6iyK+MFbl3hGokmygGJwja2J32g+kQx+6AcPqJabc6+qPaQ/mlCBWt5WIi/1Iq+a0AcY6gN5lL
stHSAikWPzvd4s8jlVvSpVFwoe8xg6qW/fUCJVpBJ6W1li9zPev8gajUAe7XKJ5nmS3urhNi5nwg
JW8MB+S9X/sscZotpSAeV5nbgW1aTaajlMPOZvKrVBOab8Q9GI+pdGq9FZjLPI59ZtUYDdsz8gqT
2m7j2COsstKYHEyuGlJsMG0ygfWpbODhthV89U02ldanMlnymwz88KEYMnmlajmnBx5US7Kd0NOC
SPMX2FY0w/xXXMWaQA4kmjsn1mbXX7ylZ4qlZMTtuZGCOX89MXGa1Ub3roa+W/40tGQuQE0z90sr
nGm+GLVxuUvUUnF3RmXZNwv/PChiVYgvQjYWnNrJbp3N0GMpGo6laeXBxHhR3WbawqAa/DAuN326
1J/a0WRYqBaTw7dS0aug6ivtOzZT/UOetJbmYwFafpyEXiw3Jg6wty2aZFgBuN3WW7sUSQVUivO/
7zolekcBEokZ26K5oSsFKiAzWgkkUddqpCnhhmX4jl1kl4muYkXGl8ZMb4BuzUOm9pUZ2HkywWzQ
0hrXwA6oGda0Nj1ivWn+yFJRPHo6pSN3Hr/dytJl5Ft6m+VwqqznIsv5xiJYkF+MDG0+r6VZ/JXU
/Fch9u06A6HMK/zIm2+iybN3uVWW36q6QFeXKmWJRilzDXwaNA28xGmjOtDVLntwOwSPQZuK7EvT
JwmMVGgfT141pm5YamQwIiNUVMJuvJitOWsdKL5cbJzZ+qne6XZvjrukq2EoKBzTXxgpk62oYBgA
TbozYHe0sTZdTypjpGJevCCbk3Hwe/ycLpTayyMEkGuQheuIQXKwCHRUfWwh4ltUpdM2aVRPrl9P
mXrfmnbzvYtny/PjHIlSUPCJdTbK7Hb3otbHJ9lVFoowXCke9KXNW56WUjTUKrFxncUIPTde20Hr
IFvDgHSbz+2DKh1tDkp0TU81mA6ipwrlGVWmE1Y5kUIGurVviRe1SA2HrCk2QHHJjRhlzCmUiOQD
MkKJ3qAZrT1nItiyljq8yN2IOms7OubwYPSxKIGm+Zr7sGsS058Lyas2ZcYyf0BpW24QtkZFWLiV
9QDdukOPKjqjCKZxtj6knTJWoTOOnbsVs5xURqXDro8K47OyrCwFwHkkCBwC9WMx2zLfuEqkfa/n
2hUBjcMAeSdaImwRe9xeL0U3l89KOvIbmS94bTCTFaJuZqczuOXKND/zHmHnnNicVpvJNnI85oy5
gjQy6bA7cpyaYG4mMwULOjyoQSZ1Sx5ojHUPyIch3QjymQgXRQNQBQUZfx8g3nNcj2NrXLeJxlkM
kbB1fbr3VYzLkVxie6tYeOs4Vrdbem7eJucwFUylwdOCSZHzXxCDrE8iHpXP5TiXd5Xp4WdeDQOM
CuHZC8mnpIzWwTDk7Y9UVfsfEC9sj1epMx4bYlKLg6pWqr5LhqG5Mjq0kigCYuJBF2EOlQ/+nkq/
aKrywaBy+lTmVffFinQoSIZWDPdRVLXV1ukX56FoR+0JZn7q+MPIJNsXU+uSNVXOygOZ7suHoZoc
xKIix9lJm1R0sXpiTArHrWNc9R4JPIWe9T8Ie0EvXA9LJUMbfW0VCNHOLXIDG5GrWSztIe+rsb9N
2GjPcnHgJhX5h0wl7Sq0plLXLpa6GMtwGBXIWZUZ921gDLb+HSF3RJcglvGLvQ7EbJifta/MdsPb
vOhpTaeyWKj6Oq3Vd8Ib8+4mKiLWjm2l1ncEB5j3HBRRGZoJcV8QHFyZ7qYUxpg5lKm9wevPmwOD
DMX+wo37Od5Kg+L5UKVdlAaLbIXcNK1hKuxqMQ67KGlRF0bz5Li7xPQEwQuqqjy0xM4s21hPF14k
ZnfhVMZI+kEuxjZQVNLiimyUzRNGYITx2I1ndjvkGdDknFjal2OaR9XWtBShbCp3MkUwTDWvD98N
2WyXAkllMBpFOYWJ0XhPwlpsSu7Oykj7kiRPhLAByJGPUPU0gW7Vqn1JXIIqdxYl0Gpl0JQZ/j6t
+oisZB7hKlnqj1rVU8hnNZbdV5gcJS6hzFk7+1GiZ99IrE6+Tnkke3/Ui0GH5yvGq45oDwe1pyHt
MKkipeJYc9yPS93JH8mQC7mLMWeyfCJKMnVjweq7G81RRe3eogh+AA7RL/uo1e/gKiBwHzQhLwx4
ONWmdGWbHwYzMr4tWJBNsP8W8pPczIaSw5+5V5glL1CfkKxo15ZErYp3PTnjfpYtec5LI/NLzOzL
5m7RNL40ptBaGapNXV6MbcQp0Qq0cb7S9yrYttXd9EbaUB/xo/dxki50wfD/Gr+JZHTtiq7sQzH2
w5NqYxhy8OJYWXA/FMMjuyP+gWdkBdvGseanKe/z5wwOIkaF7lK2FHJVdy8LQSzn6igktm0/ljw/
EEtnA05LDVFSiNs3UW2aH6sE91cKlcz9JqtJpnthNBDm0cQDacYTM8ZAgc3m7WP6IuxZ2wG+PoFk
1WelXmpOsDrJvs2kYrkhI0Kt29tLVO5HRStcvzcizdzEho04VVggvoEzZJa9NZbY7gOhjbrqO1nd
xQFyefg5zG35cixt2giYfCLtfOnOTh/0c9NUIQab1vg1Ngolwy6AW7ox6airjToYaYoo14tdsm2q
/FNbF3CAqF2q5ExP9gLHR2cJXIS+ZuW+wA0+QVjo8vEvSNX6ooqS+QDnFUG3Y88yMJqk2MxVXn6C
hlPeO/nS7E0ZTZuoKYqrLPPcX13b/6MuOG0zl1lB8H+Puzys5tf/8dAXz0hg099hl//+47+BF137
Ays4fD+wo11NXJhI8Cc/jbiRza5wBBMaZsD41vw38KLwN1CamRDBkkDGQBf+L+TF+YPJA6a7DB6A
sdHpaO9BXk6nGOA3qw8KA2+wF4YmJwOThPzHRaVJQcc+k+EVwYRDJ1MFyhCd0zKcIpEsxSxV4xPF
JJpoxZOlrFnYOXjCvJ+nWv9rmko7KPva/ty7WnuZxs1w/9sTeQXuOe2rV2gKuIuTnEA6PmAn84vY
EEBkSr/sezMdN6pXMQs0y/dSxNZVVh460iLYRQTAHU8VEsrDVFPXs1FHr99E+fyZEQ8jtrcv5hRZ
ZRlUS0QL4czOwzpVtFkTxgekuqv7aCTvMZNeu++LCSC8xIXSz5KswG03jZcfby/7YnusFwY6iGU4
AxrGJsdXh0q2aaJ5NPcluoOwdpJvcvHswKRjOHOBL54W83XUskBKq4DphRCSPmNqVG1QsSlTlztz
SfND7nXnHKtfuR6mLYB/NlgjfGBe8t+H7LkTpVjHKToM/MTcNl1r7r3FrbBrWMz927fulQtCgULk
CeIQBEnOybgJx4LKYXJk7BlI8SEcaJu0KT837X55QeQC/HTgBrtl7nmyyQt7GOypt208NMsuHHr3
OSns6yUz3+1PRknLywusiNs3qMv6Q36HJ4xhMWonc/Z8Y//CppP6ETv47dv37KdS7Xeiyapzgc2K
rS073eDcPF6F1CGowsgN9plOjz7Oa7KxMVqHCeHuRSWj+tJolOqyjSz5MMEbC+2EsZ2j4PMlIJRv
dUIOr0QkljshUmjruNNcJlGlbDNX9Jskc51woJjdvP2zXz5qti576icHFzrqyb0ZkZvkQgzGfhIk
vSRO/wETlnMZky8XwS6LMSzRRSsF5xTWiAgQM+dGRvuqsdtATMiZlVbtzwCTr6wCh5cXnZm2t85J
jx+AqhlJaUFk3puzVYWDhSIjRg965mUHAuffOX7QiAf5Kq4Ni2WT3X2yjt41LSkp0b6Qk8MUPBsc
7aIbtORr1kzyMW4n83tl1qqyHaHDm5uOBAF7x0RvYnKC6oaMu7jVLoYYMh4kpEXBWn6O0Ed1iG/R
y1h0hAFKVldu0lI2nu8OFMEhaotabnGISZPr1CzLH2nm2o82ETVqQKlsWnt7jKYrvS+yamPUdvGn
M9OyUI3yrUFFVLg2RhJJ/7Fs25Ru0MyLH/mitgn8NXX+UY8dc/14zdjbmHJprK3lFEND0Q0yi1qo
HOs9wkhmJdIYWibrjB8u8XMd553Q0+kJKL38ggXUAlORkcsFnr8CYLisxRdVCgtzm6b0mIAKRB0A
BTx+5rhN9z2zBnE9VXGSBCaDRmZchZ3Jez4nCd2bWQ4IJ2SmXKvkic+7vtCn5cLO4uog8ZKmhFZz
9dbQkTP6Wt92dECeI+MAexnKWFNRxsd0FGRfaza8/PtIxpbYwEiLfixFbe5dUdKFOCKi02NyhyMA
TtBWQPuZLht9brzQXSVTgbnMQjx0hguHP20sLIwQU9h/LpUz0x9B6rowpsZNglUgIRAjaMIJI2NJ
LlQjn+LQ40KxLLWT5FNUtt1fdtw3BCkkXnaPD9akhzWpo3GgCxl/ypRe5ghtrOHZY+d4qJGyMmMQ
W6bbnJ70mklM+kUrai/zc6dj3GpF0SeaTFrhFNEgliF6NGw1LWUYSNgi/1ildv0QoCttuqAuxXJb
6ksT33bpyMbQK9P5UZmJRUpdFSFkmS1mY9tMaZwUByHBWNhRDOWu6Tr9PqWz/2iqbf2s1sZw28ky
ugIQVp6bDjOhIFed6ZYYoaXaeKkSfXNxTTS2rtdkUdD0ao+cq82I4HAJ0rEDxXaV7KApNFGbqWjc
57Hr6uhimBYEIkMZ4diTpy3Jm8hJ6jZwhKF/SNpZH+lmcvl1nAcIsUqez9amxuKK+GsR57hkeblm
4KUiWEhn/vNRz/Q8DjstbkYQCibkzKNBsrdskekRIFWzQnzbjHYT46X3UeLgg+dV2TS3/SycJHCn
1HsaOtwE2aC5Iphh1v1dVbrJ16QbSpN9Z2YmcqpIs/8cdQkzuSMogzfMEs6HfjCn4VDkLnnVutUL
JZw6y34CQ0w+NfxGZhNqM8W+xTS9DJlcMGKWObn1QUHqV+snGWJR/OUQxOVxp0m/tYxsjWqwle9I
8bo+MJbI+ubNRv9xjJnZ+4SCDyo/EoMj/uMURwivauVm1ssedKEocEli5qpGm85NZInOWeP1GJuW
NNe2T5/SWkoyMJlbWeE0tlhOK7GXu9scodRfbmv0WSAcbTIgSHbJ0xjHKno4YRsBUifvXlpDXYSY
u7u3Bb5ZxbaDBPzY2UpbwwtIISFARpeuH2UmLmFUcFMaYLVvTgFqkXWEP3nYpwgAt8wfFKZ824yw
UJN3LF2U0K14Pz9h8j0UF9AEsLht3fWVJLMruumbFhlSJcqHZp7b746hOEXACH/qWS1zf4CtRn/m
TT58c90cZCRWTERO8J/I2wTIvMbmyS39gqw3lYzt1TsAEKDeDzix1LtCArgEhaPGIuwnFOskdjAr
v/Py1APmjEddCSI4ajCZFablvnBVq9wr6qiIO1XrcZ+zKN2yUNpTVPhzRdtyRaYY7hyDOTrXs2VL
FJyQIJkDt6l642iKle+IoECKkzH144njnef5TH1ylbWdviE/pEmvGatOnV/2IwnLpFLGz02PW320
JOwBD3gVKfniJeFoLIq3yqvcC9EqiPJG0invO6u1z9k9vPgKQ7nDNwkauU6PAnJ+/HUU2BnBazDt
/aJkznW8OOVBLub4Tj4GbSStJF9f/JhtCEIntSNAGUPmunf2hkTw4K9slz9VntrFO6sjulWdop7y
cSUYnjrXp4Kdklamu8f/Mt4ofcFYL8qVMyXFK7dsdWQFkV+p3TB4j29ZVnnSXpI8Wr0uHT8vW2/T
01n/Gnr8Dy2QGL1Qg602rHjw08DSMR+vUlcIKRjSuzi8z8l3q1zcWzWP8zPhm69dCxIyyG74vtKU
n1TBbZZgAGnl7r5OZnnt8JkCetejM4//Reuw2q9i5eXRoID/ndLCAJmQjaWdu1drcBxNbbXrJi0w
SZly/cxte0Eg576xjSE7q5BPWfJkq9lV1ihxaeJEiq163F0lqwNXCw9FAjMwAMBm8FukA9dUsT9k
dch9CQYTlCzKFr+bHxKnC5X5cXY/qnMXlMm1VNptaZcfE+UJCe+FA9YTtsb0p1C+v717XxSqVMEY
a6zSEU5D77SNMyxmeZVgX3nkBwSjIqmKGZ7jxvjJLYb5TPn94plgS0iDj/mVxYsCkfp4fxXN0AFr
imgPTvWsqcW4rWAzrFGh59L7XuwxVqKJYGSxss30U26bHTOp0Fs3Wt/KDrFq+cMCoTjz3F9ZhD5u
bRw5rOgnTqaVjo0LlUgV5JbYXAYLVYkPY7/9X6zyc2sR+gL19bQz6jNSgJ1ijg9xNRVfM+yF6BeL
c+zQ166FgSv0SV5IyI3rhOa3BjjDnb2vOyc+qHnBpq3qyNsnnd2+961co4bp8HSLxEpezJNl4ln0
XT6XyUEBYLy3FsPYw5mZDu6Q6uHbW/uVzQZHjnHSOk1e5VEnVySLfqkoYA4FgGKANqXZdp7MbiBS
N2f29c8v1lG/x2Wx0RCpQgEkDujkeBZGl0aJ1hSHMatxOe2p5gc/qQAVA1o6edepins164tQMXS1
GevHsjTda+Qt5cNAIMAzTUfRhp5RFcOWrDjZbi10v9JfsQ7hT4U0EEcnc+N8jhwbmtkIoacKTacf
nY10h+SvyGyo/Pi/aDzspcK8jr5dMXYDrtqhARSbnBFDrJv75JK5Xl5nmtyVFXty5hF2RBXYaJia
plqxy7F33U/ApRhLqI1z73Xucj12Y6Nu8rEv75KmO6fIfbljoW5h7o8ZCj+AD+Px87XNckHXHRcH
4Xb1oarL/A7L5XM0sZcH5Ppc+a5zNnK8n0Zj5bnpZU5tFoe+UOObelJQiEG8VEMQGIM4bHE2bPe1
61ptnNYtSzzJ6czarNwaJCkpD3G/KGXQx0MKDJeZ7z+9VutK+KqUFHgqrpqJ3994kaW6NFKnOlhd
Yh6cnEJpStozGti1YjjeJTgIkQqocROx+LJOXkLhtQ6x630NqJ1IkGwtVx5LSahbYffTI3L9/r4m
T/7TYq5GLm8fAC9C2EkCocpAxWFCluSbejKSz3Ft7lNY+we3ns2bEcxjhE0BXztwnAVUHC9j+bVJ
BeV23UFJ25rjDFFJMt82ApNk6W2f9DEcDVe7SJJpJkcOMxw4IFPcf5gN7t67j3pSDSlVgCUALrAo
O34kWOV2SEhwNHc6RAcWwPDV6NJwvn1fXtlgfBxdrEkBZvDwXP//3476CT/qMrKtaN/GuXYtokr6
jMTKM0/+dBVeFgu6PPUFwl8YEidPHvHmMMMZqQ+yrLEs1/EP0tU5PlNLrnfk9/21vpIY1LGHf8Vy
GMfXQgBbzBwd2RdqkObLYhQVzCnZDZvJmgasl4UWzFlqf3nfHVy55ZR5SENoLCCZnZx9BOVGFelF
1QF/kSxEWU7ekl3VZ+7gC1G3Rxlure5xCM5WdcPJMrlTc2uZMBw4zzMUNp2Yn6veg/KGzn7MdmrU
DMW16yrKvdq25epwnSlXyjzDs+sys3jUNcXclnU1fDBHgSTu7btw+m6vP49ISGitzJTotE4+etLl
ZMcfrTvMfIRz0GJ1vBzGbk7D1BLqwtShtPMgbVv7Adi4l2deltPvO8u7K+GaWAfQqRdCIPxMXXPq
l/6AWljBuLlcmV0UR7mBIebbV3r6Efi5FFXROtNlw53WrXpUz65T2f2hsDR4Acw+24t2npKnuvGg
qnRe3m/fXvGVe4u+irRtDb8pjT12sq9xOlqWWBsOiUrkZ0B5tExMdJLlk6bE7fc8s1BoRLHZebxa
62Dr7eVfubcrL1rlzqLicc2TIwJ/KBsCuDMcMlcxserRmAWpUhrNNifl7lcl8S6o/U3n6SOP6n/r
ZP1/0p8apN3Wf7v3L/ypf0Htr2scV5Di55//o3IEHLcR+QFRkTvxM4v1H7Dd/APONzMTKgYGBKuE
/Z9sa+0PsHn6B2r61b+MhvtfYLv5B9g7nRKV+OqICVr/HrAdWvfJacyPYsPq4CH0kxggnJzGuixy
u/UIXMBYCN5am/Rq2W0qWKhDAd3GUODURVaHua1Py1a3YVOm9eekVxJjI+F3R0EvCbn0HXKL7YON
yjrjUw27wwcBAQMZxzr/Sxv6od57Cf7T2WBiCKeaFJp7dXasjxaSdyuMLUigoT2KUQnTArzvOuqr
ZAoUJqUE+I6m2YbzVDn/xd6ZLMeNZFn7XXqPNMzDFkAEGeKokVJuYKKUwjy4wzE+fX+AOqvEkJL8
Vf+mF52LyjKTpRCYHH7vPec7H51KQlIamG1h8ZtsKvRp1vJLNM4zybG+swzhoNJMHOagC4ZDW9ia
jdSyaxNgJpWVhHCG7SoaK0UqBzqDzbaQ5FX/Kpcc7yS1zLhe19rXI8MrxAYtExk8imADhMnZ1/y4
WGYyhe3aQcSuzA55HnNkhLpV66GkzjwtfZ1UiPKuW2c2jYe+CFzIaSvWzKPTNSOUJr0K7kRSLexY
UIGXsdIRj4XKG8R6CaC+eGsIDxdoTjSSDNtakI9lpkNKQUT8CGwfb/wAV7P5tLLZRhae+c631JgI
xGbtTY1XIAARY5Nok4yg/RPLjwBCtz2tjdWC4wSUiP4wmvgxtpBEr3Ex2SSKtb0vvsyIIO99t6Jh
nHV2H642EWxhvt0iIkyEj7ovddMPfEEqurCixpJkFWP6eRWIl8MG99YS0sDT2TZuUYqxzddNj5Ip
MGVExxfpeZnb0xotVdFOYZ8gcQ9rW6szSGTIbKPcaWhnDzM9aDtoi5GJzxZCN3X2er22qzNFJNO0
wBNtovguGgZGYzwTWTKElaON/WHWstGOenr/ZosUvbUnbPNmIhG4giMkc1qluncvauJCNhk5sKqR
jL/LypPZDe/x8FUGWQAMgrb1qxxl9DaJ4iFAF+7dKrJTrjEAMMCwaLNCFw36DpNCn6X0fkvh4m+o
22yIZ5jC+hsMNVoZI4aub4ehMNrYgpgmD2vXm91BVmXiR4wq4Hp5Q5490CpuHwo5zg+bvPeju0rh
ROwwpouqUsV0cLxBXm0sMofsEdb0NskAaAN0EJeFLxDmg6RbAJWBG7zzpkHmFzzbLWODwhTX04wQ
A552Xfn3VW9DzvYdSSUk+RZ3UA2I/rtwp7UZDiQcdGy4yY3pojnPzLeq8e0JyTmNkzAYOyuLkaI6
LgLxzEkOmW7g2oSIZiyxAAIXHPmcF2zZVznN1zLNhvmwBTZdsdOiof7Donv/fcf4z+ZpOp8YINlM
IRaiWYRz7WznPYs5aAH55Sfsdeqq7E3hHrNgkH/6iOVfNMX8tEy69IvZsW5bCkK2zr6uNkMb35J1
cVINXIk064uYcVd5qGX5UkVxvnPhvOiw4tuhEPLo7J61qLokUcpQU3HSapZbitnhnWEIpBRubn1I
Aj/5/etI6UorjKGkRZPvbN+i3IXNUToUJ1cO06Fap4kmp9vo16putBd24T9/bTg35Dvohvj44Yx7
ukfK5swNEvILT3KRaY9QtK0jPqf6u2zMnLe/+3wA/qSPxLO5w6zOvmyOP9CO7Wwc7llgvepNa71F
m66h7IWn+PyhfnJyMVDYfGmUgBsNjqHC0/MqzWUqeTCqkwRZ20VFYdW3TDdb+96sevKOcpEkMP7M
xLtnhqjR3uypGWOArWVxPZJ29mZQ0vBCI+lz/zc3hvw2fhIOaBddDlUXe5sfa8fVwg+RYtw6WQQ+
HHI3Gz4YqqgBtAKaPjx/Ic4rSI7lOERpcpOR1VHBPz0WDqUWZlfanLp1TI9zz7TRm3P3hZ32vpf9
sYTcDoPqB8ccdTetirNbm/ATXPCb9amdVs2LdXdY3pYEBhaMK3X4K8pT/rvaHu0ysrxeFyi1B7xe
hWc2j1viVXnh5WPeHQieU3nMl7iwQ7y2dRU3+I/yEN6D+96APggysgCCG+IFTK8V/nGIm5pmN0dF
XsH7XrQBUUQ+zpI40Vd1jzY8tT7LyjauaorcMqYdMFgXTLsWEZsqHUgZWmVHn0AwhLxcao0P/ISw
Xx6g1vBCLMzy4Jw12KvCfsTIBd2tcD8Zne+M18EKee1g8/t/+63cLufWMtupZxtw48cnhEFc3mDI
r0/wXIdDkybM9f3lPRVcf3r++fj5/d9iCHF6b2sbFtWz98TKfX3geqKGNlqyyb31E4HlnJlcHn7/
QKgSCSoEB7F1A5+eUs4039CxYJw0L0eFn+g+e9rZjjLHe8nUfN7PYI3RedY5L3QbLNxn79c8l3qX
NhX7W0xtN46uEPtU/YegU5j6SmkdKtv59vzZ/fyaMVXcPg6U8zRSzj8RuppAgtpWfcIsTnwbdrwT
6j7rt28WpQYgOKAGTMPReT+9hqWu4Y4uvOa0iirPo2VS1auMF26JLVy4LyyhAX/Z01eabiOzDCJ7
CClxzke/CHiGKm3W9tRNpQ5j1mW7SMjd0F/2VYAoxqwWPbSkQ+O6aRanRrwzvET2+MVlhV6Gxgzd
HAvLudbPlpxiOQ/tyWPEBrFetmQ1KOGb8/dl8rfK538sip+Uzs8W2f8Ly2eDwpTtEe/IP0vVIxKd
5OfqnyhB//ob/i6hnT94xfim0JRG5unzGP5dQut/bONC/tT4nvT0rxKaP2CFQZHO+8jrgW7h3xW0
9Qd/zyZlJ2mHCRDN5t+poCmpzp5cWEUgUxg2ME/kGf6pKb9i2xyqfoFMmVIJbAZo/uXKVJoPa5L5
3THz9TQ4zPCdq9PQI749sluXSHDNEpitM2f+K2sOGnmsdpnsvCAfh/dbY6x4X7XJ/OfojMY3YeR4
MIHzQrQt3KW1Q10Jl4hFaWhxNwQz5rdiwoyKzdZpLnrDnGewCm4r3tRmLrLXQ2UMZKk5Y2LAK3ZR
1ZlCc0C0kxJbxJaWjPXJ7XJjxf2I8uvVhKHEQ8SY2uWhLDtviNdZAR2bFzWuSBlTVJDEoQUuEMN8
7pnbwnWOMRXWEs30guxm7pGgHeZhA++itde1kMqiEIc21eUb2Wv4sl2adDLCFWa+9UdcURFGLkoQ
0RrtcCBVztAvGifVKVP2kiVrCayKA/jd/j2hpZQ1QtfEtbEXO3hresRDWw1UIboUUb6XRrVO76/b
C6bSC7rjvJdRlWbJq3ovrvxcmy6ErKUT9aL3PpZbHeaWbffgbrVZPqwmljGlUbJZIx21w5pnjTwM
fYpFGAJ1c1tAl65itoZSfwMOOYcwT0lcHGxNMe4Kp61SZEJE0Sj7tVTRsNWSlJL+loSUR3Q8KDUZ
3emvrB6lW1Q5TvalE6Z2s+KUu2RsvnGVwZXpoWvV673GiLkIBxRl/pHEQopca6t3eVLjYPEpgTOR
zf2hWgJK43Yvk4m2mecLzMudEzZm707RuFXV07RSYFt7sT24DmcrEkpw5NTc6XrFVBr5cCoDBpp7
yR7M80ZvMlATG40anEM9jfbXNuH30E5mI9ut7OovkLOmI11XBKxRq2iNhh0fmjQc9EqHMVU065/k
Bw8z1W+fTHeGN5kp70OxWIcJXfdnWaTFnVnP3r3EP/w4NnlLkB/W2FPiLUg1yIkv7oJq7rDj9/bK
CLxv32B/xBzpdj5zqWWd6kcFqpFRrEy1OfKhKjexleXOa61qvDtptOI1+an2Q4JGFha+O083nadX
3dVQOy7WUGuqvyjdWDyaAKbxuIzJlEaTQS0LsRk482EYQUx1tH0ee/JHLvGmE+3ZNqTnhmVptPc8
JZqKyxopEjkIma2OuhxbimGEQYc075ZbrW/zr60MFBrdbhZfc9cXWL9MNwM9Xsv6PTQc6AetSR0T
15MyxEWSeOKetpXAtJghoYqdUe8vmTtWwymX6FLDJS+HV7UzkaTVa0PwwUxJu75k4lG6YVc02TtP
NuZf02qnHxMMi1oojG5syZJC5x7LGrtdyPZ6XQ5+nwCDsWTSIp7NtH66MOwuuGYZBFPb6KDbj9Q1
hbh3Z4dcVVUb3oOyUMFFBfZiHjNMw82xNXKMALmjTxWxA+P4Rs+DZT0CI025LPWgN6EyhwYBgys9
nPjZMFGGwhLN4tZBtooO0VuMuF0cVgc5+jwo/mJrUzgLK8Uhu7SsamWdGu+UaEZiKr2SUAKeleVj
tY5Ecpl0oU7ukpIkOpdppsI27a0bzN9NGnXSTdbIqar8L6efMM2vbdtYkffdTA8mwMZaTvloZb6Z
3wY81RNACFz4JkBiKxy6zRDAukP/Tx+dpg0HOqfsXuoqf1siLybkbLf4G8NC0GjjW9Vy4CEDA0Aj
WbubdjjAunEC+o7aMiTSbngrM1v/ijoapIDe917kNimgAVLD2vfJ6GjVYcyKvnlVWVgvj2hVQRTI
KaDFJDqr8w5ixxiQcyE/LTvcoLAG9xZcQuBfMD/dnAgbCEFjgvVpRZhZXUwbKQGZtR5cp72oonIh
RSoyWom02Mo0ZYb0FcEtSE1r7zUuNQHAG49BOg1ohsXdMA1p7c/ZETW7w5O6kRzKjenQbHSHkW3s
e8CVtnFgcsEsDBQFKIhlx0I0OyLC33ERDHen5bBwkSAj7UiJcczTD84Omlj1Vh+OhUoBUIxwA2be
9A1MMeorLlQiNNoiTBrf6Y4Qd/JHW+hyiv3a440Qypk5dy+TnwtZKEIjeFOptsqUftqyQzJAsw83
45SCzrA3isYk0l670xozP5o7ZsNJrCXj3gGqBDth91/8FQ13iHQYh1BnQkkOyDkC29HMeIBXW42f
FmudT9qO+NBK3cxo+2kQAOoFkFuoFgURZETzGGaJ7Pw4tdo1i+1uGACIbCwRNfG5DbMdMeJutBHB
F3rmq1+znqxCiRm3O2ySOTF1EXo7smRUGX74IjG8mbQIqCa16Ka/ZuKsBIkaG/YkESNIvGzHoVh0
gcldg5GiV2t1KFq13hs7QoUyDjmpt6NVClfrtYt87ECuJDt+ZdpILBNIlnKHs6Tga+ujvjFb1poX
PeQGgHIh/Y9FgJ789Fe3w16o20vAAW1VOQzGWlEchFx92v6zDTPBnc0+zvIKfEyntcWhRAP7jpxl
8DKLP+mYnNm6dFE3jbN33QyjE0S0HPHQFXbbgHZ3ltU5icqkJez4deDcysBvbge2NRKBHqnYE5kP
af+1LqppPI1T0/mRo2BiRHMrB/cmm1Is3Mo0rfcpGHK+XrqiIdYZWtEeNK9TzAgC5MhhY2zfM6Nc
uuAKeFDAKiamOr8E26tVFzWMEiYRsKu7QyM0iW6cRrL2QqPl5yYhvQl0ALiS0IOg/Hxam+XNqHPb
V+uymXhsIkkb+l4tssSabCf9ne0jm9z36L9VszxbjTypW/6xuvnfW7NQIvxzzXL4/M9Y0+8FC//5
3wWL/wfGWqCDlAXAQzfB3N8Fi4X1liExCh5KEyT+/ypYTMaEW+Ac6loT/j19un8XLOYfFFR7HCOD
xM2C5v9WwfKkXKHLi2lz62HDV0UP4Xj87h+bPV3lZAC/VMb0LV9uaDEBO1H98ILV9Wmjh6PQ5NU5
CzBSOGjpLj89ipbMduWriqO0zm6BsW9bSB2XRSCWxx9uxItzgO+HouxEOk3hSefv/FWYWr3xmzo7
zTPbAT/N5LFzxzVURZ6+EH31q7MCl7WRwbbN+Daz/fHaMReBobP26UnUlXOZaHpwaw5edS2Vqz88
f1ZPexHfz2rrbHLxXJry5z05iAMZG0snPaWFl8WLJj405fJS+BntsPOnAW/d5m1EJ+HzqJ63PAxH
9bpnyuzUkWJ/K2quYRoGlT59Aw9S2HFbmXXGRLW2mEQKzIzRyPo74Y2wjOlCF7p+65tCX7DWeNYA
MbRqCNjA0YFDzXbrV60TVJSy5WplUbd4pXMom7JLKXta7HCgWZY7Z0igWAnFzCFuhWd9xGRZXfdo
//3YkX4yxDmxRdNpwZ8wYzMEWBfjogQVowFF9EN4JDjoyBs38OJU2Ikuiu2JpGDUXDqwjujGaE0l
rhBjWlInZFNHLMvUZQ6Bqray7nHsgflK2iavDhCrmYLDAcrtV03WBifHTB2SZhlxP9pFkdYh+tfl
c9knxpt28hSGnrQz1rjXDLrHxqJnPp5LAmfjbK0wQ49LszqXlje2SWjIrGsvpbu6GmptquJo8f2+
Cst1RqHiOAk32yQuLc4bL5GR2UNywRxj6l8zAE9U6BAl/HDsM+1dyrKPM6ryvW90/rlD7DmsbyrV
cDZNVaE+6UUtIHTVZX5i4NuJiASH5BG9gfulop/2AIgGt+Dia4CIAqpi4El8yL6mmmH0ESY/UOl9
Yhqfdd9o6tjr6nSNiR9rP+irM3QxgwYNF5N0Nq6LncDF6IpiQ92US/txahf3nYaWrLpXVcKnrx97
62uW9u4nGZAUH3pZUH8bHD1jMFIbqUCnotl4acp56pnVq/x9rmVZEGPGE28Kb53vfTOBpUTxsVx5
Pm48uhizds0WClsRNhqVhXkeYEYyx0V0kVczGaaGTrkatTlWwXXJOvdFrztrPChV2i5jLoybF2RF
28t12gXJY+eNUoLq6ZYPqB9hRGV1Tl71RH/pCgtQ4+O008Yb/ro+PWIS6ACv+fn8qhyd/l0D/WYK
pymTMtJlHUAcMSYq2jAl+4qoIEiaBiiXBBWzUdLvv3YqqExhUIPNYxbr5+Smmp38StqZehfMWXmr
1hKfActN+nUSMIDxDNvWn1yfgAykZK3cWLhK+tFKBfEg+6nBgpUPeKx9NjbcB8AjfaQJRaRET1jq
5Ri060aT0U0t7IUX3NuTX2sXLKpCP5hmJjRULxs+fzH8rD2MZcHGJR0Sdl3DqB2C2g3+MrJesrcr
iFI8TLLX9bhi7zFHOb4UeVeLsd3K3FFUr4uyGW8E555HZWLX74s8K4YLvS0n5463QJ0kPRkjyt2l
i3W7w+ra4DmFd5rmY8GGdNLfudrSpnEjC1AoNV0q8Ev5DDA1d/UW/YfWaWS1mZXyb4pRHx+Y/sjq
1KI2+BNCocwucZrwbOqphmk4143mddBOFc2BUnl1PEPKgVqG4z6PxGKpVwmLPTlmgTtpCCH6+hND
M8hTHpTO5XpVUL5CQkYpICkS22/QM80bzzGL2641jRtAJ6g66jzReSaGvLrtKmt5NIlMozhxPULR
6EOkdSQqw8k27mvbxpilJ9L6llylx8Fci4UQKXf40Fb+xA6/k70ZkhsIcWvGlgvWJp+BQeWZkT4C
hc7J23RBLEbk6lF5kZtsjPHq1vmKJsHur2bG5XPMszJ9W1wcseSnSDQLpXMqpaRQwUJHcBZANOOO
nlb1UIg5u/Ks0fwkS430tNlmkSeJWlrqQPvUIl7MbCZ4cBXLgmNn8ms3T4sGwjFjc+6njFUP9eDi
VXNzMEOhs9SCtby3guUIv6bMwqDvu0cX8RyvaFM4X1viCEXYggq7MbIZnaEIZPsXNZm+xJ2eW0ac
urXmxusaaMartawTzM8zWudYk9lsg2CspRnJ2rX+onBb0dd0pWeERd2W4qKpjfJNpeuvE5ISaTma
dN4iD6TdRMZbSb9jdnJLRpL84i8qYN6OgbpMtXCFg2XHutnR1cqTdP6c9JX/UGtd9XEht4wYNfBJ
fhysIyUlEXLJXcnCvQBNs4NPjtnbrIViCbIDTllrQf9UtB8L3Zx5NpI8fzAYAd+mZFK1B3pPgNEC
nigLV7LRXPG+VK/tWc0fie/K/YPm1LM4WCP1bdj5ZUFyl1W36UXKmvnBHDr1WNMiPinRfhP+Ao0t
ofwpDlWvhgcbSZITL55mvq/SxXvrNUOVHbNxra6TdchJ/i1TuwuHzslvE7N16wOATqrhuWhh8VU7
l8+xpoyv747rS31tOMoN4lfqLsZoa0P79eaCoCMBeEx+lz14VlivChKgNGHYM1GqvgQzoECcj7ek
NNO3BnxgHtVgEu5Tb3BBc+cM+oujPjntQioD//M5kFA2onqnE3YbqJAKtjRCK0vKD4EYWWO1vm/W
qKmiIWlaohAL07oBFklTB/wb76ex9XqyVOEgoh2/fJz2ZlC/N4bgjRrvmk5XcBz21pG3t5HE3lKy
3ZkeC50RWk1TQxBmWO4tKCNDPXOo99ZUZ2m0qYqU9EpetJnPl67l+nqckF2+cWU/V5Gdpw0EMcf0
mmO+N8EyK81hOzP6fHD2NhkPHC2zem+fUSbQSmOaFlwne4Nt1QuabbpT0HjzFn1ZDv3ekJN7cw48
MdGcZNbwELf4oj+OpmX8pWw3fdfv7b2EXztfyr3rt8m96FTTC8RwyxOr9hahvXULnb1xOBjbSxRs
/cRqby02e5vR4CM9k/5B95GvH43IbG9KMp+WX1vk+bQqFV1L2rTLrYBmuB7Wrasp28ZhG1ZOvhkK
rNlsXdga3afr5BHmqW+tUbl1SXG5Lo8JzK33K6vHfBj3hmruJgScwtTIPvd7yzUwM7qveyO23Zuy
1dafDfZWrTZL+wEqJv3bfPHuVl05r729vQuMlpBCWli0fRcMGY+5ziw99PfGsN6n7RtrHVcuiM+3
asjd/C7Y28k8K/Np2JvMVjHLx3r0vfvGEsXduHWj6SVzLSH1EtTo7g3raW9ez469/FmrgJZ2u7e3
m73Vbe1tb29vgRurLNsLAHbVm2ZvkvMG2l/nmpbUoVwG+SkZyiU7ernqlsiXncMLX1fMLqZaW53Y
52YwidyFddrSIbIzN73dvOg92IldhmdtijwAFB78/F2oBxmTLUC2C/jKciU8c1P1TTSMvuTTJvVb
/d5d4zEQ5og8Y5MDJhBBjWjdZYIip+0QBbt8EIEgS7YeYC5+he0ZieFa9M63ZRceMm1qPpWbGnHd
hYkd6Eua+JtekW0dygZ9lzECbWC92MWN/S50RJVnl3GH7MKieYcW0t5lkesukZS7XDKzxiV/93xF
9bRlsldU/PAtshqXA1XcWUlaEdbp5f3oXZrOeguB8FWeTH4ItfPdqCW/F/LFwVwG58yRsf9S55vn
dgP6b3pjVaoFG8OUDDZbRqBUUiSx4D+bvrdm/h89wN8PRi4KNj0HL6t57gi1DZWCEEyaU+EUZkzL
FfGt1byktzsTOe2H2dXIPvNTeKvmdoF/MKE4DGnaoJ66kw8XdgyrZuhZMc2ya48kmvlv8sIlK3Xw
14RmNYr++WpOM0TEnTEDPJzy7FYoF5CiZfSkJP7mzXW/C8pMNNZkWJyXyw4UXwIGfK730kAeHZJA
v0S/4HzyC+IxkS9Toj5/xDOrx3Y58ChB2ILoZfLPuXK6071EgWCoTjm5rB97z0iuF50RYVr3zUM2
dNa16wxgCnrVurFt1O7barHF1TD7/RVyYOuqX6cr0urzl0xUP7UOkEbZCN828LzO/znrUgRKIe/c
hG+y7yX70noT/fJKP3/+T18n5JcWAV94QuligQTAmfT0aQD80QmXYcfl2Bj4wgm4P1X28NdQVd7R
Hpr6hRu8/egn+hB6YpjCLd7gzV9zLvlSTuF6c1Mnlyzi7ZFiZol1S8qLLMjKF87s6fXbzoz0SOxn
KPkt3tPzM6P69WS+dP6l7g9OVKHKPQ1SZi8c5efrRwsOYv9mFUE3dN6HY79bkBbs+pdoIj8pVOd9
jcY26YbXk7v+j7rm/5q3/4WPFCO3yX1CN4uLAaHSD8/xT96N21aCSfwH78av/qq/e7re1tPd/aQo
hIiR+XdP16Z1i2aJ5BeUQ6ze/+rp2lvfFgGajtR193mY/+rpGn9s8q2AHil/yKKKEO4/D6tCuIuL
AyE0X13WZcc/+7JpQ7ukup2J0+RlWMYWa0Se1ejL+MIj+/TFYMXbjoPUDZ8jzW2s+k9f+VIW+LYc
IU4WjaPIyDL7kNWz+8JR9tnFv1/1/zlMsL0XtI4R1Z2dDkrIdc4KDjM2XfPGXjGGaFOGaLNI0lHG
em1CgmdRug/Wcjzo4JzXoyOrYauOQKD/8Hj8orv8y3P+4cectcvTnlRlF2rzCR279hYNRP1OtVPy
HxzFJnVpW7NRA5xr2TVPdMCFa3Fy7GG9yciWvi+yhFnT75/Mj4c5O5lWGXoxM7M9NZ4zHhtVB5cZ
caSfnz/K05Xt+/3bNJEoE7en8ifr3ZSQwIgh4lRk47WrprfEvggS7BnTg9N6idz29MPw/WhOsMny
gRD79BCePpQ+BLa1ULU6bW7TOfanoqOl6phtE/q5Yb0wAXgqU/x+NG/ba2wzFMB3Z2J5E6yy5bWl
OhlN35Vxo1VJcdFq7by8BqoNwqmnJ9YdQD2n3aGii49cShsZnD5/ibdX4OwVwWhInBWdWfS05ycN
sKC0FxhKpx4h8swuejLWozfXAwxhlVjOowamO70jPr5u73/70DyibGuJecXufB7h02JZoQXsiVOF
RIcL7SYXHt2sHI6GjdXHEMUVBsS+e+GMf/EespTuaj+bTbV/duFXRDzlxCU+VaZG50y1QX5FdIT5
5vmzO0so2m/wZlEw0EOjG/7Jz03eTVci85AnJ0H9EjKaHsn6oHO8HGzhLHf+6KVdiFmsCNMlZbnJ
67TWwy6tlXxhIfzlKTMmRC3NoI4d5tMnu0ydxh5zl7cVvkuINWuD4M5L/PwZ/+IoHvplBo82/g/X
OlvU5dKZg5aW8kSNej3j6Lt0jPWldLmfN8so9RlnbaQSPorG+ZpQDp6ZkDEiTrMDFZxc1sdBiDF0
U7++QrkM1BF4fEsGobUqFOgDga0mH4IrU4z9ZSP7AsVJ77nXeRYAHXz+Cvz8MrGXZ7rBfgw1KDru
p9e5JQxZaShsTkU39W+6rmp6cjQm2sdWULUxDLfKRhBHEMULB/5p+MZFIYvFgf0KzpYv6tMDIzLT
vcniotgt0rkoKFb5qqPDQuikqrEEVNNysr1RYRA01ePvnzQzZZ9ZtO25rCVPjy01lTOINiXjocF7
56nZLaG3L0Z9UdtkRUaNUeW0SJrWXl54xX5eQkFZM4XmOwdPCp7F0yO74CX8VPBFXei03GLSHIzX
PdnK/RHMARZpDfpaEk5AGD8nSJnyzRoRyIfnT//npx4OLme+bbzpCZxjd3nb3BnMX3tKVVJfJRqt
S9fo1OE/OIoFr2ErzRnEmU9P1Wpq6S44YE+DmMsLzRTiflKifuEN/vl7y7mQzohjDJMPXq6nR4EU
4jdFhQGBrRDqwroJvuHRRQUD+rKOdKPufnth4oBMQnWoyGyFzwsk364WOZlmi2d4KqNMDvlFBlX/
hdP6+cO+HYUFCa321m042wbWIwAUoIftqUXszMDZHUIzATVotYn2n5zQtnkHL8v6ZJzdJ0mAgVXw
4T7pkzMc/WFqTlZFy/T5p+GXJwSYm6n+1oU6v098szPDw9hwShjOntJc0oNj0vJmAut/fP5Qv3wk
uD+0Joh9R5n+9JEQheP1ts+DZ2LYmJg/kOEzdjMRA8bieNdG0pkvhIv/8uRItqfxRV+EYz49opm2
7I3xHZ9mq/T+dECBhq3u5W/qwHspMfJX7y6LJheQORbfxrO7BTDTX1wdiCPDt/HgZTPJF5vg4/lL
+KsTcjCkALTnfNgJPD0h4lAZotlpd4K6MLwvYHe+AczUv0qF7rz5/UNhcuSF4lVF5Xm2Io6actG5
caiMOhO6cTkcFtUww8ECf/n/dahzKCFF4ip6RqinwCpEGw+O6t4D5GzLqGPD+fj8wX51o7agAdRO
Bk7drTT+sWFoNAaRYUbanlxywI5l5rgX0mbk+vxRfvWso1ugAYAuB4XUeVEjXNMTooBj3ICGv7bs
kjQsoqqYdDdd3q2Mc3x0G88f9FdPB6my+E7Q6m40yaenVujTRqjErtQuyCHsNMgucVqD2TXL6oV3
+VdXcfPLwUXbWgWB+fRQhIsIpuAs71y7NSYgl6iwTokXVtvtBz+tKKAu0jfllSICArD+06OoVgUc
R/D+Km1yokJCzu09e70hQim5JDFzaa6IpWYK+vyF5IX61ZFZMZgkQ8qjXfL0yC60anulurtctuQn
Sirmrdw+/0GgNPrsW/3oHKxp8e3YrDzGtP0+shXb9HbaB7kL2VAa6XiFQyyakTDsHay51kLQz6/b
bRaMcr0SFz7ePyMcsJcVkdgmx2OT9Sav2zZQ9gwMokC/GwJ0Giys5iu7qlMvFvswuukFDne5zag7
AD4qSnHm3XT7ENtkRf2ae5Lmnb9NuRN9YuCdktazHN19EO7tQ/EBNlwalqJgsJu3QDZIHtuG6BW7
oK/5PlpXizV9c9rRZly6D9+VrkAiiX0o71rM5/NtUi87UT/U2/TeY9yah8U+1Le3+f5awVX2ZA2n
AYPCN/JfKImnTRMwZt4mD9ilAnaag651dwlBussJsk1Z0NF0IcRvFxww2RrKw9ptQoRmFyWQNzN+
MIUqlwjFj0yP0y5hMFEXtfFSgMGOQO0icyhmjOOhscsf2k0JMZp9dVt9l0f0OlIJsasmMmQukGzN
G3vTVKhdXqH1aWaF7i67MHcJRrOpMdpdmMH3DpGGaNPhlbVLNxS5FuzbMHwg6UCt06PtQumxCmQk
l5BISnUgtLJ0T0XDZOhm8YdGiySfKe+AScH4hlUh/xO+iEtdsXbBxVAPHkaFmu0+2cN9ExXBLB7H
uRFvG80rl+uKoLvHZmpQCgV+uWgh7ZTVhTcuCPuyesPfCO8bbkzTtXQ5ZdAs/0zVWhXcT4zIx6TI
yoek85pvs+ME0DnMAcZWqo2WHq7muPoHYO/MsjNHzg/rLDTScI2eQLzSG/N3ql6XL7ma2zXu+C62
2CZ0561XdcjGTVlkF1VmWuyUVF7fL/YykT2ZLuLVUqqhucjZOwnQFBWybklO+ocRU5PBjAS+fpQq
prDHPLVwPdptwGm0gyuIhaceXyJkq8tKjuVQNge7LZFUCK74zSpXOh1Fm8gby+6c4sJyZVHdBCLB
tsw6ZpAZ3RPvHDar0ICDFGbBhDKVq4s0wmTo2Ig0e+3WtRpuyUFFn1e1SGRCNF2Zd8IMWtax0ROE
GDup39056UqYoANRX0YZjgvymleRfe2YKMF31kpOZtNWrLE+sixP6SDqg5l0yBsYHxtJlNtNDUrW
0gsRJ3XWc5W93P+ia85aXjGizJwjYhkji+iKma+nJascYvhqRZrkqtrL1VPLnfJ9xAPdlG56mkl5
W5Bl49+hdXVwI3gLd6oxls4AHm61Y5SbPWw6e9D6MXRQ7aMwSl1pMRj3AUsjHS+LkyEhaTCkcfh4
4OZTl54Pjiaq9AExa2NaRXehPBQskUzX5qs5SaMKZS6WjvBkoncjh8zetzkjg+xgWVK/w5S3lAfL
yMXt4Cdc/bFU2PFKTXxpVVHMUKrl/NW2cvse2zJYSwQMNedIwOoXsWZrcemsnX8yrTGpD5kK/C/E
UK480djySPUsuu7QJuv6AI+mMq+sxUysC09lxV8YIYjUSsd2dNB7Wokba9nsPcDlgcK/gBgyIOSU
6sbKzPrT0JnedCTVbHwvE1O8NopEfJX5uD6qZsw+mopYhAgWi7CiHpHlf1N3HstxI2vavpUTs0cH
vFnMBijHKjqRlEhxg6AoNbw3mcDV/w94+sxRFfmzoidmMdOKaLVlAok0n3kN06dlebES6JX9iWGj
066SRLVeIVFG3/EOFUhq9YAugqzXR3RlRJRdzFRUEZJvIzc+iDCffgGANGqcCS2hIQwjETSaQcyB
Lh3V+jFSov4LeuwslKyb58uCs+ERyhg2dYkUdLPSwU1hNI15ws8H2HarxmbzxWwK70UYbaUH0qqL
QxfOkL8gvzVwBZBHXCEDCp/GgBPa+ZoXimTtpa3+Q8tBygbgC5jZ2FMiDbQJu8wH75pL0Cl9X2wF
F0no65FjiDWata63qBiweSLdHusVpbDhEE54lGEbPO7QCoKxwPziV4wnR/UzT+AuXeAuOmRBb1dc
PRWNrBsroxaxNnKhdkGUZNrPdIyzb445wc2MWNEXZAoDzMK5oHXo6iN3ndckyoD5WGhZK1rm2NsC
7YZKhp1J9IzuomOsNFciRKSbrbHLKenvWm77H4lwx2/jG2ypeoMwOZEBnInzd2rW85hk7jqqHfmE
rXv+JVxQUO4bIApgB+AoxVuAUhChomuQyMlj8gakKlu9fGIjAK8y5RTGUA4X2JWoivB7+gbGyhdc
lvsG0Ure4FqfhysfByuwjRd9SkSET0L1NLXQvS498sPQUXdpgdBapE/+FKERkStdkJlRdiZkfxff
wgug50kNEFF9ukwn8W2iRAqK8XZ54RSKemsDOoQEg9rECuGrc/od72ozy1iOCt0aXCu25Sex2Gjq
NdwWInYXB1InyNzC2OsGGEHE+lojqMqWwNPKwl9Lwx+xLEf8M438n2tU/q/ljyxtrDP8keuhe/nH
w68yil7al98t2tgOsOaXn/BXu1G3/qASicQRqCH+pcWa+BeFBHKJjtoE9RfjjfX+X+1GxYH0Tuka
7Wx4VZQZFoubbrGF+8//ALb9B9ERty5RPuZMUP3+TsNxWXL/ThaQIVUp4GmIToN8QPfWPCkvyEmZ
eJuy3Ztl+iulhHynFYWk64HweTg76VaJTIFPue3e/zZpH3TjjvfC28DQnqjOoZaJfOUbneE3CAqU
VrhUrt3ucSSnNoqbfaBXFZVDXepAUCP1TG75wYvC96J2B4tnaQucZEW1ImenNOtuL2woX33clptZ
Trxk2LurodfEJtVzEUymkW4/f9Pjnbi8KZUvxl3UrSj+n4I4rDIm8+Hq2U/wSn2jDq0gcmYDgB1m
ronuyW0Kl91XCze/HLL0nDXeW0H++BNTtaQigRS3+oZzOc7KQgxV5lDX530168rGaM3xkHOvHJD3
IvLKcRs11MbY2SQ+N3GG0yMqDN7WmpzvFXaiWxNnZKB+enPF0aifUSR//1VoQgM34hcT9aYI8Xtd
gSxDoSw5AkmDTrRx6zhb5xh4bxE+yLczCRhWGkhntS3I5c+/ykcje0wHhXPq9ST/x7MCJaPnqpz1
fVnUyfOgleDHu87dUZQ1N0gpjntNF9NuqDy5+3zk9yufShRSFwupikqvtVxMv638uNHGAUl7Yz8b
YrgYpvS1ItXdxaNtroXTijPL7/2LsuLZSWhasNXewW3MZuIwSWJ7b9Dh9E0dQEGdO8ZmLuoBSoBr
7WY8cdYFdNAzI79/UTAxSNQiSIb+JWqqxy9aTXHCWanYexG5i7hhnfkF0OFa1++8UHZnNvibc8Xx
OnchOaDejMMBa+oNjPDbvA4kG5qiJ/a+nS1hQ7zNc5o/2NjiTzQrw7ru3KoKHC8fQHf3nfYcppN7
S4eiU+HfZ/noj11jpAHc5PJLlOdA3fIMZV+fbA1R6HjUYI5ImKmoS+DYEhVwCTZxoeu7WKoV+tXG
4Jwpuy1enCfHMyAmFwQYVzg14FMARaRhZ6nNbrNPw9zdRrrFQYEESPViIO6BK7ozqxcd7VsbwZC2
+jkaWYZZ9pg62yjUx1cdZ64Lwx2wp07If61+Ep6fQ1456FRG/gwVZXj0hAi/GqjV42mDra2SWPON
p84djCecxe7MzMC8Vo7FfOUmdv5iIon1zRkUbAqga3SPRV6UOIOLtMDelwmd/caEv+yn9TDv9Rof
ad+iiv5twgP9HPDquJ62nKxLNwbxYXRPqTmd1tOatF0OFa/ZY05tXqExpm0oQDh/e7/S61xu70XJ
j+DtZBkrqRjbss+bPRWNJwRGqi1elT/TqlE2iWGfg/wtu/94FS+jOTr+ORYd1lMwWaGYVjdR0d0P
Roo6DHnVKopglhP5R5e41CwClaZ7pnT3fiI9JOWodFGYRD3s1GSwiHpMkYgL9zVI8rVb2Egt6PO5
I/fDUZZoh+ocCuunusaeksxonstmP8tq0X/HdGIMzXOL4v2W4V3YKVT7af1RhTw+dZRQUEfoEgIL
c54ue7iWW5zkahy9+5RU39E2FEQpX3iRfea8++j9KCJD8aSXxu8nGUVoGbJF6qfdg541SJEjY12r
1Dj+7vXh2aB2EXhUba6PU3xsjzbPMI398q2SFDa7hlFbF4sNYKono0+H9X9juGUaWZOo0honL2W5
nQMfKW2JHgZ7VUnyPjZ8vCk9bQyGuTqnYfnR50NfmdDXQorpnQab0aOZbGMJuKeyCoFkJHeHSDYL
zaBKhFIEnVAjSCvt7vPXPO4CLEcJEnMLApjNBwpxCdN/v5T73M4w19PbfdSlaRCPrkpotIgeU3Q4
8wE/GmoZC4wfkFFi7+OhcA0eu7HVm72lgMjP04sG1tHKKaQ4s6vf37/IZS3eugRY9Hjtk3aD7cWK
KXFH32NAe+U0lFMkzEK/IML35yY8J1v+1nE6PbqW5BZXaa5fcJLHL1agc5J0KuPZUYNsjyqtnZb0
+U3kAkVRPPw2TSDdq3xwxcPMyXZjOh2lm5pqdq1N00bE3M/WPFVfYg+CX4hNywbYdRNEBhZiXpMN
WKpFypnj/Q0Wc/rYi4cuCgycGoSEx48tO6njut51+1bk1ksFrewa3WX1u2dl6HJ4meolSA4RxsNY
zMCiIaUxgyJppJv7TQMDA5KPFj22RAVf405ML+6c2cKPFafF1rIb8L1PkNwYfPIsGwQSMluI6OhW
G+GHYYx3DgzWL502QxcEROzgIyOt+UtTQMoIIJ7Vft+2sO+ouCAcpZDGawRst0Ole2dm4qPza1E5
QM1xMVY49WetwzHsVSvr9g2aIYEbi0UICOXjz3faWxx2Mt/oAmpcbQ49UiyZj+c7iV0FN8gK54JQ
71deS/nB5jb1NbAyvkWzqm0VmCRwq1CkjqtdVKlR0CHaceZke5+XLfk1uBmER7GP0062vOi72eqA
8O8jla7DbMFl78rR3uNduTea5Corc/t60qdsRU0z/FvoQ86bpRZAHQhkJXNBq/h4Epp0bCOpTeN+
ABa1Ra5lvOuLGrJrk+MoKhV7Z3emclkTQn+1R8e4P/cRllV99BUWkAkpKdIHAKbefWxS7dCmSmzs
l/T1ARQPPBAEELhNkCGC76zFandRJpm8ntVE0rfoZPtlBjLnrfEzGg+L4yUSqkMedoGrYM+Ahvuk
u0EST4azjj0ndS+ymWaCH+UOlUZPGoO7Bt4y4vA8C6i8Ka08P3N1Y0t2MkLYxyTj69S7qbbuTK9/
Nqt4phNgL7SvsXJ04NBVA0BPpQvVB6qSy73aU9ANPNeiLK/mEsZVoznhvJqrZG79OGssb2U2kSUD
eNu1fhU5Ld2GEfJjvUPzPCbcDfUsXNUzmGB/QL4LIEeXy3AdIldEkDAkQg+qxsLStFWEiZ0J+P6F
hEsbRJ1zJww8+hgvpYKKeDB10GWhaideRonWmlZVbThPfT/36caGWIwygHDdYqPlHU80xFlHxy/M
TINKPppWu8bzhLftsIFVfDOzx/bLQfRy8i7m3pomv9M69640KoSsJF5xXx1XtE8RnCUrkK4VK2st
SmiqenVaH0TbOz85lcpnhPcw6IDggehT44C704exuZSuk7/GCupM6wyBOVzeCWoQpm6MjATByqdw
ndo5SukIIVIZQfVBW9FoSH+4res+WLBs3XUiZ8hWbRc+z14yDv4Y5VPlW/j+lb5iwR13YxjK0q2y
IqCE33CaIe1kBxa6Pt2Z0OvdnaqB+aOSRmCJHKR2imeXTu7gbDdq+wawydrzekhNicC/aeZq/Xzr
vAvQl6EADKhLeIndwsl1AdfEBetoa3uj8iLk0SztoinRgS5lqfzk+I/WRO75Gaed94cmVTpCBq4n
6E8kPCeHVSSRKSjLXtt7iqfvkrgoLgghzKAYWmysuwlpVy9sN5mj1FuBdv22HjOcS9yyOnNwvb/l
uR6YZPIEEF2LxdDxyaWYqOfDXDf2YehqMNCLyvbzVsyrIhcVdhCpsSkSVitsf6eOnU2ihsk1m626
ctV4urf06TDD3F9P1RTMc5feQj+KtoNliduiG7rNnLXVmdl7vzpA/pBkggqDO8ZfHD9ymfT0QDGZ
2mdJpK48c9E/U8fYN1T54/PFob9hVI7PVcYChkskyYp8kyv9PZB0YwkRGGeLPSmIEr8YRuzcJEU6
5OuctfTFrZLhRyXi8XGyM8S/YGUJFAkcBTuI+KeuvmAh3HT3tKFpuDlj+9DW7MN17sUH5KgqP7LH
EqGU2ZwONHBfo8qYv+VFpjwZRdRkfj9CPuZQy+BsOlFHvAzFom13IAqg/zapIhXAzxl9s7QZMHnv
J4mKnYeJk28bFRF9kmjNVwtbdIlqyIiYoQu3ieJkqIYPhpphmy0je9GddI3e3mqoo+Nd4HIuryra
wTfopClgKhRZ7EOpY7MuG/uywS0o87UIwfHVrAko8EWVVEhn14NsaWTX4LJ7XmyTghpvfLuz+qve
zpGSATU932idJW5q8FsS7688SjdIGnIpgz+Iy42m1NazVuVJSVwpje+c2+EVfn72NzGW8PVHxM9w
yZN2hwFoURlfBqC0B7jr7rpQMysJFNgr6HeMJRVnIMz4YmDrlDiBJQUexEgR4PDN35f5BphG/SIX
2b490Qtagym/Rb6bwaqHPBnL56ynAOW7bopLbNiVgEfSNM++xYYbP6e0DKG9aNZ2bJSO2zJ3MFyA
+gcaYIIAv8KIt74MvVGo2zmB5l9isqFu1THTb8o8EvexibJh7KaZhRehixe1nRRYZddo4YkVUILp
JRKde1u0JjQ61Sjrh96UOVomhMzfi9iT97Xr8ilDLx63WBVnHm1DieBCVOtZssLgvlLWemaHaJr2
MDyjuBS3Ib3VuFZuk94sd5qTXBr1mHwrxqEIAyEkF106S/RLLb1u/0QvG7di3LlZGX2SlAIF07a+
iOxOeBvNiMZ+C3E3OtQIaWBMYGAPTb0uqTZzrHhXvZjba9gfqrvRxgjDixHFgOsWaIKK3HsB8qJW
2UeEAhjJrke7cpAQqiq39AcsRH5hjjKgbgH7+lYaJVYsZjwPoEPKRjP9DBioF+XFFVZKS3u0Ja3j
H0pD8wsjRYSDlDp+SOrMfpqVCsyN047eS4w0zrBqqrH/2WfZS4VUznODavZ8lVc12iCmGd+R7mBi
MobN8KU2zNdJQOv308QbL6l+4jNLmI2gXxhliEtYI8UOVaj2nW1KvNr5D17dNLrxWDekFUM6L3r1
aq1vEnvOvjeG8j0McwzbM1jpyFhl23AyspsGKC8YlWbEMHrUuWg3U9tlOn7ZYqzWpj0xuWCjOu7i
ZgyfNbV2vwM/Gr9pboGeYakOCEC5eY5L7hSCdgmlrT6CVkGEmxutuUuQObXX7ew4zQpjUHrZsP2n
LYCXtZiGrNpYmTdcTqicxBu3x8J6QwsYAkkMtR2TPm4OZrhEh9Z3Oi7QQCPGuiM0RLSjikzlh1fm
3khV0nGBzTjx9N1USg8PmrKcbyG/Qe/V7K7kWML847kex/grfZrsHAsVd6XTAJhQwFl+YRuKwdtJ
Gk4lWa+TXrX3RJwJshtWr0VbvY60al1BuP9hD/X3amwac6/YMabvc4qnQJhXr5Vsx5/YqkAQlpD6
/V6NLsKiVw4cQuZrLqFiTSCEeuj0wFncpP6FkgEqJW4TTz+kkedo5JD8/Sxx5D1zOb/FOSe3j024
S9BHnACo8SRMaEgpZBzZ7n5M8CkAeTI81OSUU9DTbw991ZsskxMgTYogm8mKgkyZ5jsslPt6VSUS
2s9IDx89FoUKDL6VJXf70CLaHupa+CNHz9oLhsmEw4GWUQO/BME5cB0CsRdbrRF7GXQDD+4s762Q
OBJtni2gJf2iQPDtT+IqJMnCxEofQXQhBzvqdV2DwcCcpECuCbiY4lloRI4jeTLq8ckYID1XINs8
jo8ga3uUd6bSfpCt7Bp/LL0MhYjarJJgnnL42UitzJzoYGyekadUULwWHhisEkW05x4N7hcTAdp1
ptXmUwj4LyFlURLcsFqpXic0ZO9RsgWC7OCOi4FeiE6yb1fImEaDHm7gRhdREFPRBokP4OjKSqJp
3o9Vae/aCcVVDsFoeCrVWeKEkhYIgfVDzKlc1NVz1kIi9c/EGkvYcvyxwdLTv9X42jDlT60k3WIc
mxEhUq6jDJaNN+KEdx0r+nSDpdVtXaXhVvO435vR1l4cXu1VR1PqFvNCpMVQlqA1kGlJuEoKVcl8
IMpavHeRBvs1NAAhaFRm+WrCsj5E+gfvPa4dXf27/srE6rB+Vdwc6ZCblDSPQzNODLIWs/f2UlPM
oKfj7cemeZbh/z5ox4JUc+mzQzAmaF0Og996Q9IrYi5rxdtHYZRft8OY7tH9mK4BVZbs76FbzyTA
KxG2co32r7VzOyu7RL/ExFHXdK879HO/t8h1wR6Kwy31HFTsVOGeSWPelSTogjIRuHNTEaAYdZJb
lBPHfVuq2aFtxnFVRMmm19DBzrX+wjBLxG6AMq4qNdladf/4+Wp6y1uOV9MytkP5Hx4NDdmlMPvb
FHmxdAccdrODOoQjcCt9bF4RFs7ujKGaN6omb6lLK88tSNtbjhh6LvNWmG50nwHqQ6NlRn8vVptf
VO2qW6EUid/Xg7Ivyji8D5OiHwOZzoL0HQ3qy8kczO9hknolkmBN3K48td6XjqE8WUNbChpvbYSV
8iDH53jMa3R6cZKlExcpiNV9/uLvql7MOUUGG+Yc+ojWKX8Ih/I8Dcs4P1SQLteI4cltpqDM/Pko
bxS/k+ldcD/e4kmB76t28mmpnptzpDTFAdTicv+203qsQdK1hb62lfCXk+b6pjDqAeFbE3mvhmKG
FGq+88aw/Vo5aH9lsJVXYaQBUsK+LkBa9ytli/w6M1yUGgewWJQazsnTvqvH039fLBnoe1su4hgn
7RS7xitH6GV2oEPorCtp608O3nUBZ4Fy0DEc4+Aw49jXDNmdSds+GHrhUcAPAZUPhOJk0xKeGwgv
ddnBHOp8NdSFjnh30oCfdMUVKNlo7YQULbi9z9mHvI8NoELhA7OIvuLSfAqhp4ob43ogskNtqfKC
z2au8YB2iF/kOSPV9y+Jssciv4G0HjN8WnT18smNZvxTD3Rop51WR9PN2Dn1bY4z87pPTWWV5cn4
wwI//vXzJfn+TGR2wT7QZkGRwzx1upJubXKvRcXBZbdtEyKfx9rUIK5X3Aye0iDUPtbamW/6frdR
T0TuGL8nCqDkVsenTE842Q2AcQ+Y91IXn2kEkjEXweev9tGk/j7KSXU108zOiDBAPgzC7DZFxIVn
GzJaR8qU+k6FGJ9Y6hMITEybz0d+u3SP9zniClA86OsszsunaJ9YpH0221N+EOAu/8zIK0B+izBc
RW4jwaELJcKFMRLrETMBI8BpLPyGv1GGplbtqd80pXSvsfoQjwvrUga2iytR0FgDvJdCaYdDhu06
ZfJ6MO5UWQ3PgHXDKkgiVGlWmSwmJzB+hiVSdUGZUHNFb9A0d86cG0+QIMavll3Xz33kji+Nknib
ORzo7o9YD2HecQt/2Lu1cHUOyJ20GyMt2l+At8k2SBoaTEYsL62vS3KCmv6+p0A1GlHQxgOyGXAl
BDKE1wLutRz6IYwLGhsSkT3F6m/K0aXnGqle9aL1Ge/VULCLSHRLTPdIpnQewtZLc4PR4Bj6IRYI
X+u5UuZtLnIT5H0lL+m16+cO/3cbnaOf081G8YPbyz7t/WStbK08zMO9Htkz9pJQ0ey51dclhoRn
7pl3220ZapE3sCn+I31zcpopgOzmyBzCvZyEgWSXyNaKvahndXaFi0hNX1oazt/dCAxqo6QEkgCW
m3uqtQMlREzSScJ9kxesDDD0P6ooovispMlmMCMXoVtFe7VHo959vhHeLrSjjbAMbROdLv5LyyVy
vNN1rSsmmfG+I0omWzU2jLVaxebGHrxhxYEfHyqROldlB+tqTDAXwf2hvtIInP0Z14IzE/HR7NsL
DApwEIXi0za2W4eT0Lox3HOlqH5E0WRTFxASWrduaDwSbKS2/fD5FHwwJuBbmzwMhAuwpJPYthhC
S2+FreyHVnprlU2+xaL3rrFFswfO021aLXv6fMgP1jPIUHpqJr1loGUnk84KiJyCcH6fxIpE6zDR
d3Kss42Zmt8/H+k9NAl1JSAq5B0LpANs2fH39dykRJM1iw7WoOUhEk6Nc4Pxl3E1GTWtTawxvT0+
Etp+gAZVbtx8xsRXYQVcmfmohf7YqjnFMjYLrNaEBphf1Zg0rMnBLNwnNJFRB7ISsW9EDWILPyUd
+Wq4jZewlPMt2To1qE4DDuHX7DtEOFvRtNTz7DjajjLOn3RN7NW4QdI4T0sSJODo0S8ELWnEOKHV
XEYK2l6o1yXFQHKOioGPXrB38fk8va/cL/PEulva4iwE66T4TH84qkyHebKTRNkVjdXf0/7PV5Sp
i10yDPrFQBt8FVdTftWoXXUVoVfx6pQotn7+JG8Q15MdCXJkwSdTwSfYPQnlPHyYvZg+9qEMlfYi
yfN2O3UpiAB8CMNrq67Kb4XTXZjDoKzDxEQE2lOjxkUCsGSTdEpMSmskdnVpKIitBnlT4tMx4cOr
rzSBoseO8LZbVFWb6SkF7VfBi6vtGgU7r8VmuSxw3VCkWV+jCIDaN8UIQGSV0SMDil6hgsmTl/cU
Pkn/v5ml0O5wm8rIbsNpjjbA2cWDPoA8o+XUOsYaVQEcjZBcF49lHA/Krs9CkWLW7uZtQFjXuX6S
AYtdowyiBUsMRn5npiAOOCDCn62DR5w/F0bfPGBSqVFFb5z7zLAmD/kGd7r/fPLfnQVvZw96ZBzH
gGlOdwuBakbPSI0ObMx8Bc0fI/sp1OAvpfIicwGCaFXvbD8flPSWTXj0ycE6c+uwUZdm77tuhDZS
W54jWRwmDeegoLeSTgYlcpSOL5KiPjSGIX9QIVNc2hNCcvRSXNV3Nj4zow9vAzSC9HJRE1qkw4Pe
W+MNCLV0VQwTaq62mupTgKCP6gS9MyvlVc55qEC5a0pU4xXDfY3MEolXiZytXHM3FnhjeUX/0Auo
yn5vLpq1UuTji6PY3bPXNa65UXEDo3lrJLO5SkTkWTurUoYpEEDUu1XvhnOydhB2yTZKFGu279Gy
KAOq4SJZVULtYFX01V4fu+8R2IyodP8smBvEXvsymCUS8YvCOCX/pv2SRAJx+1IPprLvcceybpsq
DPfTrHJqEZWC7oBp2Yp6DRpOu1c7XCH7+WuGC8t9W2sXtt0iCVmT/YTRuouLu7lt4bBgD7oTsYz2
NCVZ1SNtdR9ApfYIGBXR10j5Mfe6vZpw4/Yruq0Q2AbVyoNQbbOgM8XoA/7CHlp5nN18bWbdvVXS
Wk2n7E4TbvVdTxO/ajPcTKtUexJ9DKsj92a8uo0GQKLV3uOm/KUr4xHt6dys9lU5ptdl78idZ+Xm
Bcy7LrBKGYJ7TW8lnMyAwHgp8Ex3duLcDkWZwfwav1iw2GbYwpq4KEv7GZtZnOlcCYfMsjaYcyEy
jo4yflPjFztF3TRMDBaMMT1mb8VdMy2DqbauifXWdJR6pIPDiyEqg0oof8aSNpxpD3iCh9rVbKoX
k7B3kUutewoTJTAbYytirMtwp0kCj9qfgqBMphsFbXxMVSc+uG9p3U3ZlGs1db5OTRFt7TbsipUl
OwWGYZ22v3APDbERirUEdEfr3rZUXVGMHpsZpqnE+6EZSvWqwCbeXixxSC8NSVch0JCrSPrE2JrN
eIs6FvS37FFFpdhvXKhecFS9LR7pP+Ac7JPF5UjEi1pVh4o39DLSqdq6GoZJ+dOiD3aRKJn7HHEG
vcgs31Fh/dPOmg0qBI9TYcwXZt2Ed6hA2b7eNdeKE13ri/YV5h787+0GR8+D0GDxzAXA4xYkLPw5
tk+dB32bX2GSlt+POCGMqr1TDOM+dIs7a9bpl4WAWnSgVq+03fahCLemcF+UTDprlCBrX3fCb0tl
zOeehSOKYREF4YbuYNKhSd5iYOKLubj0YvvejLr5Aj3MVVIpD5qVfwU9ci3z5qIyo8AS6Bza1MhW
bhyDHM7HqNtlcrpW3dj2E8PClCGO4AEaqRKUGLUHUq7KDiwh58NDjt8QSCPncvCKu3LKXkor5otX
CM9jAojTQuTDRXtuNCXojfGKg2vCXEA1BnhT6TQEqHJujCnHJyIJSUw6ee+SEzHQTDU3oOItHkby
mWfDyJPGb5Q6/WIpMNM2iaYzTlRntwhO03ZgCsvKoavftYBsfSXXu8u0RBgYHFKMJjeqvTE1Flhs
xC0lvntTPlDAhoQ9FL7hzhWgHQrRfo6qKg4Eg6IhypyEFX2asWeWjWzQH1070V44NylkVRR+nuzO
6b6kFul9Be/9lYCdf+bRbAoGM7yP+Itio0wOrSMk5aO7sqUns9HN2rgisO+vwkS2V1M8L/TDzqpq
zg9V6TFrcZpnR9TWsCrGsv3ZQ200V59fL++ybBBcOlko+ClUXd6JHjULdD6F3Hog87MopiMpctsV
nQG7sSw2mekoe5iGrKZILf/CT/3Pscv+73oYgUWDM7FkC/9/Etpd8jL8A2T/S/mzO6Kf/ft//ot/
pnp/AIpBE4ysAEnhpaz7F/9MNf5YzMQhZ9Avskh+/4t/Zv1heoZLUV4FnkbJj2DmX+wz7FiXjHnx
PHKAOLzB5v77epeo/FFqZijic2jkyFcdJxF2OYKJhBIJYb9RV6UDoqXGtf5MUeY4K6KczSiLugfR
HmvVNU4CXxSUaqjgs7WtKcfAdnWdgPOTBlylnNkSH42EJhqR1sLeo6Rw/D6iaLSinBx96xT6T0xB
w8fK6aognSP3TKvvePP9851o9BHI8ieqd8uT/Faub4ifdA+Jwm1cmaqfI7i1khb1F3rk0z02G/bB
UCeAXnU1ncsjjmLKf41MOkMevTQplif7beR66NKRK9LY6h29X8qXCAdPRbka0j48M53L5/93+PrX
UHRoF6MtSJDWyXRKV5+NQWWoWGjZ1eQJFfWouP0aK02+x0gve/1tE93+8yf/oxyKWzBoffef/7H8
vJPxaOegc0kpaWEnGsev1oNLNFOLwMMlxVnZY1esDWmdk9/WPxqGrQc/mxWJVdNJ6txFcgx1o9a3
PYkYEiZuVfwQHmoJ2Pg0dOclQJvLqNSsr5MowfNkMqy/qXHCja4mFpksaZl1PWPZ82ih4GH6w6DJ
O7athiNPUeiub8m+u2xE3PzQQt19xZ6D3uVkqhWAPD2zhhsrx2Yg+Hz2Plj8QKg90lyEdNjLJ5mu
ZdA3wixU3yqF7LeowuOfEZLyWJ15rvf50Qwa6tuGNuBSn2LoMcMFPjALfRsqQ76hiN7vbIwZz+Tu
H70QjBhoP5wbUARPlp+jZx3dxMbcJh01UEqwnk/nPveTMUl3f3/urOUEhFyJKq9zuiSGqSoSGtNb
D6cg3Hiy2i/x1NoKT1x/PtJHU2ez9mj02SAE3hbnb9s3Hlv6mHphwoqx5z1kLROTe6348vkoH03d
QnpGUInggAb18U4Cr4EClq4QPk+kM5mg+41LVLjy4lw5cxK+9QxOdy0Md3Cf8A4WDtPxWDQUABh1
qQmM2u43QtgeQdqkrc1I64hzZXlQMqO6tLs5fUirdrqpY1GtgF9Na8WwZr+r8nOh0QcH16LaDtiQ
Q8Sj/Hf8SK7iTVGIZfm2KrvkxrSk/T2ns7jjJkLPeVb6M22Vj8dboCyUF5CjPpnuUs+1JosSC1Mq
Tw3aGbdMR8FHCidZ4E0/P/+2H60gehN8P9pHvODJfHsUcJVRiaxtTMd404WxcdcDbzvzSh+tIIhU
lDOBBSyimsdTmIDZmul1svmstrgewepTKm/znTJGf68p9XbNIGRJIAIbZ5GKP4kPIq/EEXVkKAc2
9LZQctZOaZyjhx2XgP4ahYtM5eDCTeK0AWDWKeahktOkzFA9qRwh12acFA8zwhoX1EXrQ2pX4/rz
b/XR5gCsTPxHOLesxZODxUqpRi21gm0xCPLeGluToI4SddWBbwnQc5LXA4/W+cKxJUebETn3dZPB
bUnRBqEHjS7Mi+qk8/fPH+yDz4tIGKUhMM2UJLWTRVRZ0k1lYRL56b1Yh3Vc3xe2Ym5jJ27OzcEH
uwPdSbr7Syl+6QAcLyVMYWev7pmDhANi8kM1zV47CgB24FJHUoJCa61vgvb9Ky5tGTdtHV552J1J
JE704VZHlBr2mVPlFxLjM+mjTuQ8pZrVnrvWlpc+OckWbTgOTZaJR3B1/KBxVVZ9NWn2FoJCBrYy
D4ec/u8cX6laKHDIdprhLsMrfYWDgrH5+1+ExQCsfSHDvcPINGEPPtipne3Y690WxItAU8q2N4ox
p2e+yAcnCECIfw+1fLDf7qCOdBhBtc7ZDmVrByCmdODBZrX6/IU+GgWLVZhdJqJg/HY8SiLm0QDT
ZG8dmN47U8u9C2oh3pmo58NRCEH4A60OCD0no3ii7Fx4M1uvMKeLzkifJhjbZyq55wY5Ca3QUqZc
jernFr8nKqSWvFdnNzrzVT46oPCA4xKB50zv+uSrGBOimKba2dtM9Jcc/yFU4+Zy6vFkjETygozc
cGbJffRaMKFITiGdLV2J47nT8V1soTXYW3QEksdprrNLkbhgUj9fCMuPOd1WHtxVGMEAnAz19HZU
4gSUb84wiSP3Nu1mv5lDZROrlX7mjd4PBU+fnhgJBHbO72QlwL0WDtah9rZMiEV4IOrglO196jM/
/+5LMRLhDsJtRHOQt4/nDrkGKQH+U2rUMe2zS0VZTVrjrPoGB8nPh1o+/PH8MdSiJLRk0gti73io
3NDmVJq2vaVC232V7DUAAlq4Iu3QN6HdJxefj/fhJDISByHtY8oDJ+NVrTtzE9vbKFP7u0U6ZIWc
prgeG1OsPx/q/QqkJsDs0cEEvv0m3PP7SeSQuKJgULE00jzeqU2tYN9YqWcm8MNRENoH/kVNBdH9
4xdy5lptu5kXSgGC7wa1+H+cnddu3Niyhp+IAHO4ZQe2giVbcr4hZM8Mc858+vMtHWBDzSaakGbP
1TbG1Ysr1ar6A6VNOmYbYipiGS+nCY0bDiEe5qT3i2UeQ59AuBBpVgW1P9cGvr5rh6D38jgajjil
U5gbkbtrUHw+DQqAvOufcm2VQInCk5p8g+7l4ka3WkmFpztwRqWDsstrHXWZpquoUKIiY0/JFoVS
uTyvQNnIKsxNylpQqRdftUAcs+AxZXhYJqAnAL//xfEldQeSMbmRdEl6CFHthp0bNDs/oQE1yHV1
rzp1B1g2CpJ/agxllf2sTvaXkbv2AQbCeEf7qXm6/mUWWAiR+olfKvRtkAWwLjRYFKxsbKcdDI97
qnmxnC5+0oO5M3d5nMChGtAsjHas0RTkcNjFmmukdN1dv8YGbt92jvmPBQ7unUYM//+rEOYmC9Mp
ji2VbxOM7TWdF5Cnqhg0O2ZJF38Ej3N98CubWeHgoAjJaxCJicVm1uOkbe00NLyGz8AKdMYdQB9l
p7b0494fitOdE5Hbiy+9CNWHBZgCbhlPjQerBOiVQvuYnfk5nMrU+0AskU4KKysS+sVqFyQJiF6Z
6YW+Nu9QrUzvo4G7s4RT85FhQSij4ErrnkT+/PRARre28L42vaqWx31h0DZJ4Id5FnWWjZvyMgEF
vcb5pKsC63mRA9ZW7DSqVpMytdb0SQ0GdQ9EEHO/wda/6XoOSZV+lRuVm4fXyhFJIfgVKiHQWK8q
Vm9SQvzWEKyZyNFnPTIONYwyYf69hfdai6KzC7GzF+W9pZlfWlpwEzGA8pR+Hg7VAFxhENqM19fG
ahQc2CGXY29iyOr5hPGE6cIqNQwvrePosdb17JOk9Fsc7rUoBpuXGg4ucbC4z6MMNkB5znzdQ/Ey
uTPwdNybiVxvVFcuoliYmom1QL3fYVVo51GQA+/s0mY2wPEFj1mrpH950r07VRdRIJWid4cNGIKF
51ESORwcO0wzSgpq66pOlu/KWG43krPLcxjFAcShZEUBB8MtuRjMZHW+aZR15kVmUIDzUIIpAiFZ
05WHPB4++XZpai6PdKs/jBilf5fTmmRRShsV3rLm53dY8CIZfH25XJyQrzoIqGmSLrJklgghhyKH
PnFyeZ0x1Sf8uP9W2PjeApbfSoQvrmiWC9k9rRZQW+CAFjcmTYM4wPU787Bxig4TOF1BUUQOeYzb
+XefJlsPvcuhiSOfWRWaIGDEFgGlVstVX58Lr6JH/QAyQDoYfNJT7kDhf+9XpEqLjwBQF6HmuUw/
BtVhbue48DozCg/Q3WlJzoURU8aP841NsTYsUI0kdLTAybUWz7EqqHu4olHhzTYOM5PZRYfWyFS3
5Urdf2BYb0ItzpJMkubJEMaz1Zzj5QJIx7UGtWSRysbGF7xcHXxBA6cENgbrcOmTgAM5pSKzLrzE
SDHeNNLbROnByrUSorYJJLLrI7s8WUQ44dJDRYZbbXGD6k1GWoxbmhe38XwXN4B7uaubjXL30gaK
zOM8zOKY7ADg4fLNXI1OHe6bIfZf7HHCFF0PKshtlrTTJM0ZYFbH0y084Pb3kKX2xljXFgzVJ5IS
8i20cRazCFiqQ9hrZMGgVPyYTpHqTZLcn2pdKQ/XP+taKKEPBdOJpirA0/OjdAoLFAT8RFyf8Wf0
ZWoP5Ijm9qPtbByna+uFFAFlIT4xWfgiUiWTH/AOQaixMiu3tH08x+cGd2GFNqRf/vP+cSGtRcuR
hgIRF9GcNudpU2aZJ/WGupejSTnhCJ2d2l4NNz7hRRbEeN6GEp/4TS6SQN30zSIU10QXhXtQH8bo
ql0XfW4dYzgoJaUxp2yKcY+cSPHn+jjXvirMVIRCScptOvPnwS2ldtQM9X2v7YbgK2lY/R927O1R
lZrxTol7c2MWVwdLjgKIl2segYnzeHjbB9iG8V3LVC72klNlN1bu15+RQAr+jWRpfgQL2N/ClTU2
3qvi8D97r4rPTOGH9hpL0lxq4IxaFI+dxEqtnc66lyb4uDh85EiW0+n9nheZrUKBQtT++gcWC2UZ
VmCjTZ6NuI0ugelzLhmh0WupN4VgVXTI2WS78RYRZG1wEA15n1JMY3yLm68uC569mUUUPsFeawzz
68Th8KQotUKe1ih4cNjdOz0uXw87Wsr05kknAP0vNgnoVQO4tZl6iuTMx5ry8aGWm/7r9S+4wDTz
nmXmqAPRnkHAl7bCYs2kCSofasLgkPNpXtTBNmdUgVpkP7isUn9nD3n7Z+yz4bvcxXdWPAwPLY4L
kksNJNoSlFrbMI6w5jJehZRWNoxcISqVeoOppt+MRkpPQMjro+8XzQ81i1VvY/Ta5QJCvYk3nyg9
0NBZ3P5K1sHECeLUK+KpGD2I8KOz60dUIjytTPX2gJhtDB8eFZDMjcM6qF2QXXa+z8x6UoGZ1p18
UxaafNeWcbl1i68sbwjtMC7gWVHRWhbPyLh4lUwdvw5vpVs5bsoHPS+2PsJaFBr9NN/J2Flr4hu9
OSKDREr0KJ4zj+bRiz5P2bHXpGjjaFoPgqoPLAMFcOTiPa8lsHaMQuXILxOthJGN/jDvB7/YOO/F
kbo4EZCLJQoPQ3LUZauxwCFBDSc98xK5AaysTupdAsnJbaIqudlYPOI3X8SCEKMpFkUDaoHnH06W
NMmCX5h52pTIj6UGIN/V6rY4DjiSfoXEqf1QpWR2lR4UqUi9umNW2NH++s9Y/bI27pvQohn28lU3
Tnlp6zEbuCkq/yAFefCpCKV+AwSwFoVuKok/2QjV8EXWw5mfToCUOODpr+6wliiPuWZtVadXo6An
Cg2eA5fnzfkXBRXQ5JrMBRb1WfhgBJo/gdUYhsa9/s1WXo/kVDYPRyHDJFhj54GqqpKUWJJzL2dW
diVMg12MagpIDbkKnwKojbvMruzP42S0oMHb5iGA/xC6jho5kdv01rv71rROoXbRbYCygDLUIlXQ
gcsPSUlq20iqvEPccTgkUaJ/YBfy14tsktYGlYbzYY9GhMokb1G0aNp6L6m8c4Zc2SoTrt0pogBE
45GKP64Mi40xa9CbOzD6Xm2hLmJl007SHfATw7MatF+ltrnrev220NCrhjcioMTOxgSvLSTaAAhn
UK3F2HJxpgEcbrQsnnNP07L20M88gtpQ2iLGrR02rCPEv9E7ou2wWEXZjKyPk6Y5XLBiOJZdCWGh
ooNTmPEWqGhtQMJtzILfK978i/1nqGNM3ajOvXgoTberTark6D5s5FMrCSS4JWBsVFaRLViWJ2sV
CfMJ1R8PBZ4mdbVBre4R3RnVfV6qY7AXGAAbdl8zM6WTkf97fVuuDhKJbCDIMvGXYDpO0cTMo5xn
JCmqi6pHfV/iKrJx6a/O2psoi7VhqGbZKDqP1Uov+uOsqOMBp6BoZ3bj1gUuFvryhuAcs5gxiDuQ
d873m5bl5Kx6WngqJ8ZDFlXt6ELQ8t0GyRn8bmztmX2yVWRe3X8gH+mkCDERALnnYVOkheYokZjG
pkY7KEr17oWFWhWApMiOgYhov3K7d3CD7NP5uwkX4fdEnQ24Yicr1QeuDl6WFDbxauC5tzgN2rhJ
JKaSWY3TbhfRPUOe0rBa8wN7nvYp4teGwE0t6dpOmMztaCFcV1fRtE9xpIQIBQ3i+hpdm1IOlf8n
SpIzLjaiFsqITRqUwbKp/4miIgQaR3qCuv2jTYbSHaPx+/WA67P5JuJiEQGUSyRL6wtPijPlc4eT
4sHPtGpXOY35VcqCaTdChL1JYdX90kMKPMXcT15rt1sM5LXtSfHPQXmPRO4CLcyZ0cesqsLTeUbv
B1TbXKOptvB2q1GoH5OK8m6+yGd8bJrMEu68R216xN8g+SWnTvSBM4AW7v+CiB/xJuc1wdyYMSJ8
nqFG/mHQp2an8M471ZZSbTyNV8eDtqKoidNQXSKWQINGkalw3GhIIn2jhJXgw+bHG0fnJTiMBIIL
939hxKn3ZkSBXvklrJfC67vhRZnpR9rqsyNHvy25OVRScN823WMIcQul3odUG7B0/K8wt+oAa2er
KRIqGrnswOWNaPLyNyWlII2ZBv8udmBeKX1S3naghDa+q7hcl2erqIGD8gMxSpP6fMByVxgSrkmZ
l2rtf7LWS24s99iNjt/jKow/sOst6jgmj1Na4ku7J8Uc7Tysw9ybraqJUcAtpOpmkKwZHmI+FE9F
4TfzIU7I4U7Xt//aFyVRBaGJ1gyyPov3uVX3dluXkyhgzfPOskd1Bxsf/YtB3rIXWTvaxM0vC5ci
/HUXocI2VUu9p6WCiGD5C70/7b9hLrp6V0lZ6OlA/HSksKvmIyPEi+G1S8m5ugg7mRAQUiPOvdGP
2i9wJrVD2iIfPmnTluD+2l4UwBcwPQKZt5So8itLDQHY5h7GdIGr5YF0NObUeH9LQRi04KZuCui8
tTiw6xDN2lFtci/pSbX7cQwhjnb1ocmkLT/ktSmjTULp3Xzlbi1uo7iY2rSYyxygBjxdt0tKW9sP
wdwcgh7OgDuhB4OBBy6rG7X4lS/JPSvqRuBRBfxgsfuSKkQLEwtLPfG5ENDWplKkzzfXF//K8Mh4
X5/zpk2JYnGo5QpmanD8aKeNeXPTjDPUxiCp6m9VbhQ/kK12wmMtG1ve7St7jh6shuCFkMW9AJkO
RpNpVqKgTDCBH7Yoh3t2beJVEARbSvsr35FQvPpYKAJxI/78zbGdKpOZkp+l3qga4U3Vj9kJm6J3
Yw4BGzgWgCJH4NlArZxHyVQTb8WaKHFaZrseavyutvJ2f3221saCPxF8BAFmo2dxHkXvxponp4gC
KuQv0Phshyud9d/1KGuTQ0eLw5BXsjiQz6PEndnJrURd1M+c+JkGr41Bh1p3N6k0BRup68r6Iwsh
2eEtq1MeXezkiQSlGwYkKnqjKe8RTeBtVzCTxwopr0Or8AJCnyTvNjLZlSEiJgqqQdTUqcyKn/Vm
UQwoD+BUkNCNSTEOaOIy3uXaQB9d2zSWWOupIa8kZoxOIZ2DxdKotDxveiyJyJqVP5IScqGV5gs8
05/2kFmYS7jpg7LTN47IlaUikF4WtQjYplxv5yN0uiqKu2mkaJX31nE28Uw0tdp6f4oA1gYeABgR
qAdLsKODnbBM2zP1ImuGaTXj+DA48000UFbSsk3XjLVBsVZe0Q847yx9yCRZHzGEAJ4kUxE+ob6Y
3GlmMmyQKbaiLNb/gI2yrcNzoesYdK6phgW2vNWW4dfaEhS1G64WxwLwtlgWvTny05WUXYaEIIoM
hYmF9IB5bzDrG6t9dUBvQi3WAq6/ZdYYOMVBgoe03kyIiRlds79+bFxGYQsL8R6qmKJQuhzQlEey
BRQPZtFIFTqorO+5Ntp/3x/FIYMSDAXwvBeEyr5Ff2hoVC/ImJx41ppDJGRZrkdZ2bR0vOCLCrYo
gIwlxSyvEQVG71TxAll3c2n6bKb5cWoRz4vk0kvU+JOlJ6fGzDzoiRup8CVWk3abELlDgIaWEWWG
872LUgfq4jN8sAirArwP9P4GrYjg0FvFdF9l6IQxhajsJs6MK28aYr+dVz6iClX7y+516wDnv75R
u0S5QcN2/oQlbn7rZ0lgvH/KhdUatTmuPKSzFveRqnc8DwJ+qN057SnLEmSU5rDdyFFeS9/nDxEK
LVywfA4HavISImY7cdBRF668sTIqzOSHMdDcILPLv22vF88oaijfB8Uv7msdiQQ3DNDR3KNjhmZP
Y+dUhFqtGAYXv6eu3qMrgN6AMWgI1g4lIneuHGJXfKtaCGHsGizLbDfsi0R29VZN6pOOJ3ZwyFrd
6lx5SqbHrpdDvAyQjBV8Mbl6iYqp+G+OYwet9txvb1F052/NdMVvXFK2etphoInqY0ajI9nBYsJs
YE5zHo95XCeHptCSv4MFD82tar99DHkL1Yfr6/n1+bT4hILxx4oiOwHPtCikdqRzHTUrSjezNv+n
Ta3hjYmw6Q4UJftRlIn6N0R0IjsAkkfbehReFntdzad/m65X7qt5iB7l0pxeQHc5J5UWhTsM8/zV
T+hV70kjgn5vKUMa762YixSDEZjpiEjV3V+EI/QvWjVXomHNVbvzMSiJdjm0+l8qJttfrw/18lwF
z8SFJDIKQZpZHHa6VGhR4DsUHyfZusPsC8FydLGPsrCEvh7q8sQjFGuSLELAJJdnkYE3i5+ztjxL
q7Cm7mak7XssnT4ShTo/RFQkBKzFdZSi/1KONU56ZtqWHk2O9iH0S3njxFsdC2YAPHQgU1n2IorT
9+qoR3bhpTB3ESw3zCNwA//T9bGsTg5lfAoYYMHkpVaoFpeyU6MaD62PqlpRIErVz2j1ZhS+Ns6m
y8ySyaFowWUEagqY2/khmtpVXmG5Vnq4atWf+lFWnpsax7fAGCavVnwN+4Ym/3J9fJflfYJid0Ln
hzvwQia0zKpJBcdQev0wqs8o1wenpimChwwrIJQ9pObYFXT3HEsyNt74K5cGT8XX2wLMD74uix1e
OVYj+TblKdVP0/KEpH0S7JTYsD7HstE+yZGTAZ7HL+OnbvjGL6128PnDPMn3Zg7A56GXWzZlXMg/
W3p3plvKYfO5Gsyqcxtq+ebGiXRZXOLnAgYHFUDqePEC5DgNR1pcBYCrEdRo5vh4iip5+43aUnoc
ynT8fX1qtgIuzgVZCX01zll6spV86frceAxwdX/Cw2t6CJAc/UA0gXiEz8wqVNXz1VeqvlHXHcML
k7x9grDbfdGR7vjay93BT4duY/bXdi/cX1a76CCjXXIeDs+6MM9DDj27L/wfDWionVCE38i91nYv
6R1lUKHMCTvnPIocT5rtyxxCCv03LI0S6TkZtebTNErBz/d/P9iIcGMMKDIXQCs/KnX6+TahoFb+
49R2fpJC2UE4yLE9ewyyjWrL2tBoikEIpwQIYEc7H5pTRdVUBVXhlZmZfip9S92heKIdFDk2NtKZ
lXYD+qmirCOiCVTIeSwp8nvJsKlXh3QCun0SR7bpSvgbd24HUQLKrF0PNG1jU3tWcxMtJHsAjXzQ
qsm+weK231R8F2fhMjsAJEh+hRIEpAmxvN48h0OIQEmb0UXLtL5pkMUwCmStJCP2NAlk0kG2KjTG
QtXP3VaCfzpoVfavXc6YpwQw7r6/f+5JhVCfEXLWF+melE3COiMrPVvysV4wg+CrEcrpXoLPf5CU
dH78QDyaofCJXltbi80Tz/g79ip7taZcCSpBpfWTK2aBGFRq3k6Q3eONy/byLCJdYGkjCQWdk7CL
7z3hpu7kYnWjvOL6FbYhMDn+dub0rZvyLTf3tWgUm3lHUF8BJLnI0uuxClttaCqvn9U8xq5lNJDU
nfA8Q2jt2xhL5ufrH/RyM0FXFm1CuNGw1Zfvl9IvSr5kXNMdlfSD3sjNU1MO9T6EYPfteqi1scG2
MGCL0QK+QA6aWqNzqhulVwJ7esYRoE1c35f1wlW5cm+sJK6zjcm7PGuhqYBoAy2GSAyJ0PnkVZi9
yFHF5CGiEh2MEVnieZy1jShiUs63JFE4IehpUU1nZOdReH/IVhiPpae2SvupGysEC5t5yH5Jw4hr
ZhcISeAh3Kmy8CrxNS3emMS1YcKbE5Lu1NuQJzn/AbmRpX1PH9ILc9/a+aEA8DpJ+O7kFljXmyiL
vWdh9VfHUlF5Gszpfa5H2j5G9W/jY17mgkSB2M60qcjHL/suoz5H2PKM7ACtim+SSVV+dGh9Hwaj
Lr6g6Vzj/JT748a5IqZoOYUIfoiuJLrOFyDscIB3J6V55QVFgV5u2wTDlwK3r588evrfZuyHBx94
S+YaUD321/fF2hZ8G3vxXQst0BK9zSova/30tmgM6dAh7fXdaTflhVaHKaTUZCr6QGcWoawuMQ2j
N0vPmJQwOxRJqexGpdH3uSLRINHtzj52KYZMFr7op+vDXJ1Y4N/US/j3QgPC7MEiY7lewSDHal6T
/w1KKUaGo4X+Fx9RLH25Hm91U7yJt9iVXWc5c1QRz/TLbq/bgHgT1X8/6JrlSlEFzhEkPxSVzrde
nyNtkVtMXo+ZOuRgUvCOe/Z4fSxrSwT45qv9Ni7gS2SuFc1waEu99PK8C0707TjRAqV/rqlYPl8P
tfbZ3oZSzwfUSVoxZSZLpMNewNiRPYTdLqt0/+v1OGvLAZQrT0tuVjFN53EUo7aAHnWVN1mSvG/j
MPuVB4E/upHfzY8Y+iiInzp6ur8edu0SImERjCqaJsDHzsNKOK/Emc4hJhfV9Bf53ZTyZ2pTWTIr
y5PqCdO86xHX5o48hAaaySPjwu0jUEx0gFVWCKj48KTltXHS8dvAq081nq6HWsgiC/y66IyDKOYq
oPK+pE4iiK9BUBlrr5LT8sbpre7b2FmZp8h9c5+nPhKg86QC74AFsnfaxHocIZXvMBPFGhgs3Ld8
jPpHYwhr7/ovW1lVOi4xKkhWS2gFLPKaTo5SumQg9rJsNF/yaewwGMQfLdz42CvFYHI1hHdEQspT
bSlGZMkd5xfmR56UdM6TUprRobaj6k6XK/8e5ID9PWmq+KiPpu2Br3O+G5MUWRu/YmXKKWQYsEAg
bUNZUM8XWaBpE8hWAJdmCpgTDe/iOPVBGGFgaY3vfg0x4DexFvkp5u4xzrQKX3bQpN3kJMj9Vm2x
m2tjPlyfxNVhid6RcJVHl0xs6TdPD8RPGysJm8JDk7Y91Ubb3KhB5H/zwzLeGNXaehGQJ/H0Epj/
xagiGKMW8vWCXxmbp9Eqxp+51Nsb+2UrivjztwPCvCid4Tp4XQRJD9Hg4mmki/7uHhXMX9aiECMF
sPq6ZN9EGWcr0fSEKIbVD6gs+9qhs8phd31y1la+ASiAZoR4qxivBq5vwugZU1OqLDq9775OhlR/
UWlv0+XBXcDEbaAejoMijZgQSsjS1+3G9b7yLQkP/IjKNYj1Jci4brJ6apET9KS0jxrBpMeiGhnh
LWO1lQOc1FB4w/E/aqyLlTG0E8Z/WA94QLpCz7Hn6pA2su2CGddu8HPbchdYGxcIY8rTNgcKB8v5
Ghl6yuYITeQgtpXkZYwd+UmeZmt/ffa2ooit92byZL+16tr0cy/s/fLQDWW/a7P6v/cHodeHZwmV
J9FpPg/SpaNkFIGVe2rlq/e53JsHFsOWWsvaUOjSc9gDq6dzvzglqmzo4zTnqFeMLLrrcT64N7rR
fL4+lpUaKugsjTnhaccJu9S28+fZjGYZdHYNg+JPEsf9T0VNnd9ogDcnK87xS8xx9TlYYRbtpqC3
591EB8ptAn8yaEYm9p3cT8ULXYD2hwMA8oDCenxUuyzdOMvWVixmKUgN0NIRD+Dzz+7rvYU1YUa5
3tHu8tkPdmU+Pqhq97NAVfv9Fy0ldBBdVLRhPl7cf0Yeg80DlkrrqrzLAlO/zRslLt5/wxFGaLrB
XsL0ZzHJumn1ZdhDSlfycPo91HgcknIk+5Da9cbTbG098b6m8kKeaDrm4vM5Tt8ljczWKOYg+w3D
SLnJIMwerq8n8bcsHoAcnQQAIU6HaCknKGVGmsWpxqptVeneH2pjP2S99pB1drBxUq8OiFSIagtw
OB5i5+uhKhWKohqh9KrI9tmQzfs52Uw7V4oSYnZgkpF40RkXq/LNiRL6BRK7vpNDZLOH/ehEux7l
nbLxH02r/pfHfOzSlddcB1TcxuJYHSBLAGUc+CBc3+ehHWjGClKDuVc2yDLVSq/+lhCZ3TgBtqIs
TrNglsI5rRlgOhpx6FaRHt3pcRZs9CJWvyPJJDp7vO643M4Hk1cTSSaeL9RWygEshjzhEZuWwTEK
u/GzLoXhAwY4zS3ev2SZutnZGytz5c0umhP0CviiNIsWW601O2XCRw/0QhI5n4pAiQ+9LMlfJiyY
PuU4ah9sq7A8/mMn2JjIlU1B+5ky/avLFsIa52MPIysNGwkwautY9YMK9exnpozG7wL++PvPLU5H
IMwgbWl+L18utWRUVStFIEQdUz5EnVo8YMJifru+y8UPXuzyt1GWXJAmSEJNSYC8ZrZWo5cZBg9S
pzQnZ5in6jiPUXlI+85KNqZwZamS74t+Pq1hPuZiqTpd1DdJxeCywWhdDRJI7SZTiE/I9eGtzRfd
WlJMgtBXF3/+Zs+XpVzgTJWw59tCuDroB3uIf5RVMX5gQOhpiDYWGS0BzwMp6qywNggUhblzFzbV
o6841kbevDYaUEM4jMEXQr5xMRqshPKow5XY02R2Fqarj+Zshlj0xNM/17/b2rIguYNoze2MXOOi
VFT0Uw9JVSES7iB+BydppxWydki6tu12qYIXO5D3cry5HnZtWZC5CBioAz/AXFwEpip3HC2RULQY
TddWSszdkUh4/3VjQqzi+BLcvAtwMvZkSSZZANmNOEOTXVOHY2RtJgRrY6H+ADoZOXYqt+LP3yy9
tAMLpGFk7dloTLhW1eGVqwXJRk1v5TA2WW2IM3ESAt4Vf/4mSmumZQnehShO2qOs0MrGgdeq/TNI
OmwYw8r+hppTsjPCQMpcu4qVjY+5siYhkanosNGd4U232MlSPSs850GzzzO0g6yDKYcUyXg3Vd2w
sZlXvuhZqMXqKPCkxJ4F3igMQWtv19aLxoX+oSBgwlRuN0jTi2nrMr1MW/pYiG2mFfD15qWXA/P9
T0MggJS+QIYhnL5sT5RKo2ZDwBWa41rnOQOXh8ITYeNMWpsaHCqEECHcYZpM52tDyzTURWK+V5MG
eYEQYivtejyo7iNM37+9e+dyFwumu5Alp7d0HivSKr1BnFFQJyo6no4gvslB+fyBKAIhIJAxaG0s
TtlKgnUCDoXFNsS25Sp6lXrJJM9/rod5xRcvbkUAmrzdgWra3MGLlSa3+ljGUU/uG7fT5953Ep31
Zpv+tzoZOv9ORzypAbyY9O0+Soz65HRNVR0S3OnuLCTo21M4jH57DApTv0vK1OyPWg2O6wNrlaPS
wlGY2iYsgfOPXjY0sXGKzjzMzv5McaQ82EqUbTS5Vk4Y0ItUnMAhCauMxQmTYd+LyCg3m9NpoZuP
cOEDq/9uGO2XUNXutbj/1LdIuSXKvIECX1u/QiEOiSP4Yhf9kQFydq9kGfu9NCy86xP5gD0sGPsq
2TLtXh3kK6CePpDAnZ9/SWQF5lIxIXD5RvtPlaK92Fj10XL8n7M1H6VoRBpH+5Xp6ca2WYFToLDC
NUHriQcx7LHzwG3nB1WSQFPDFSc5grrorV1lBPMvrVIb3K2k2nq2UVX5BNOlHw8RbJ760GljRNtU
jc1042m5+sm5eMGsUN5BIP/852S9JGG352TINAPrABwr9TtZSfuDASBH3Vi+K2UA7gtKp/CtePQt
+dyRXiSVpZFMK5Fs7DEHIgMNqh50rE5twEoM4yMbRuwXUXngrb4kh0y+jrvfwFoeaT8j5yYZ/T7z
ZW3LVVwsl+X5QTWAHhgWkDYoy/PPCGOtkybJzrxecXLU7vt5ZwPs3CijrEeBIY6iKw39JX9B70qN
4YDiLiK4f5JRlvdBPCqH64fh2pIQm5D0mRseVa7zsSRmQzO/15CFbJz4n6JEf8JxguB36g/y+588
olv/v1CLz6bPTVioLauvkORkn2JU7tl6Yj1dH9DaZxOPOEEDB5C6ZO0YmdSVlI2ZnK7BXq8qg/0M
ZPr4gSjkfSJN559ljVv27bTIDcZC2zn5Bzkz3zULW/v3epS1LcRDClYk/0LIWBzOlE3Cmes48wAB
/Yad+aT0jbNLa6l343EL1bHyKIAbRi3NEGnYhegu/AvZThHO8Ka+eQgxWv4kZeb0RXTgnuFlAFjR
tpSm1xaf6BVwNDJfIMDPF182lNiFWhRoeXNVO7SODLcMlXknINsbp9Ha6ChpAA7EPoOe3CJbCpWk
rwJJ5bbBqvc5Uuo8dVvVwO3Tn/0fLU5IB2RLtnbXxWJkCcKvcniMEJnT4nyAc4x/8WA1+cmym/JR
S/DuLlJrC0Ev/paz84govLOhgvIOYfYWG4uaVC1PnZ6dBgxT7bvJlJOD2TbGyQ7tcDgGag3eXRn4
f5Vi1rbUpy8mkeg0YtlrPIR4gy+Ql1IPsr7BhPgElbGG66qHbhs5uJwmzdaVsvI5BWAF6gtoYnKi
xXqBAKEOsWmnp9jvHIyHSV6E2br63m1H6fWVxI6TPJIVSxFbxC5bDZGD5MR6Cm/zwfB/oauKBa2B
a9QuUcxyf32fX35C6l1kQbTnYf5py1dW2DWjMXZVfDLCsH5yJHn461dDdwNpxdlAuV+mJIB+wG0J
UTnItWisni/J3JjaPozr+KSM+ohHqjHc9bhYPvaT3P2qC80+yFLn3Dn90NzlmK2ciiaPPgdgrjYG
fTmZnJ/wy4ROj5hL9fyH9JnR+EaWMegha2/lNimOURwrG1Eu9j19AR4TggkEb5KK1CJKiB5wW9rR
qZZVCeWR0X4anH7aBdHc/alHefpcDLP87oqwiEovF7Q9ZcgLXIKNwgkliCk6yd1UP3eaPD7V1K7f
C4MjCnFw3QGlzkth8QUlJFDt1NCjU4WM2y6p2s6tqH1sfMGVFUMYkcohQyg+ppjIN0UI28xKJRiM
6NSOZcNyaMpnYPnmjTFF1TEurRAV4FBPXV2VoqeJl9W+6PvoBY2ZfCODeD1Lzk86gTGA7iSWL2tm
MZtR1nes6DI+OY2lz7scREN9nJEmfnCkGpMjP6Q+t0dDBF9cyYFQKFG+nk/2XGrYDkN3vZ/mUMnc
zurtF9hX2e+q4FRxae/I/sGetcgzJGM2jgroty++XvZ3aWvbd9LQAPfVWC/6rs5afAcC7GJuLH1I
HtEpxH8IMld0iGh7p5+HMk/+SDYymLtMnY07fdQAFpFLjoo7zRW2f+i2N8Yhz3PlFASBUh2lWsIs
paSn+6WNejOgl6dhSuSHWa7utcxJy72Cg9xwlyKGaN6akz8ciqhB6aaYqkrZZ0kybByCF28mLmYA
c6Bl+daXT36eNPUsa6HkoUUe+NDOuv6Atk7yMsRzT8FasNOiWZHdMC4wl+nSreTg8lYjhaOsSyEA
7PtFfSMctDLg2RYjy1KWR2tuy7s5t+tHu2j6ez315X8mgHfUz51+Y5ldnkwGYA9bQewO7B6grfMF
bw4KIkmmHJ0UKbUPZpMDnYnrLQ3vyw/Ms5vLGisbjnyYqedRjMSuTKUxo1M0m9qjkQ/xIJqYanKE
D9dULtwNrFmMebIq3CLJH3aVmQJivH71XIyVlyDdHg4REETs7kWGkmkBwBdfCk6OZPqym/SSuk/R
pd6Ca1xccbg5gIIWTzNUAqiOnY8WMk9kGvUcnbQ+sT9TNmO9t5GtHtu+nbf4VRd5M8EomAj+Dvxv
tP7Og1UwgK1S66KTNCp/MenTXH1SHgZHepyl+tf1D7g2MJsbDClISmQXffnambtCKszwVKh+fWhT
H+/zaK7ucEzuj9dDvSYeZ8cfNWABrxKCnYAAnEWBzC8QTczaNDqZVoF1vFpRju3nYArcqZtN8J5m
3FChkpGd9IETSzt78v1f5RRJv4ZEtV/A/Nq/uwEIlYtvdYCiYVb7Ln7y2XsLDfxQmvGgFTirkVpa
/FBA6Go2Yop36pte2Zk1N1Pf2slutMctcZ6VBWwKcwYmmu4/mMPzua5HvOU1i21kx0gNYq5Cn0sZ
/I1tsjLLqH0ZFDJolwvUz3kU1P10ew6S+AT3OjykgcRYNDk+zEmxRcC4DEXFSLgLcfhw7i7pWZlZ
BXNth6qXtknyJ7UpLDhaGX8Lanra1xfURXIk2JSIaaAUT7oiL0Pl5JwlAiqqp9XG16wObssueuJW
+l1N+UNTl+/eKroAuIkznUOPw/38I8oRBWsoJIpXhq198jsMVmJDLW9TBH7310e28hGZKoBK5Cws
wCXDsgYIGcK1UDw5t77OdjLfAOJPXEVqw43LYiUS5A46TeJFIqT+zgfVwaSDEK8oXjplGta8Zbcz
S1P2bAvc2fVBXR5rPH6QaUaumCnjuXUeKq+ndDBtJICLoG93HYwjJU3+2rG0r2lsbAS73FcE41qA
qYyTBbnAeTBTC1SZVE/1Gg7zRznq/4+682iO3EjX9V+Z0B468ObGmVkAqCoSNO3YrZY2iFarBQ8k
Eh6//j6gNGe6UAzW6bu7Ci1E0WQhkeYzr8nve/WqB/WLo1BBQJlm8+3aw5M14McCApV26jt7ecxy
1T6oaX4tDb8MYZ95DgSwzsaGJqs7fxgEurHjxU4EB0HRHua8NqPB6eYALjZVSUvG1Z2S9cVnqQ3l
F9GZOPeOlXMYRfPDfrrPn2RTatsY0xclndRNYPIJR0N/cnICbdKIXy1PHEvx41p6DEXoRixDo4vC
925ldoZZKxmonJObSusua+v8pl7kDwtIb6NsGdxmgU20uB8l89zCyy0Nw2Ntuu1qczjGayuvpDra
RbS0aQ+DpobADDSFluj5G0zjdnaTtOBUtDD8mQ04aT6SQ0lAAD8HptZCX1aMniDfG9+lDYrewepY
1b305uSEoVTnN4lCm6Fo23uU9MZoSeY2HCu4hb5BZeiA0ZRXXdlDl2eDtZkV0nGgDIj65f5Du52S
5dJEjzFPvLsK3RG/nz03Slfxw8KJXEugdYDAwUolxNrduMo8x85gztDH0aA+aG5vBZq7XHOhvdyu
GzKIxYSwGWW0PawdbK1KBd9bTlVSTr6T9cIvq+Wa5P5Lo9AR2qohdKQwojt/1yKtVuTv0xXiVToF
VDH0UPTuD1fNoMehz4SmrsY1CD70fBRFKK6Ha+4Mk8U07ty4tv80B1w8arfJfpXripJJ6tWfy6bX
D6+f48+gxP/EcaDUtuI0TZitqQ5b+Rnr+V1GvebKYq8UV05NO6mIXftL3A1xFVp9Ps8H8CdbeJEW
bs2adowTltj5eBI5lUrE0DTZpUdP0lV7P9eWmmen3shLfTnYQtH18dOQQn60fMnL0r7JTHSrRhnc
zerEXxVKpMGkI8DkhiriS9WTArfeCWRpIWWvKzgo3yK5vc43yTis3kmMci6O5MHm1zlOiVc+lluF
wPmoArZTm6M1jEPenZoqngQbsKztxUCFJiu441tp2fExGapYBmlOqlOkfubYlNOA5SlqB5XerYuB
CiVQSh3+4OMSt9A+Fz9Zp2Ws39fUVRQBtxftgNw37L743Yq7JT/1BJ31QeRp3gZTaVi98iaz0unr
3GRmFSyVLlpcfmP7xzxBN40L4hfkubdmFmfqHr+SIF6A/RcN2bhevdCO+zoq3Cx7oyxLcy3U36qm
3y2Rv8aiu7AhWwkq9vjMLsHgp5wBTTo2Rh7IfIhPnp3KKEssJCgHjZZ/0CIL815FVedrXJioWrXE
Qdf41+d78fmZiXa3ZcpCRdVzd64kbTczqaAM4mFJ3k4rIqZYof9QuvDXIKgDIBFMT56H3UXXhSv1
OTNsGncaioy+IuLs7Thb7RPePuufr2++lx6IZBs6OU0HkpPdAymoj2Hbs3UguecDDLV1O5Stp9Th
lXHOo7W/HmpjV3JQIrRAn/D8fAEpiWyJMopT4pX5h3xS7cSfKyeNmrGhBCWHZvkFDere8qmZOffT
MnmFj0NA20WxlVaJb6Ue3uxSL5KPwsmgbHlV276Z83Wefa5ZtlHtORO2R+us/IbqZPy0ZuXwEJeJ
RcKLkD6GZ3kD59CTjXBvRF7DfixTOX9yZLK8tSTSRJh2x55frHOnhs6E87xftyJ9bLqkywNEagzb
z5JRWoeh1bTf0MOYJ4y/lOYXmIbSOEqpUzt1SR1UZCA78bsOTc+5LUiW7hWFlvu1Sb3cFUgubJEi
fDZDvZBCqIEhlR2dV2X2QLsUsfZAvXH9+PqrO688/fXmvh9lW0LfHc853nV6XdAJIyRANGix3KCp
Bv04oiJ1cPO+5GWl4omZuoZmP49y/h6Z5UIgtQWq+zUjCCe6pAQ4GRO63Rh9Ox9iTutAw3/gvdtp
y02rJdmTm+jjQzJq7JXXn/zF8aEokkyDZb64E4WZTEqrgRetu5SC6VTlv6VKMQeVUMpH0ekpmo7m
8tAro/cpE1K7Agm53JtIEW4HKwGlBWdxl3MMZKnci1sDPy7cW9sY1zeILVw70p5D0vOzlRoy6TWh
DNoDNEHO32/nlUU3lmgjccUNrT8oqZeGKk7FFpwozZnRPcwrL0AuBykpbbEputlelXdgJXLxhwMJ
/GM6GErit3HXeod2bPvHyZrRCHVgHL7V22T4KhIXBSvFa/S7RptcJ0TKADG0zYHhT0Nb1k+Fqc8V
zAhiBb9znFkEadmqGReaSWlnHWUWH3uEAyLRFnp2O3b4bTD3dnnTdm3/caYeda1Huj33bl6QtQHl
tSm1ACrbnVhMtVtXGQpB8Tg2qMeWDn6ow5NrKNeYdZdnI5Wa7fRFs5oG0N6hHJiVxAhg06s2V0sD
u7Yo901t1qdWxMI38Bi8ppX70rPRRQYvR/GP7vbu2bRictc55thfmqQ8rHn25EkF50g9Ha+cHi8s
Yo28Tn3mSGMAtoteZ8qRg1aYzQnud3MYJ1M9qmK81pW5PKOQ1Ae/+IwsYsfuuq76Ktx1SA0BVD3+
lWhlDEwYxJzXatDVUg/0Rnm7tObt6+fDC+8N5U62JtkrhfG97WqT1k1vVAhXgYFZyb+mP2cj+ZTV
9be1j39/fawX5pEjkM4dBwJl8ot5zJFYKWohTzWm20FCkTWsTO/va/q/vs7/J/nWvP1reXf/+m++
/op8lcwS/FrOv/zXG/Gt/tDLb9/6hy/iv7df/Z8f/df5l/zm3385/NJ/OfviUPdZv7wbvsnl/bdu
KPvnQfgM20/+b7/5j2/Pf+VpEd/++dOXP6qsDrOul9nX/qe/v3X7xz9/2vq2cA6/m85tjL9/4PFL
xe/ef6nEUCcv/ta3L13/z5+gH/+MCBnlOHIfxEJMdsT07a/vGD9vpCBYy/S+Nz2gn/5R42yd/vMn
xfgZoRai382bGaMuqoY//aNrhufv2T/z03Q0yNyQ798cUH/69xycvYf/vJd/4Ov3tskQkvnnTxev
n1LN5ke1dX7IKPZ6qmbVTooxJCbARHTW4Quqp8k1rnmOXYxCH4vFBbyKCjJktd2N06qyhK08Kaex
LHWQgEocOpa4Vn86r7NuguMq4D/SPg6fLSTcFT6nBNsGu/RiaBjL2vuuXur01Qd7OpluPP7uqEJQ
zU9FdU3y/KWBtx7eJrdLb8DenRKW0FsVcIgCP77iYKgycafhmBd2TTacpOuNYaeW6rvvVtrfb/L7
N7c/JLan3dj4W/mag3YPelSqKce611CwAdDSD4ozdofFkuatMJbxwSqaa8rT24H6/bXFeHT4NwAF
0n1QlrbP8124FqfFsiarq5wSLWv8UXTfal37VHby7eSWH6pYE8cqn24hDF/Bzj5zb/cjAyWnwLZd
mugQ7EZugRwm0PRuCnouv6uzXEJ8GJbD1FvmUbfW9DDXqndUDQo/4CxVv68a78tsth/HIZVfptW+
qpX4wuRvZ7NOjZhYip7e+UdqBzOWWm8kN7Tsc3ZMvRxga/VRkxTzcUJaab4SMu530Db7m0z7tuFR
YdgPaDtpqsiaAZPWnX3PlQKIU3Wto/fyKDh9s5IJ3PZ4OxfFxGr2zOTGRPGUcp8qQ1NNrjn2vDB5
zwEoj0NHFnD9+eRphpjB+NC2sqvYcv3crOWdTJvkPrWtCsAsmNUfn73NcYESFmBSHAO25/5u7aqL
hTyu2TEiLI83vVYMUZFpztPrO3If/PCOOHrYkUg6Yxqo746BMkNUfsFW6UbBq4oCe2I9LtSKTsjw
JofXh3rhxLE4+VEl3rzxSLPPH0iRBLsgnrObvBXt+zTdEk9PnQ9GKuPSXzrM1Aerta4UEOi18HfP
tyJxFcQ9IiGP8uS+XjLos2G2yHqfirmu4e4Zo/5AN8EoA4AMyh9a19UWmkpeHx+EptbfFIrzyl3f
NvltRoWlPYxu0r+nxVaUIdw45BHQMIi9EAtVr/PLXK8SgLFK86FfbUwx0k44YziMhrqEhp2bDyJ1
cDYsXXMy73Kjtm5raVrTMcd39z06740IcF+T9gHcmflxELVV+FRqkw/bxxaH3sI+zIdF6qh+PI/e
17Fp1DHA42BqfXIUtz3pnZRmkHpG/OcUM7e+5STL+IhpR9768Ol1MxzaTulCpA9Buqe16d6bq56/
U63Uear6jI+XjNT2wnpMBPyNvtA3xQKIbL62pjOAg6Yz2pDqWS+Oee9MVWiAOnjvpLLLAmepqzFI
6njT5R1MDbpR3g8deRPel1WgG6uTfjJrs+yPLZ2/5JRXo7uccpT5zENRx5V1gHujvHEAnc++1api
8NOpGBFl54pafUubzCTgaBM55F0vvrc8zsnAGcf5NwSOexKxtWqQ3FunojgaZqnagQpP9NadHRvE
qD7pJMhJ89nT8wLWu2N1X8GooFtYmCY1ENAAyy9IGyqWb5ZthZoy01/RkM7lk4D79ptqCzCoFLi0
J9tZCpQOPV15i4FG82VQEgXRNoSCngY7Kd7GytiFsp/0Pxxk6zJfxO3g+LE1kZFJOCH1AVCW89jm
BANBijpZVFHtBPxDvXby04V3G5Szpr5Jky5dg1S3SuHHibX8id4a/mA4TOkDUCHD+01X5+5RM9p2
OPEugOunY98kwTRZ5VfgoGK9H9L7pF7NQ2lgJ3Gk2lreJn0XTz6+x57nj0MtHT8DXKz5atWmb2er
+ZCX8eoXnWxvvF4Y9lHtDOUNCBdUiMuhaP9wdSE/CK1w15AykvllSOb6ySIz9Hw1B6kXGFmZN0FW
50Xu963WglnJJjNKVGPKQ7fIl+xATFO8laKqK9+RmbXJfw7zfZ0nsjpIOfZjMA3S7v1GT5x3WG4Y
b5YyHj72lIDzoCozE8NyJ1+ZDThOqt/V/WelUufiAHfH+mrEKEP5dC1x+FZIg5D8zMv5pux7Z/TH
DAApyuhaU/h1Zdd2oBeroRyWNbY/O0ms/pLTZnpMtFiLfcXJ2uSg9Dk7cqZJ/DC72+xZbV2robEO
1u/ChY1/zDQF984hLcY0MHLTln6e8UHMuKkKlO4cr7zvzL74pMSWKH3LyucYmwGh3bmuTEt/dOfy
ERH0+I5iJ/59QC4hDMXmknVYpqvug0RjhC5UXnYitLLc/lObcu0p1ZZe3vQJtVP2rayyw6LpWf6n
na72p7SY9Nyvc4+///op/kJks1Gw6L0QPGK1cWEMMWaqXjVmeoPvT/kbHhJIVQscaY9UVKxjiZ8I
Dyf1e1dZbeqLTopLL33o1WnWm9Jw5Y1qz9eUUC7jPPrR4JwB/4GoJg85v1p0ymHGusTpjUu4cZfE
qfyc0aZ+4vgdPqZ9odyQZiehJQh3RhbUlWjv8hLd7rNN1QlkHCjy3fCt0sZWpoG2VNtuuAOutQZx
U+uPWVw7N69P/2W0w1BbN4/eFHXqPaC7Swe1b3Qnu5nr+Q9OizZsjK46/fggyCQAvN8K4QRV59OJ
8HKO+zHP4yLv/lZxFN0Xdr1+eR7lh/Lrh+yrbLrmz/48mf7/PAsHXOYa5HIs0//6d557kYc/bnnz
Px6+cGwO3yfj3/3y3+m47v1Mt54kdOunb52J/0nHdfNnAnm634DLKA1vRe+/03H9ZyI6rHZIKTcA
1LZL/52M6z+ThcO+ApnvbYwbcpN/f8j/RTK+F1pjaAR40f3DOIsFc2Ft4eVlWlvG1ET0KqY7W2pI
rjW6eTf3wjmggoSs4jQoD4rZIgO8ZstdNa1mqDlV5evYIHOMFH8mtnlN9fn8SODJNhgcRXFOBBR4
KEqcr2GlbMfFlm4ZiaLUw6pk05fFKg5GMs8P2egkR81JnVAgb3mYkumaiMpzQvCfqHMbnzLJ5gaJ
xQQ7aA+SqUrwW5oyrFHhVOARMm4/9LW6o+0V8pimUwekvRtvh4ZGkF9mfRxYeZIfhjlujyKe6rtS
9I4/eOV0qCt19ElM5C2qENXtamXJj+kL/PVhQUTSw+Qlol19PlkAmYus54COZC4MX2TKHKTCc0Nk
6bLDd4v8hRLAHnDzPBawHs4WWoaoFu0yqd6k4Fou6RolsZ0e2iKzuSCy7kPZleshybTSz7Ilf9Rw
YQ1npuSJPzE9zFk5Xzm1z/ORv94QrfbNA4SEmDbm+UNn/YxbjuIsUWwsnxRBWd+y6cnV7YaYd2MN
k57pmv/w5ZgQRzSo0ltZCejU7uG9rJ6QW5rHyFOG4q2Z1zX0Yh1wGPyjd0bX6b8mtKev9E7Or6ft
QRl0qztT0Nt8BXZVEPw62saiLxQZ8aj6SIY3NyW4y2M/qNeUTc+vp7+GAjRBZQ4cGvWW3a7zOnRG
16wbI0cZqhsVC6wj2JprVP3nrPR8c20D0ImgSLkldrtXJ2ZlNpRm1qJRj5W7wk21W1VmDY1MzIjB
xC/3aMUUd2hNaid7mbNwe7NfehKncKC/9gukJPdkDeYSjBSFbl1o8qHq9q3vjnp6LAdMRfy1TONf
Xl/7L7yIrXDpQWnb4oQ97MqpU22OXaFFhdZbtH1cJ0hk5gQDNPMrYdoLL4IVBp6EVw7EaC/vIqtq
Vdcq0yJjHpZwGcvqiJz2D6q5sLI2GP5WUdqeCSTT+RYiy1jQlzDUaMTX5CATDYKXWIbw9Wm7fBZG
QaOU+29D6e2hRWmmqaJIXDVying4Lq21+kYvrxJzLvcmU8UdalCqJkHas9WWdQVVj+NGZKO5iDLZ
Eq+/V2OWs7TITlN7w29mI92Gm1FLWuuQUKU9tJP0HhyvaYAJAUqBXKea34q6ngW2EOrUh8qa4a3T
VKbh10nFEutIRQF7DWQLvu32gkRkVOf7buwByMjKKDPfNurh8zCbuC5AM+sjUYvBvaHGNIiwAlTu
+VKdSQ+1RVcwqK8KZz7U5fJRCKNLt1yuswJMltLhWMs1mY5tvSS3Y7ZkuNfLaTYO1JUw0lTsrjxa
9dp8lHAEyVq6VLSB1QnvWtLw0tRuSDf6xlRDsTU8Xyf5rEs5j90SrbH2FTuV4UkHdnmXa8AOhmlS
PpmZ1Qevr5rzss92FAGjotJEwRNxPJrm52MmIMLLfhmWyImV+qjWXhciK0O/PlnSIIfpdvv6eC88
I9o1Oh0QjqSNMXE+HsCJeGtnLJFmNpNfiWl5l5Lk+ZPVFAHeQXNAVP+DXj7bQ242PmB+N7wYu+N8
UFPomVN1+RKpHVO5UJ3y4S8lVzbg5blFeIeYiA00Zuu57B4tKxEN7MZljvqGwsAiZfyUiSoNcBm9
JmV2OYsARnlzm1ueSii8G8oyQeE0edxGs0Chl05jeSxbcGCTYxUPuTcbd4TJyhU+/eXzEUOghoWc
BiKNPOb5LHpLNnvObMioc9oF0iEFjH60kGYR7pUGyLbozi+u7ZgErIpF2rY8d+8LObhUzwfZRro+
x5ZfJBWeNYocldZHk7ipjpaQGGUMSo5RGjWM3PvhXQFAEwwHvSY6LTB8zh+1gQUMnm9ooyxTHb/J
qBuBd+kPHZ7JxyrzrrnCXe5C3AC2+j+xOPC4fcCToGxspsKWkayV6qZzSu+m1+o6qAZqhuOgXnN/
3tbH+QST7xDuAFSgSE8ScP589iKsaWjMKkonr7rtysY8JMr49PpWv3woBuH1USsi+ID6eD7IVFD5
auu1imJn6fy0brU3XjI54UIgdsthNB1eH+9yfSKVwcsiydu6qO7umlXKIVNHV6kivZ+HDQxi+aWM
k7Bu0vT/YSi4y5BvKWOAqt7253ddh2IjMk7xVEWDbX0zVqnTvLGTMBG9eXr9oV5IBIhIobGA9IB4
TDf/fChv0ZsSrHYbTbRAfncoehmBodQi9ZsyGQ9xM9eUEKsmN3y90d32MLCEfiePLH6LYWpeu/8v
Tx7WJ1uSM3Uj3+1zoDXOTMqHloiM0olvaCqDL1atLswrIzsmtEh+w13FC398Era0i92BBRfg7F3A
nFiNqq48dDRZaXuTTksPnkGsj+ViZ794M+Y2DXHAfY1yGuS7tr9NZN3dAU5Xj69/khfWNCEPisn8
Cy9gfzCM80RCDfs7EqWCCoypl+gza5/iWbmd11lcGe25K7fbp5s+8gYdpQgBF/r85dvUhAUlVKoG
tpw+2cbE1ShQcPkjIaJq/Eqpy9qvJyHeGfGKNDmI3scqJzC/8gJeeGyT3j4nBmvxMvN1h271RJlN
0WQ4gz/plrhTk9bw3XTALNMWf/7wLAObMMnEYDnBtd+d/9Nigvfv4yFKncY7anaWhqklrFNf1sNt
gc/A29fH206i3TQ/X9jE5xzB3oVSTJ3Z6D8kY0SxwfUTw1oiSyTdlfvzha2zqUxs3E2KLXTZzl+m
M9WNoc9kfXM+JkeaC93t6DhPSqcdmiW5i7XhWkTy0vohSOA8VLcSCwfJ+ZA5JhZ6phRjZOdZGxYT
XYvZMMDhrcsYmmthn/rYaUJ8obqHhLbkqYvp/bw+uRdrh4VjAtXnViP+Ao9y/hlqlVp8BuWYLSOb
uxzbPjonNHNibmBsk51fXx/u4l0y3LMcCi1OZnuvmpQsbtbXqTJGOMm6N0tOb60u0muCEy+NQnmC
WH0jABLPnj9UpRuLpyjLGLlFU4Z9ZY6+6a3NlTDkYsVsew6AEXpTsJyJ9M5HgbzhDA0wxUgzwPFQ
MAfan27gVqfN37Rm+wn2lXnlaru8cDaFAFSaSfIAIbEfzgfNU2Voq0JOUW+oCE5tYB4EPfR32pjS
bBziPD95BE1ky0AuY8+Tb2Qyqd9S5EmvKRq+sHSAsVrwygwKupSLzz9KbypTphv1FNVx7flL27i3
jjK2fuNhgdtmQv/x+abeBHKXEYni9xygBnx42kuWqrKU+peWWsljOw/DbTzpY7hkTXZbz+01MayL
sGWT30eGwuT9goXZe9gPOET3FLRnYs3cpvmSLbe2Pn+oUiGPr2+Nl0biSKW2RVGF4tPuFlW1yht7
Q6qRtpRZsE5kwc3olQdEb65xcJ+RxmdHKk+F9BZaMywGOj67mytPjGFZQOwgtSB1GGKpkd4sq64f
U4qNp1FdjCe3SPW7uLHUo/QUw1ey0nxL6bYNukFqNz/y6Bucgat/M4Snjg9Xf0+QyGiO90aappFM
HC0kiHC2UfSDEPY1PvX5LP97KI5dyrYg7NXdMd+vbmUmfZJGSBNgEKOZFTDn9AsAguz0+kPtjve/
hyLk3W4U+IN7z8Yis4BHNBVDodnlZ92a/oLiRO1XdCYDM9e1cG6XIYqn9Qae+nLjLp78oavz3x8B
LjJlLbiFe5BphTWyOwkmdragJJPcqKeeW/vKHXJ+3D6PQsiFBCD3M0f6hXp8nsY9sLgE0qnyzWv1
/IAzk7g2nddG2R03tT4DBEQMgOm0l1+XeChOy9qZxyUngbDiYbzJNTu5sxM6/m3WG0Gr2UW0xMtn
e1I+wDgvI2hiU/j6W37pU1F/5wTckjXIkOeHIBpNiLa4TRrlovOOzkJHqJ3AVb0+yvlV89cMg0um
D7bBUy8izcTq67FNZRppJGtHGDZD2Ir3VvtoVsI8Aha5ZnnzDGT6zwnxPCISB7QVKJfA09pLHNCM
G3rod1mE4hWAchRDQkNre1gDSgmmRQNfmVaaj3y4FpZzbYaKUZfvEk1kD7BtigAeR3NAndv7WBZK
clonp4f4pI1hZtdWoGjo+9oDJBzul+KQlnLyV29RkXswzN9s/E2v6UJt+3r/PAR2KgkvT3QR58g5
WZvec7Noyab1gCaSGwwuujNj6VXHQc01PNSr2m+axHwYTbULVxoLV2BcL5w9aFIj64N0+LNs2vla
SWql7ZArT6Ny0aYbWDKuv9jIVGw2Hj8+FJBYOGDg9DcBhF1s0iI31SOpmkeAlVAJsOavhj0PByGz
HxMpf14opNlbyZDVQni+CyDbVBumYXHyaAbI9ViIWv0tA2OCrXB/jZ77fMPvXiI4X1olxI70a/c8
97nnnF2aPI/chkjDn+Eopl/NSo1/LxVDNvdVivQVYjKZCDoL7olvZrGQYZdpm0yHh+CyX7MSyqAb
zcTxjakb+KDkkh+zCT+p2pxbsNiKpmpHXU/Em7FXAJT2HbDTYEpo2PjSinFa4CyHnYZT8psOiEvl
m3IErhNXc/W4xuvnuEzLzjdyt4USKpvpV9Wt4tTv0LtEqK5dqk8Jrjd+VqcYzGZtn72Ni0EWYatu
PERkm/xO2OaxUWtEm4aiROhOHW9HobYfsUgwHl0vMz+6bdc5x7rzzNXPpZKZvptV66+x7cFyGzu1
+Rybqfwk8XjS/FGLO/qUnbEah2XmuvCVtp/sIDdKi25avqYtEEZvEr4cjfHeGw1K6aBnsBWaM90t
jkDrRnx5wRn9ogNI6UHE5daVy+o8ntxW0nP9F24ozbfNt+N8eywINLtqMtWRAnM3UKpuCTsZ5wid
qo/ZUF0ThLzcjdx3z3jb5wr7vuwsUm9J8kKroq5upkDNC/cQo0lLuxohq9eP78tLgqHQbAcyvhWK
9syjapVxK4VdRaNJhVJaZXISTf3H64PsdJ+f548yJzJE1GLYj/sKm0TXOaYXXEXYomUHTWP+JkqU
B7tZwlLL3ySyC6dizqOmarRwVMfssdFDNw486JBBkQ85XcM2vtJSeKYenW9a9itq17CLyV0ujqIe
0bB2Voo6Mus2VkMQvH3oVBCg4zlD0iZJSRMfCw1btzCRxgAmby68+7kZlPlI+Jplfq7U5mc5rEl5
sq3acUnmdAkCzhBKetSs6X3toUPnp3M8Nz4lt6ULQGVwQDSuI0w2k2ksvuinvvZzwxhPujmOkdr0
SRU2ijHaYa2qcfqkVWv5AG0tOXhFrwrfAw0qMXTRmz/iZejjI2bNNXydZlQeZIEsGyR0ywp0aJOt
72idfDLNcblvnlWAltz1Vj/p6rrzJxEDX11NOmq+2nTF56JJMV5nk8vxtEnbX2sbPSvbnM85TVNk
4KnRw325QEQLvESAL0gZIXjdHtNnIcnaVm5Tt+nvlFZXDkZsUxZs9CkE8Zvcq6MYTvHSKlHJj9xi
IgNRzVbU/kANVX+ci64PZGqND2Qp+UGoYxFU3lC+N6fU+6hM9bWj/gLwTEFtYy9Dw9G3S2yvnarp
SM2hzt1FMw6qby3C5fcZ/9x6pRlbb0esBg+TsSr2+8EEeRzg+NQSQShJccyLvjiSJWOMkA/0yXjz
RmGHSQGRMeyFuRzWUoU7vJrmQRmlw7tzezP3taGov+FRnhq/2G23wDEzJKgbLdVbDtCRpOHKqXAZ
1FEJoce3KXdDJdnvV68bHa93O8rURtwckqVYbmK1XGkmVkpAP7U+isJyr8SrO6Ot7ZTYQFhkmBsn
Ckm0XWSQOSMdvjKvo4YpukfBdTkhwu6GaaGlDz3nRWjDNwnXRsn8YrOrlkX/FsG28oATWXJra43j
O3pX3yuqIR9kqqncbHZ6rV++wx799Tk3KKQFBIzCn7nN3ndFfDC0gK5jTrMp00R9qCXqq4muLgc4
TTZd4944mKWsjxoQzpuVyigRx0r3CxjzMfO6GvBPj4JDnCH41tjrER18+5SzmW/sCd/o18/el14l
00qbiEIsnffdpLoUz2Z8kmqwR6sa9BM6P23njsemFu5BL8spFPFyzbxip5f29xQ5aO3A8mKT7HMP
m6yxMm1aKnJexInXoTxXDW/cEXYSzFMXpjp8lXxK40/mGKunODczXNbBRQam6OVRh2R9D6W9DHoO
xtCdmuL0+sS8kATjwkIhjiojGGzcFc5fYyMhBqVFJqKUC+lGSaUMSFQz4OTVGjSWKUNEbeqxCpo5
+1zY5pXKwmVMQcBNyYjq5sb83UenSZtuqpOpiMwFyJqmlcvDVEjnbllF7A/Neq1V+HyVn5+8gAjJ
hTfWFAzvfd7Uz445qza9SVNPJqjWeWrEwSS0CatWwp+Pph7ntL+SMn6jNa73Ke+E+7Y3p+YtYoxE
o4aYxoemG9YviGNrXzStiPsAjSrtnVbn6leKVOkcWE4HY8CQrvJpa7lcK+ztykPPCwuEF+0cao0O
zcHdS6u6rijWwawjQ8vNEwwO4feNMT+utfOmrTVxQyTnvMsq715o/Vcew+mDIintwzB14krq+9Ib
/P6z7BJsJHQ7yLey5pScWDulC/qkrLxQqxP3BFDpWlX3MixktQDJApjsQbrbF8QXVGY4NXl2y6y1
Y82VHulqNYQQpforLQfjpWcjxaaKSoUIJN2uGIXAoJrHscZYVWEc1qZt7hdQqEGn9FMAEWB8hKIy
HEpJxU3pppX/59VBllpmmBjx9Gi0a3mspqkHGpKXCLzm3NL06Rp/SpKIwMJ6IE4pb5xymI4r98FN
b+C93i9IR/mD7cKT4bWWx1p3u7BQlT9Uu6xux3pNP9W6QJvGLuawHIxfE2+Jjzb/FdSTO16Zhsvo
eCOobhxHznqYBLtZUOhyt1rs1JHoUgfiTsdUILF9fP0keuG9Qn7DkIzlzPLcu9b0ijGlVevV0doV
3qldoSUlbc5smk575dB7aSj4BdubJQwn6D0/87hfVgWhiSYykk65UetkPTDSGg1xL67UxF9YQRaq
jWRG1DPBf+52qrrU65iadhOZgw3qw0ZQiMN28ouYO8ctYJb8+CwCj6YUDvYPItquSC0l+M5VShG5
aC7dNnY1h3NCXDWsxTWNQ5o1zNPuLIUX7xAbIWy9CfWezyP1cCeukn7a5rFADx17GJvGxjpp0I70
OvNlj1aXWaReiSwSGKJDpyo2OksryDYuGe9WjJ4tH5H5hYhKvTu2bue0re7LZmKRNZM9P8WOqEiC
Kkxgb3XoStpBzwrhPfRghW4m6VgfxqnvTD9t7PlPxTTju3rJZfYh63L3j2VJW3SN+Wf17WqNqqVv
PiwyRooRmNz8u55r5rdhgSkXSsuLyf31cYSSs8iPeWN188nrrfIDJXcAdPh7GvSQCXGV2fKQqo0d
5RfJ3doHfVc/QftStcCAXMhFwqXypJolBY5Ft+fVx6shQRKK4uBhMv8ve+fR5Daypuu/MjF7dMCb
LQCSRbJKKpmS2yBKLQneI4EEfv19oHNmRgXyFqNnPREdvVG3kgDSfPl+r7H77xhsZtmeIp5shUpP
8ayrjbjDVbpQM39lD7UAGa3eU/vPlo2YhcAYHyFd3vuLVon3taWJj1Ec+4PeR6E7xMs+WagOfKIt
AC4K2+WKXA3uBKuBW9fbgfxVJD+KfTZQ1qV+uXix7ddRiduupLjN4KTa07BznDyN91ZOTo2vNRHA
SaPnapDLtFuvF6V+h9jNmPwJyaLp0zIYzmNsEWiZeGn0qeuWzPQVw52/a0WmxsFs6Ol+zCfHDYq4
ru8Tt8JYwzTwLeHOlcmPSh3F4x7YMv7Y4eIDsRM3//6Yg648xUU9PyuLkh4gbai4TZkJrde6sRcr
wFCwfp9l3QCPWylwLcGW2sjxuI6Rw9VLhR+KGis/JnNcXDr+1fRZFGb36MV19JFkcPsbMjUNImSB
FX3gRSTddQlXJEVJ3M5voGUnvo64MvUHLoaeb2i9Fb/RqJBEUHU9Rkpmqbc7WzFTdVc6uXJvikg9
17Mcj2njLThx13FGvAi3oA8jAA1/0SRtEtMGM638VNT2GBRthyWaMoncCaplMt293rmV49uN7hGL
U9ai9K1hzb0sFRqJc6J+E7T9mQFDKvlUfYNsN6aNNwScMCUiO83KLT+GYix8ARPqp+wm46nmK6W+
CgsCgDjD8NEnjE4tdzG59RF2hZX+2a0n7ydt/UgPbaXrrMDo3cgOF410+9CKZy+7myOlDbB+6k9x
CqnST7mXd6EkNpLlpVjqgz25sV/TGH+f9iA3p3ZyyijAYrr5Sv+kp19EIKPiNzUgqz+Dxz2bKQzV
bHaUN2MX6YBIokF55gnb9OXUjWbgpKbS3kGFlTpaz1z9QccaKoMzp+aEFtoZHuMms/WDUJaEXzhX
3YOMK9J2iNyqNF8Vcfypm9oiFDjiDAcV6tuXzKBFH1SzNtDwWaTdPTsFm1bQOGpsMH9avdw1oGrW
Li+XIXDMMot9jYvwTrfrVgb9PHN4W5WKKxAePs5HgYePFSp1F3H0dmZxklrVj74wuMjubC1eJuyp
xulhKVscp3M9VtK9F6mtTgIc5ePQL1YdmAvMH7837Dyn8jSXD6pAu++NeIAH7qQLUFHiuU6Wm2Sh
NdTND0+bij1hGrLdE9sgJr/HafnzaGUtpnbNnH0qtGZ+LwvNDPCty85yopD3kcR6sW84iVH7dp9N
RpjBtXxfxQ6Tp7CReY1Rm7+rtAjIlByN8d08d8zFWK/r6s5zouUx5dvCJWaT4z+w0m/aVFnvUzVZ
zphrlzS0WziHbA+VLYNVRBQ/aMUUPa5+RyV7IVuX1w/jcz3VsudLauBsiS29XW+1hul7atIXB5Xc
YSNokrS4n1cpKqrxqI59kMK+CktcyTIfO4vWO5Iz0rzxMgKoAwTmXRl2o5U8K8oQNyF+3xCMqxzR
XOhwS/0oNc6axGcB5d4+J4xLgjtkqEMN7q/TXjSL/iO2kXPKSGc6uoiweWMyssXu9RP6CgxIND1T
BigQcdRF9Ko2aF5nm3NLAdvo6G6L7FhksXtyais7tkqu+vbksCBiaey1KmI+LwuBKqPQyNdzo32T
jmfS9+Y701LsH6//uGsVL/ZXUDJWyRf+N5uLshVZUDMAp0+xpHoKJcSltxGZtKWvTYZ1sha1OAxu
mr+BWyG4oZUQ5xKphbikQEqubP0hQgX+d+vyIk3oXj6hzvVDqTWCs6wFLMa/sDmILubtysp+X+cl
SUIVL73eTfi7PCVxXGV4CC0EJOCRWfhJC28CuoV93xFx9MNcuvzjolttchBRl34TrVzeVkUqAYZ7
wbx8/YVcqd9WpjBfCa0JtjKb91GorTtPI/dTrAGJt6jHsMbkKIj77r7MWutGYbpWg5uCyjYB15G6
rYpIZyM5yYWTaWXt1qfKWfAFhl4SNnO+oxZ+NJflDPniBqS//oUXA1J2Q13HnBG53ssKjntqghVL
3pwigg4fdENUYab1wz6ncgwX22l3GrTQ05wvwDfLYN/Anq8UkJBzVuo8xaMB8+jl8ApRE6miFA3P
O/Uh16gkbKPhlgvNlXIftgaSamBuKrNtNHdbGVIVSgTpsq7GQOlnc7dUYDGumt1yI1nf1/Z9om2j
KUsuMD6BmwfqBX4sY81Q5M4jgc89e++iAvCNGdIunYdvnYIwqsrN8caHvDZz8O9bgwdgw+DQ//JN
whSOyipXmpMHb+Hgxcl86pdR3Q2T67EZLt6bBsPVW1vZ1celL8c/gCrIWl6O6olSVPmYtSeyRKIT
kb79nny/6e2okkkpRKHtCbXyHqq2X4Ihh8NiKlBxEStW56iru9T3piT3h6pHFBg7djg29hDOnFM7
JYK2+fpSvjINEG0j1oAXv1JvN9dYG56VToXUnjDs4ahrDWsntVjfs92PN7rZVxqhdIf5CiARsAfh
YL58MWYT2TKxlZ4bh57JvdG2Dr4S0KO+umOmvZ/tDFdc9FlFFOixpARoWfCar4w1PhxWFOlnaxCI
ORPLOS4TTu6a2Xbf8amXv6JUOF9FrtVvgUk+TbKV3zNzYrtoUsv5MtGz4ObkVHDSO9cZFB/AU4v9
Qvb2OVbo7Eyj1fhJk2knvYm1v8FrtMGfZxcz20zM6RcCtdyfypjSizIX+RW3X8AjZXB0UPdBAUfC
yyU0oW1k4RhXjeVPXhKfRyx03yPgiAvfxrC1pcsbRT/x7ixqLAzrFDL5pMTpPde7aj+SRZQGZjyW
Z6HZrfA5H6p7PfbMD0u6lJb/OxncSXl3vtW3rba3sG85dulMyZhEc429fd5as28nybtuSpdH/Gqd
D6oyULiQ+Uinqq7yubyxW105C8AMLfYqACEaeJsJJEUVaVoGeVsk0QP6o+qLMN2fBsDa0ZT5Lfbp
5XS1uVXrrGX4/ysv4uUUcrMmy4vZ6U+j7BgglRZSkSTbS72fb4AUVy7ymFHS6sAVGu9AGrwvx2pj
k+RVKx5OXj9Fh5llcTc3rEdcXKI7teMizH1vPKqoEPae6OqgmPvhgJ2QusdCJdmJtvW+G5Envr2+
ZK/USpyC1EowF9hUL1owo1bNIy1RcWrKXHwYi7lyffi/wt3JRFWOYxz1X6ZhqUx/zAvuw43wxM9y
bvkaNZdZlenjGoJrOVTPnZEpKlcSPLNu7YPrl3+57UN44NWBJaGDhSn38v2R7TWrsdrh+1Dh9DVh
6L+r6FwHpjrpwdgY9YlcmuwgR2rPZEAMrkzR041Xte7w29+AcgPJD0TztVX/8jfEeDBGsdCGUxtr
5acSkn/pR1zGv/exrfhtxp3Cjxbd/oQOPX3Kls5xd/CYk0OWl80tZfpv263NrzFRxtBTRupE+bSB
hlpE6wITyukUe4t8sqqBU6jp5AfPgFrkJ6mJQbwhjZT7Ll76cC16NcdhL9fmKazrVj9NUwUFydIF
rPl88AB4UtP+NRsNFy12O7xSAS8IwnJFRTMnahMV4+Y8UXF0cVE8fTSFSDFfss00D2ddHbiMW+TK
m/XshtIFxIeojmEYKcDNN7U3CyR8ldaf04r+lL9iyY/FoA3Y4o3GucM7vKGS1dNlhzyy+ZKTHPS1
MSw5hJ2hNh+BLs1vmCDB7BDtnI/cfQr5qRXC6X0dH6EZ5+XGFv4Ahwq4KF/i/q7rev2HEs1pd/f6
TLgsBVgseHnhnIg33EVyRtQq3po4Kk5EAndHg87+3hiB5ms1fddiFOdPg/n19SE3rOe1IbE2cPBe
Rw/FKtj6tQwGtLdqEeLUppAYKjbiNmhwvTs0apF91BaiDYBclwerBM2O3YKUyGokiCyp1C+v/5TL
kpJfAiaJZJF+FhEiL5fBCmMJqfTitKSdgo9wn5OuhtvP66NcHgX059FIrRRVINAt63hJSUxLE0ax
C8U8pbXsQhx6USLkJmyuRpg3Coqr49nY4tL2QJu11Zm6EugKNpI4Vb0lQ8WUy51hj/Ih01L9jhl7
KyLg2lvk9FnFgxBkqWZfvkVI7JC2e1OcRvjH3K6J/mkNHCpff4tXR4F0s/YecbbZQv491l5JaSSE
YUwIKuIGZBE45BZOfeUgBeVfVQArRxwY/uWz0ArHhixpxtPU0bTItLknK0eOB1ev7BsPdGXpoSzV
VnGuBq94W4XjSN1lZAuNJyxtrADdpbof2DVOtqxdsLXUA92zlBt17eXcoF+CnAxKlrV6464/6o9G
PIWy0y/ZJE6q0KojEQout2pIAFGvV/sEwObx9a92+T4ZD3egNYlqhb427xNn9nj0eojRVHg/HNiF
GIbhNDyMyi0Lhsv5gX8HDaHfs5D76eZYhQYHXm+im8oJMt/PSl34niaqG6f3783p5Vn1LwI4Jqnc
8vFIffkCY1SymfQkw+hp8yMdJw7uuJsP9IlVPH818yBKrX1DDml+v3S28s5scCLDfit7VuIs3fe5
pexqt4h2+I89idI1cK5LDPI7ErmvhwJ/Ll1PjnmrRkGUACuWY16/L0r6FjfQisv5tzosAx+AIawu
K5tlm4rRW/KCJ3H73n6c7VXlW7WKz4UiP+Efk+4Vt761itdCdPP6MOFA04jEhJ1iy2EfzbbosLib
TiSdWyEH8RRofSF8HMSfjLqAtFYs+d7BwhDul35La3xlNnKlw1ObrqGK8evm4+GVp/X26E4nRWgm
PdPUAF+t433Wjd6Ng/XqUKtCHXUzRPItSzBXjRJFfilPvQtLxWx7EaBytZHxTbfI9BvzkfVA5aa6
NvFW4dlKg3w5Jy1zRCCYJ/IkSdkMEkmaci91JdTVwj5JCq7QkKYSQAVS/GnUPxWDIlIfE3jtiQ5K
/VE4KZAttcdbsZJaI1Wo9ORA4Yif+OihvtoZtHkOr+8M68rfzgR2PaYgxsyr0uDlj65GfO7srJXI
ujLumEbdv5/L+YxMLz57pFDscgT9d3YSpzc61FfmPWIyckrYADVe12ZgadYZgPYgSTayRiwhZxPV
O60Bd10BOG4YoWrYbfj6017Zd6lwARNMvH1WD4iXT2vPEB+ixlNPuCJYd8k85mHSuxhtGrWzH3HX
uDHeFaoO5xhQC0oGG3v8rREKpOWhVcpWgBR3c9CxKuBalVU423St7JJ2kBSQwqq8rI8RYpP3xTzV
N9bA5Za8spmwwwa1w+Fr288Gtle4+LIlc9lQd1qmKn6MDd2Nc/QKCc4FkFz1LlwUqCs3098rEzqW
pTmdSmP5iZi1vy9ymEk5lLiwlnZ7nDE3naQ539lupZ3jcsZLXxbDzsW6ZO8qqXGoRTEf+7R5b3Rp
9taz41vn7uV2AJeXxDF+HnReJsDL7z/Y0VLQs5QnSLEFCDXXv8US3xdF6W5M72sj8dbRlsD1wYNt
M727QppZWQh5alxKJLBMM4xyTEvr2tRvTLJrQ8FxZmKr3BwupPlg/loykEp1GjLh+aVLf6/L4Z85
pEf4r6+fy6m0ooYoE8ndAVLZ4nEEWxWuHFR5WuwRE7JIyY9tDkz2+ihXH4hb6Mowo1zf3kyqXtWW
fnbYGtgiT1pGA1RJR3mwu+hWqsQVGOW37Qb2QdQt4LCb7zS5VmE6TbucetCGsXaxWZ0JGNcaR39j
xFPxqeun+WzbsxKywbe7zIzkDn6Y+aBFevLB1ZKnEb3Qj3/8BtC/IsrkOki9tlUxcwhYOe9VBeP3
vF00g+z30+TuFUbevT7UlU8KhZ66g20KCuvWaKBv8raf8kk9dV3shXpJJycekvrGKJcbL2JoIqfg
gJFBywa8WXgTLjFNuqjIdKomcFQr3tuD91MtKgLlc+WW/9RFfcOrQ9PCmcp6Zxlu1jnfrXZhKLL6
4I0cifozQ69N+juzjiBt9Q1UfqcczkmaLPRs8ZJ7/Z1ecsUZX3PgiyMq5sG3iuJGq5WFOJ75lM5D
sevHNr9z5JJ8bXV7NPw8NSMYG4W+gyph3ylloRwU056PzqiYb4qsc8NiFn2oOIm7p81GmmszjKEc
CNixBch3ZEUyiI1KgQWZ6sHcQSX4/QT/58H5nwiNOAvXg/r/b8H5mVCL/3gj+uf/+PiziuPn7vmF
Eed//w3/9uHUvL+Ya5Qy+BJBblxPlX/HYmjWX9ScKwjKOWDiyfTfPpyK+xdYhMmFjKIfujrtp/9x
4vT+gp7PCQpqYIILgs/8EyfObaUFuEMXlkYT1Z1D2b3++Z+XzWhwMYAa4Wl5KRx9gvcCLV/MvWA/
8HF9gLyP2OMf7uG/B/XInAbbXIOdN4NOPeUADXnrSP1NwuSc/6LJIXdJWnc3zqR16/izgv3XSEDO
bGCYyDubu21fE1jt0hk66g5EDVVAHCKscwdz3P6HCBIjUeKv+zGdXpgrm00sBf/ShIkkH6WJshvL
Tnk2Sy8CSu8YWDe6wx+T7vFfz/BnKsaVDwe5G2tnGpOrqGGDi+WF6K2SrvqxMS0ZzMi1ch+/0niX
cv2+p1x8k9We8vT6oNudGrsO0t15UC5MWDVuH1I4cSaKNo+OdaKyNxdNepoaHZ/1xtSCLBrjGy91
e/78Hg85pYl/HxN026GpJ6mMeFYwHtjuscEyJKzIM7gxysU5vw7D94MWsOJWF346c+sOCqhSdBR9
Mx4jW/mFg/+zmi74ijqV1LHcIxi2mdG0RN2bJSZFyxi69r4o8/pgLYt60Gtv+ocQIT+Kn8MCpwEB
SXf7gVfShq0PZXwyxj45YqaW3EEk60OI5ClLJeuOr3/bi97MOuBvFx9691i3bVXlap/quN71pHZn
NHP3o6bodRiLvG8Col8j+z4qZutxHtT02Wk08ivU3rMKHPQTJ0YQottKOBey+BFl8dIEXeRCMesT
COS713/o5cwHw0T+zYWCFBysu19uWanIFA0XqOSklo0ajuakUwbiiGbZogycZdaO0XzLculi4lOX
oJCiTOFTQE7ZrDarLR3FcqR9jJf0b1FO98hlvnu58ytJolvixW19AjWFsbjtIVOi4bJN98F30cK5
0baPM3ybd1JxEJRFUX+gQgKlaox5hwVLHgBYO6G9dMmN1XCx5tbhsSKkQwkMyfR7+XpxjZ8tXeFR
pxL2tNcWLajE0N64Ef4Wl77YmXGu4owj9QnLMGxdNjdCsFtntTv3jsWUFieD+VMEY8Qm6+sa1Fmr
dO0G2/tKbQKknPPPGtUDNkGdtL83llF/d+t++VzQMnpIFFk+62MOsE3buLECSQtT99tetQ+Kh+2a
r7sld7mimptwiN23TkEcY+iljvbJSwj42qt5MYrQtXPlTU5Dq90Bbjjfc3W0f6SVpj7Nc8+VuKid
2KfJY34sI+kcaqfTK7YHWK69NmTOnTNbsggms+6MO+yw1Dv8z5Y+tFslNg4VhMqDHpVLclSs2Erv
p6iPF78cpvKxHYETgxGh9Ft9iqyncYb/GURGNtPhUxcr9Cq6TQE86an0k0I6MXHiVnyf19MIM7OJ
os7X0EAR8rt4pH3WCZyDVKq/dL12LD8r6kQEyKZN0E+tUX7iLZkiKPaSMYXMmA3vS6tzm6Owlyl9
M6gt4YJJHz80ra698+z8a93ZhzlyeuHr81I9Q0OIv08T5DZYBkbjz2rX2mGjLWMaiF5XPxWLHn21
ooWm7dSbxgF/IwlXdpVr+2pTRJ8T3Rqfql6ONJ89md448y/XKgcxlg1ECOFxSQv85QTGncLMkkL1
jqabyLdwucfdOOjKvZ1knJFOa92KmbwoMlZwj4WikyQKjLLVFcZS08ExXO+oAVodsQFma/RUcFJT
uZXje30ohM1oEIAqnHXx/lGuGREc0Hn2WDUSnrDsx8kvEhfuhSFuxWBdbLPrU62SVlDLlWCzeY0t
5C0KWxaoQjt5L1sbl4+E2BUk/sM7erTznVCLT69v7RdqLq5k8PJ+OxBjG4Fy5uXzSd7jwEU+OS0q
+VJJPZmH2K5KHMEKNrtUh3VvcjUaF7oGg6b2dw2hEqGVze0jfUyakqbQz2MEmcG0ei0sqzHFHbOy
fadvRVi5M7WYhVdAiu/WjaL2t8nVyx2N3849GVCHSyXWFy9/u5I79JPHKj3pMmt37ZiNmAqtGglj
wLvZaoO8L71H1SoFoZxWRBPJ+TDosjiVuRx3cYk/Vz0SD5OlSMbLGL1Mh08+yhm4/o6wx52ZTfBG
6zb5QIZQhG4C+QHUU9rbeArdEZdbfEZAqwTpWjW8/mEuDwUMVzj+aEbwWZh6L58tBoxYZsJFTuyw
IzfTdt7VNVqQ10e5nN2MQqsXZ8c1gGCL/VNhEcjrGOlJc7t5PxvYNbqdkYa51Vs3qp3fperma7FY
uesBv9KG3VLdZnOC7D4p2Qn6SBJM9kiMjOVhZ6PCZGXlkjhD6ed7jZSgEbiXyFzHdXWJsj2FsRoI
+Mw7bBaHHdUyqI8ymDsOHgGhO00Oi9qv8VDGzKQdgc7RJYWRS6a2QYjUntRxK+BuKHCyr7MD8X3l
wUxMK3C0oT8k1IQ/E639pmeRs1NclPfdVN8seleY488XALBPZwnAmz4LdkVbdy8sxVVue3gkIC1w
fzKD0PuiTUBcMMLhFkxIROd4RhOe7UNNxwQZr6qqWanr/Ye6c8ArX//6F59kbbByp11RUUAe53fM
/R+bG2ZDWGfglnRKdEHDJ63s3aBCOU698VcRA5MrUcX5F5u+Oozv3Ujo4aCBanr1QKSxa8zHLBuz
Xd2b+W5WFu1Omo3YZXA0Ap3WNGy8xA4gKCr3uacqu3Sa473XqOlBVpRXi4OuM+8XyDxD34feShHx
emIOSRhSfQVtfggVOt4P9bgQZdzcqr+3kx91Fy41K8OGo8IEnXq5xKDF9RFxXPlpGoYnOUAKL7sa
UxJZ3+K98UIvvv2KweMgShwM5sz2BgLTUrN3anvARAlAPaG3QkUdSvq/gdchEDnUvYpNTmyUGBBh
Gu6k4Sgt5T1prcLw8UXScz+Vq26EQIJoujO7aSb1KdbzYafwje+LSu1koCo9DotzNBRj2Oizo8EN
cuYsEDDKP3hIjiDK21bWBFhY2l8Jak7TIG8a4YStp77RCrLOwrpLcu7rhJt/i7IyemdHWfsxqdzp
4xQDb6F7yKcqbIVVf/RcGaPOqPL6Kyp8N/Ppq7awFa3MroLByNrPVaYL/udqULmsFtF9QybOo5vO
GgHJpoNnhTF3kOQxtTEfurKB7NOUaWYE2NmYmGBEKsdfIqT1VeLL9q20hg7lTDZ51d7E7cAnsTwv
dgmpotyb9MF9dLLe89u27XDX0CbXb+2u6INUVq1ft7b3sAxlUwceZOKfdp7Y93NrtNLXPaf4HENz
IOnRFMuTkZsVAlOzbY9pVsXvFsWs7yMVA2p/KlXnW21XhrFzqHRzf5kb7DXQ+LXsNx75KjW6a8+f
lEjfIV9PCFeCuvBUOpP8rqnK+N40cmR2UKy+tbZyxv5D+m28mGdVEPfOVaTaYdqTnZKsrp/YtFM7
MJDQEPehmmUZzoNSvO2kYf2YtA4m0mzG2i9Xmv1PdkvOOeZ7NQW92yrfGqU13lLZ2zKc5qxF4EzY
CXbVOMCYoawUuswSdcpnV2uK5wRrnB3MrNoMXWvK+4d2tMfzYvTK7EN9D8e67z95VV3/ymTSLX4f
u9M7IrYIdGv7wS1hshpwM0gIoechSQbxf4cb75M0bbAaRe4SVqVZGaGpFt5XjaC/u1o0ThhBlueL
dZE5h8ms9vdamqn5noQ1mGmJbirlvlFmzFsyYkCgvXWahBCGJEf3BRpBlwQnOHFiDTkLsmqqCr/H
CVgyMzCLDETUL0wpA7cJ9MDandHPKYB6RXlMLzdFTOHaffyuHTSNWSAcSNQ2zk67xpy6T0ZepAoU
lLgSu9Rq+mbXz+zS3dgr0NcUURzqiNy4AC3e+DQrkFnRmwyDb3Qi7gKQaLMJI+FY71yB+GZslbQn
OEBhcuA0iFXllHr258jRUukXcNofuoQKOtPrefQRs+gN0pA5Q7vSaoKCI44N9BmosdZM8sYgV67B
Wrrv0BuG9VBBD+v1vK3CohqU951RJu+48MqvaaWPhQ+XMfspImNdcJNrfxz0tJ245enw93qidt5j
DON8KqWMngm+bu7ZJHgLVVF3il/jgE7GnzV3n4umzT6ULNtzvOjvuO5Zq77F1u7jJiFOUEoz/xsB
gbbDByb9xXSLIIiLEl80OSgkxWVVDYmxVzpewVDECiz7wvPCRe+zn3Fml7+cnu2KrFlNvLcwuHiS
vYqxaeWp/ZvUWqLnRRm8d8AF8uhOqaLtx7Ev/0Z0ojDldS3FoKqrpLujWkQtmivegDCmnxUa2sSc
LTtiFXXEnjRUvteZI6De6suTqhftJ28SyuNijPoSzs7gnrm1FV+8JDeR4nN5/GJM0gB+I7NE29n0
BY5sEX1NSNmUPCe2LT63cdIy94Qz3CKSbS9XnFJr/UcnFzIwVd/mlHLmYYktq0ZqnZbliaInCu0Z
lYlu8qRKoiQ3+tNXxgMhgARL29gGktgUnlofjTlM/+Y0mGBfK9yxK71pCFqbYEMDh+sbRcgWfOH5
KOExOwNutFFerH/+Rw1SlOQ7Wd7cnGDa9n6rZdnRXhz5SHSrvpvnvKTThxN9YddKaETmv90y/6+1
8p+0PyDR4WL9R1F4EW/2u7fy+NyIlz2V//lf/91UMay1qULjAmCYW8naOvl3U8XQ/qJby1RZGzm/
myP/FW6mqH/hQbpq4SBcGnj9ryTP/4o3M/8iLXdl+K0lGB8Y25R/EG+2vS3RtYF0D0wIar3Opc3V
mRhLQ8Nwrjq3HkLmI/VFJA/TwOT54+Vc6QFcjkNDf73B0KHlVWyDISrhKhoyk+48yt78Pjuzd3C1
LLplN3qxJjARo6Wv0mxfdWzbWOrMwmxgacr+XMZpB8Ua16pdWQ4aboo18aotxOC9qWfo1Lte/YTM
+h+bIJBWtw4NKR8xI4q6l4uSHc5D2jL3ZwSiUyhkNn/AsKU9J4uufH79lV4yVdZGHRAs3SI8Vi9M
ZLGtbnVRGOMZIUR154plvE+5GO7Gzp5C7qXQVPI5fdNj53OXuhMXxkKP3ogZ1xmLXfwoLDF9EXPS
BTpqdX8GbT2Pnag/vv47Lz49P5MdmAnLZ8dGfAOURJbDMYu7wbnTs+ZNiuuIn6uNvOFqebH7IiKh
bYkMHSyYf292+8hFkWx3JlcRoxRpgH8cZzaWWeV7lyrU9T071W7ZBF5khXoMym5vkcLOGr94NLQe
habiSnA2jZ4a2U7kI4aJ5j2BR+aDbvfDOykt+9hOnvI3RVwcek3XnTHSKw8pQb73Yl5umXitz/ni
rrz+pNXonzsaW85Wxzk1ZaN0Yv1JLXqUQuuru3HU5KGw4igcDS35WvW2E6SEsN6Kvru4Fq5D4xmK
/ThkFG8791un1gxEBdPZQghwZ+pd+gk4PD9YHTGzr8+pdVu6eEpMVCCW2GAwW0hEXZzBplCdziKy
sbGqTAJ2cYbFNNbGRGln970WaOli//36sFemMj6TK9MZmZjBS365uuM0Zn+BZ3JGpGo869VgnkEW
5/D1Ua59Qm7WmP7Q3KLk2uzJbiXt2BuV6YxTch1Mxqh+Wz1NtMAaFV07WWORf0rIIU72pZI1y+H1
0a99RbRm+MYAqGK9sGmqFLpsEmlG0zmO5zKUDv0U8hq/TMtQ3XjOq8sHTiE6RRj4a9zr5nUaRcyl
NZfnRU2in0piGe+0BXMaFGe/sK5tnsd4xg03m73iSzfMeNfMyaCei3wWXwqhpo+dKYYbvcwrJwhX
xzX1AM7LWga8/E3ALSPGAoU8x1iW3Y2LVPYpiVDnCRfrL5WXWd+GZi65UZR1/beT67ec7K++/t92
mMwvyrrN+IWWqpntZPJs43z23QZC3/em2fjTFPe3aHBXn5XOJO0zhGPw4F4+K6M4bZFW8jzoIgsy
OlQImboquRODV7+TlTO+KYaKK1lmkNPSNMP+9al2baJ7UNZA0tlCYeK9HF+zlpJM74l3PbVAteiI
D+Th5Mdu/g44rtOtcnFe5eTTbwF4vz/jZgPhLkNn1ubkBMLaPHozlQhVZ2Y5RqH1u4RcxX3jDeaX
weuqXToaxZMrs6SlqYh+mMuWeOtRbz8QIB/9cjNRHeJoUd7D1a8e474f3yXoMQNrbuLnqXfTY0Lu
wT9fl7g48WspoEAft3vP3K5mJmiMqCyyZt/SVwgNJf17xN787h9/FtYkHBsa4fSltvFPaaJHS+mk
8oxEZiaT1TS+Jm1f78tOam+qaBSn2FL0HSKl9MaEuLK/Qv+EvcjYpDlsn7H2MhXUuZTnVDTjDlAg
24PadTeW+JUlxo2JqpvtzYWRsv75Hxcn+uFlQ1Eiz20zNLtKq6u3gyOm3ZA06Y2q5MoWB4Nu7R6v
MCkY/mYscs5iQmZjeVZn/osAjKJpQdF7RDLcCbIH0oHXOziJ3hVRCzMeUwbJ13mAD0r6Pa7tvAro
0SRHWeSTcuMCefm22ebZ5FR4TRo44+a3ZRVNHq9XxrMysszIEe7vWqdN//FsejnKWrj98bYb2NQY
p8bTWarddwhanyAMHPtJYmCVZj7CFKLgxdPrM3j95S9Xt05LFas++gWg9NtN1O3jdBR435yFUzqf
mrY3vpn5GjlHY0P+/F+MhbPn6iKJAz8ctxfPB05IZTW2jJWbeEWbk9wp+gClEWDwxge7+lh0VHFf
BGBAlPxyKCSrRRXrPFZBqMIdiFxxZ6tltZeueytx/srcgLsHbZke4epZuf75H1+Ny8ssy2Sazlqa
5Pt+6MpTUdTxDQPHyzKO7wR/Z23a4lK3DSaEz9cbhSqn8+Bk7b4AO/aSt40KPCvrBHOiyrrlxnr9
udCnsijRal7k5+FtrtOSYcSJMy01XOW+Htvsn7Lmce9VcSheYwFJFNhqCJgIEJCdZTp3IrV2oxJL
kMTGDSqjqm7MiWsPxDyHpUvFT+W/mX5xpLqJWTLUIDrhw+tQd+1qt/n6JL+8XcFfguIFO5TXxln9
cjrAcHGaisbAucXzMlLwaMPkL8eTaoz9UnCj+18MR8OP2BBoXjgyvhxOqyZD2CVnHbHi7oMYtOkR
CdL/Y+88ltzG0jZ9L/+60QFvJmI2AEhmJtMolUq7QUgqCd4dHNirnwfqmmiRyUmGaj3RHd2LUukQ
x37mNc7PQdWUixzb0zPjnZpEzKN586jE8L9Hn0eDKcVldpj2iFCVEa2UBfhF6vbdmWl8z6NZ0fAe
BpVIWvIaHLsU0LTxjIa6/D6NeWap0y8VGndFbl66HRlViCTG2PmgtRDRbmy4jmCnCqlSruBVCD6e
5BMfvSZs0OdA0dGpOfroGGZhgUuvuu/yadosUfuSUm/afjzIiSvrl5gTzfgVa3AsCkmJf6Y9INS9
2WhrDy2x73USw0uzdRE2/His9+EshCjcWwkcWExW8nDXoN+hx3kshn2a28V2sjNGyF2I83BV7FXi
Jx19aY19kKVK+joLazjzA0597O8/4Dh1qnotqpJ+2HftYEI7VDLfGJTpk6LV0+XH33pq8X4fav3n
v93P9UAf0skl5Q7EJkJ0UAzfyBGd+CejkAoRjPHkHNsuWJFcIjGOw57O5HApjTa/UbKl+vMIgXX7
7yhHG3GZXYee3Ewdy3WnoGFfrhq1XCzdXAR4in/FfsDzO/nHlOnVC5JsHrYqwQKt7MM5NBSiATOh
MGUqRhYSDCch1nbRpyau4x+KOqAxJto/r88wKAztXzv0vd5JshjePLgU7bxSFi9z0Vd7Mxvkpyyy
QfeZCMqldNY+LZHyxyJE6+euXFXqJh6xytGlqrqoQwG6Idwbl+EyjocXd2ioDAJLO3OzvFcfX4da
iVW8s1R7jxX6gWpkFe4M4z6Ds7rTUzkhZSjwFKMR5IZlvKAnVxndfixMwKI17WMAcN4uizPhG1Mn
N1rs0aORs0p4Lp1ttIj2zNY+FZmDIV4fTZPYg/k4XH2kChMbRNa4V8gCfFcry5vGpNaBvE9I/ysO
Xd7usAZCDZySesA4R/qVu4D6nBSpbBY7b758fNpOXR8W5URqpCreRsfIJa0rLU30Kr7hjRXvFDdL
HhFqxFRc0KT8eKgTgRffvlpnQqTgmT06cnOJ7Uyj8fHOQil2m05lWfuZGRcCNqE0blRbgV5Bx7o9
ExmdGpiXjxzvF99dPbq3WqPJTGfOCWETp8hDu+nba0vEGOeUg+0F8ZgDhikb/Wzo/B5Iwp6koMYb
BH5+dbc7XG9ApXnHiir7paspbHntVODZ4yA04US4BuR9UjzpJbrItGOp4SI6X2ApgbzOlbLURhlQ
hPIutLhGXDUbrL4PAPku9hbRltoK9R5jK58MY/gLlKjgTwvXTnx7GjU68I1YUiQHp2QI5kTJnxxE
rVW/n3kXrpDEBLsVm1ahwdqXSRzkQ0Gtb1qs6CcObdFfOlE/8qSJnb5MFgpEgVf2QvpNNsskHBVF
R/rSzO46SvAbZJs6kOwdf6qaVO916dJs9gutTB60WcQZlhVmB25ivQcCp7H02U/tPnGAD6Vq7TeF
LjKaA5nd3BiUSN6mPLF2Ew6hsx/p7vhW9KUN4RcK4ktbDs18Tw6pfPNivZGbBhLXZQaPMvfb3gXU
QosrvcV5SC/wOZiQ829yhCG2njYMiO0Vff1WZGOHJuvSpjbgE8APYdV0nQ3UQo/McMjMFbFsS/4u
c3S7S/5a/aebD2jd5CPUVyB3cw7wq6+j+zrl7fUjkK/X+TK4N3YivGZTxFP/Gdfh+M20lmmrIcGp
3gN1QelVK7MSFdi8z/SgR4wt8RPNVi/SOqtSWt1T5QZYOOeFH1Wufb2YETKm/VgZ8U7FPMm4BkHb
/qWoaftYGq0hfHXI+gd4C6551dMXeBqnAvTFItRau9Wpb+7cKqXI4FA9VInwCjSf0xpbR99yZPRS
lZouAQvQ4wjmqnTni0GaM3eN7NOElZoLK7CtrvtZ2pIigagBiHJUrf5Go1JjBrJH7h4EXpMjgF3Q
kN+0TW/kmwaXWGZLTxz7gqbPfL+YNUjcTjr5EhhLLkGS4Efz2EIpTC6MuKp/lEU5xRfoQaZXNCp6
y0e4Qf3J6UIiMbFiOH+aokVPqt3nYJg0RIfCGjOA5aa05+LJGCStvWpcen+KbUnigzLuTTRVKqN2
3bTvi6557CbHfIYir+o41M3GD+w5MPMpZzZqkCW1BoRcmc23CnXiZ1cAOPF1s642qmI0ayqFXQR4
LbPdCJkBEUmkZ90ls+ck0IbNfLgAnFbYfjfamhI2kz0/pebS/1waarqgqhv+nKOMUgMV45oSa6F+
eAaHkYxotMbGgxEX7eUw6or0o6Sbl0+OwQ/3i1wb0Gxtu/TZsSLwW7FEeiJsljT+JgbbuWKBk5+t
MkudN9xy6wf0ohMkaTMpCsBm1sCrO+ddEqI/tHgPCz/kgVIYgHpgVe5VJ0a0TsdGAKzqWRR1O00U
gTceqveg97VoSjZWgacHtWcCBTZFYSx4D3hSD+l6uoaPPunybKi0bwN0zsEWmSa93U1OxeV7piZm
EkhnsETgdCaoTr1qMfaQCw4hm1TRq1d0spUxzLtYgl2LdAtBf5hbYa8vWA5PRlsHOopzoO9wZCIp
00ELoWpiu34zT7IIbZyY0S2OZifUarP50kcTc5kL5xtRlYJ/Xo/In89G4Z5VcXYPW/DRna+KJfmE
MjmIU2Cs9ePixgZ4Li/JGm63CugYkVh/rU1RrPjIOSZdAH1GrEInQntwlK6VvmxHswiBneQ/9SW1
tABMIoitUW29l6qOayTTRV7ykJYZDoVeg8vaZDhpoA5tC4+VptxTn2Uenk9q1Vq+WnndW0vh4yV2
nUjdONLS6u04xKTwahfBXmhy0Q1gZXUNWN3kKW2o5q2OMkaRIfuwbkW+xrOQTs/rqsDesBjgxaYW
ysasW6s9aGjCf02nlU0BZIs2tKRK/lrkughNWTS3VSfiZ9xX5D3UBmTu1A6QUEhuQc0MikJ6T8Rf
RfxbVokLmmq6X2qk90skEmtsjTBk9RASrvCSRf4rLZbNNNvCus9dOWeXMjOV26qMRbZxJ8WLbvpB
MabPtDlnvcOiHh8oM8GLPICDCh6xQRLRusVcvs3C3i4Qgm4UD8Ah7OSo9d0mceUWmotx7QoXJW4H
TUln21pFMl1rlkKvPZuhs/jEIbNBjdUVG9HhaDfJOS43kFaml64pzeWbLovitjbmAfj8FDmvuDuN
3yn/qm9YvxnrX9D2PF3geCpksGXZhiBto4fRzlYKjd5hwVdqQ46d17zYaFqjQPLZ66v1Ckr6/CIa
9P47fzgPrbyXD0OvGD8dY4yqbVVaqD5zkbnqVSacpUAbvUZyJRAqGpJbtajT51RdiJBS7GRAZlXC
IFRB67lEdoM+nN/gApr73uBaSrDkVvHdGKr2VrdqCM3NmM7NJmMppI9ETjz7CnJ0HsEVVBl/HuT0
mkgAF0GDkPErLJg2DRIg7J2Pokj80CJ8WCDnWvf2Tus1/U4vNP3b1GaZ5iPRaAw8FOi+XpRLS/mx
w8Gv3nKMPWB5qTLeRo5XPeTUJK7VcsDnDRSBe11bwnjpI90Zgr6unRezjZYfVuvMt2qceTzICuhP
3iU9MjaxJfJkZ/Uupjg8nzxDchny/mXtv/KIZrPxquMvkdKm8RwE5rVJdXzhWkm3MTsTo2KrmvWf
maknha+PapaGS9PaJOZdw3fp2azcGaPtGgHHDx5vJdFDv54r1RFbK9XQ9FQG0W4KZPACKuUjd/s8
KPt+cWZAHPFiYB1XFE+q28E2t+bWXJ9Cmgsby2i8x7JrakI9EC7fRIlU/Y7nY4zDCc10G7VtPBvC
xJizL8JZYzY7N9OdaNERxyDKmpSNrCgnhB1QrsKnOt6t+u5wCv3BiDWBTREUTJ8oo30BToxl72iU
aLMLKlrIgzqT+h2JnCwJGxe1763XATe1KBBcZDTyrFAVmbi1hF4A/s2cynnVTCfHaVGyJzdWp88W
qmRZOgZJWfUXSduMOC26aS0D4ldQLZyyIt8UtlHHNzq2LMIfkfZf5xhQf2CPOiBe3erSB9gD5n09
xaa+zdBMUfzJG4YFGxWkoPzGGY3PejXMj+QDVoJKUmU5gdRj41WVNPSvclOR97ohCSKyfpIPYhgq
qBydmLUrDzpl5OfGRHXOMeW61J3qbfA8WPG101BeNUMDWLZYxvwz5ObmqWlcuhi4c+t5KNu5eRWN
7da06zVsVzI9fjJGmtIbeCfLCxeWyxsOxoanNy6tpyRztJ9QiGDW6ERSEMncTF4Io2C6ie7YjRNo
TISYqvVeavW4kgHNpPrOkLQXCQ2NFBMzR0Mmp7HBk0+uh5y7AcQWksu4kO33zXjXgSp4c2NMaNe0
r3kGzQNwQhddPAVtJuKnSJfZd72sI9YAlsEnNGDjcpt7lv1Dy3uFqrU2osxVOUl+n1nc+lmeF3tn
KOK7PM/bm39JuzXLRJ21PTGHc6HEs3OfidwY/H8J0xMS6ZJhj5Jb9Dzlrn2XZlH/6ePs71TxCEjO
SjOnjQ66/jAVQhxYXSAajnvXFUOQWTDvBKiGMyWq98qMa8ZF9W/VDaTQeFyPk+j0pLNnjvs6pY/l
T+Yy+VmtdXeKYlab2raWRw14+ha5w+yqaWzCSc1KRUzg5p7rNJzKrSl7rLkuqSep7+Enc+GNnrsi
N+YR3+FBHWZqE+l8DTl4PFPyXP+qo+YTm5RMEwzaqpt4NBTC/vikFNGwr7xKvTWyEduGUrchFGIm
cqNPyTls3Zq5vh8QBhqSNrQcjrlIwOgVraizcZ9IJCiDwY3BJxjsrXBYlOEqq2HdeXlV3YvK6fRA
9eL5DOdq3TDHv8BRDYOqFoZuHMnD2SXCiDTCTnp8jdrrvmPlyn1vmtnX3pinFyNSq2qDPFqESUzX
nOnmnppuxKDofBD0Usw+GrtYUGRRUjpVXqIlOzH21Ze0Vd39QBLwucP95sy3nhyPvoQKQhQc0K/a
12+VV4HpYZ1MNFxKYYZqm83bplTjS2DsOLe748PHR/X0aDCrsdmmcHEs/KY3EL3sRAWnUCbePTqY
yyOUFCDmBqzGpVvUM+OduhrIMen/U7WjXHi0eeOl0uzU9VjJQeJtiY4Bzdo5M//RMFQjgWCsCO0j
5EfVV3Cd0pkGWSfzz7nWTXcdlfJ/slQOWujw9ICKHYt3zIk9LM0IFk7DmONNSWyQYa6TvhbjWL+M
eX5ONPJUcYuhQNI68MLetTO1SJjjwE2zj6oW/kpnSXkLl9gMlEh2U1AYHggS46xX3Km7bb1t1i6q
YznHuLt8VXRICLf3VCjdjV3lzXb0CmjkkJfP1A1PbsffhjoqmiIYYi1WBWzGMQBZgvZrfJ7KazUy
LwnM/4aYf5/+V/yj/vSfC+Qj4RDkxtCyR09ybaOyV45GW7xIF03LZuyq3L4YKyhyXucl2F175maG
csxTAbRp8+dHjiohEnOMuR7xw8sMpxhcezOOnIu/1GbsJGyRUejXS6K6tS+z7qzk3KlZ5cShGLw6
QNOYPhyxsQgmhoUFTDnvWwdQ6E7ajrhXjCh+dfq0JgNdPR0GrXjWFks8l6h6Xo4YVZJXRMtl7yAA
OgrscaDR6z8apXJ/fDwn73RH1qVwfxEeQdciGXO0FAmZzdQUwNJcNRkjLMys+hYCjLxIHKd8rCfL
8KWqjYCtZ3Wb4MZCuF6UctPlWEk1o35pinl8SdQKl7GPf9qp1w9oOZcWtRIw80c3llJZSu9mFJaW
xe2oyqnjpSoU4y3Kc/ueunZ2Oy0D6nyFVV62DUbvZ8Y/dei5mCkreyaV5Xe9/qj0pkgFxAYnVG4i
3Sj20tSnB0j49uvUlupOVRxEEj7+6lP3NCcDIAjBFQL6R18N/hUcli3AMBWaAz8IpbM+GcSZC/TU
u45CB0BiOiTonB5RWjJ49W0zMIoTz8MndJBqTJ9mZBBgUy2YSBj15bhUtAtKOzqDnDpxqSFtaaCu
CtvBBNF9dCZy1VnoyQBCA+zPKfSswDLL2F+Urjxz4E8OZTGJKp8JIeLo+GF5WxhO2057piF+dowS
KwdUMZxNVuly9/G6nditAC4xX1o1p6GpH10u1izRDdFSos9oWcvYHtXS3uipvaOiqn7uU0ihgF/w
9QhrK5dwQr05ScOPf8QpGAJoS5wasTfgVB/v2Xh0Z+rvYt5DDlIHv5u85Qf5kfeNAEaDIAiZ8y91
FsmwtaYyu57BJWrQEF3nXOh6Yhuvlwn2D7CJ3wuZqurQuFrMtYLTWn7Rmq51Qwm6OJOJnByFhiuR
gL4SZ47yHSCHQiHfnfZW3ZSXOektNfZ02X48qye2kcMjDOtkZWSBBTvcsZVTLlUl+mlfC8t+xnGs
u+lIoZ/Ra2LAj8c6cTBpFIKMAbzKy3Gs9g2HLhaK7XE6+tVfN5VgC41xyd/IRu2Na69Keo4+5nu3
tbQzl8KJLczAgDRp2nuGdXxcXBpci2mQQIET78j/cT+qN7TSVQt+adGWQU9v73UYNUx2KHEh9gco
Anrnn8+ASbgP4I574h2wUpttpVXEDJKmaMrPY+1AC1dqT9zZvdk9lC1WLT5A6qr3FVPxzkUmp+Z/
xYjTSgfqherw4VrTk87cmaLpPselDrfYpFNQZK7npd5ouT63l02dNXdZ0Zl0DPJkOYfcPrGj13yP
2x/ol0118XD8ErgGZLNZ3cPHKEOpOtmd09nW9cdzfGJHA0FfH7c1byYUOxwlwx0cJLil7iu8wvc0
HSj0JrDic3Vwzwz1S0H4KIUke0RccF3PFTlwONZgdsLIF6ntW7SjnnS7Mh8i5s+XRllvlgQojTk6
yLchch/wnno7y8DKE6fUhcKdPlY7fh5qI1jeBvoimh+aTfCtUUf8RMslu2yqsb0oabAQjMOR3yh2
Pt1arRntlNbNd7aTNPjJIGts4rWzjRV3xB65oKaVDSiKn9m7p1aPB2DVGNYNqDL64bdm82wnACHU
vbBQzu4zddjQbCrCj1fv/SgI8kO2gwOEhgBH5HAUIbi7i6xX9+M0Vre9It0LzaH+9/Eo72NXAx4q
52BVLSQIOrr1vAR1ANTMtD3C3lTgPK383uJG+tbYirxVwfj+9fF4778Kih8SeNx56EG+I8cMvaO1
FRTXfZlB9HGsBeC0uXjel38wzOo8TUwJk+m4RJYb1gx7Nu32vd1il9tKfDQNp3v6eJQTDzFfwj4A
Z0+JDFeDozUapV7wwMt9NUTFhQuJvfPzRH6XehtFIXpjmP5JRwlX4O9d3jdpFZQQ24wzEdD7RURg
A2UzADHI2hIKHf4M7sdE4Z/0oMkQhEBHwP4+OxWC6b2k+es7TpRaFx9/+vu7BewEIH9g+CCvgAkd
DplC06LVluMnKR0z9wedSiSkJ+UykaP2+eOx3u8ZYKu8ypihQc0knTwcCyyZVvaYne2NZdUGVptx
k6vIJHw8yi/E0OEV5oGTI02iqKFa6nG0PORxpg8KKNJ2qpW3SKBiFpSeTC6mcnQulUwz1k5loe3y
bowfjRjHWgXVt9nXtQ47YaNe+nMop/cLiwIPQcmqwEpB53gbG3arOaJuSI7GVtt1TT/ulsHKN12d
53eKyKMzccmJVQVzzyzjAkEt4hhUBapAdEs6UYpI5vIrBjxyiw+OGaapNX7/eLrfLSoCTysFj4cO
kjQPx+GiDtVkjaQNBrNtaptBG51tN6TnFJhPjgJTCBEB7h3rOF5PLPAuwEWNPaScn5rb0lQZmunM
8fslkHmwc/gW4gjggAaVKvjeh99CGNPibJrae0dp4wovQhzktgqKsFtHR+PhwlVEI3Yy9hwkPbXs
qbQay/ajoYsQHiym5LlWZL3H7A51Fh3bVBDn3l+msz7aLibDQe6YyF84ZO0vbjGKnzzr1tck8+wn
GoW4gvzxyiDGCOuCh3x9FI6OW1vTzYCjqO49qpRbqSpuYOiJdgZJ9m5r/1IgWqW4id8BzB09bzFn
UOSpp2IDrvU3qTlprq8pXXdjijbdzPYYj2e+693mXiU4ELqknIjJBCXnw1VKo6FB/8PU9lKLk9eZ
BtJ9qebubUk76+2PpxA3iXU/sMltii+HQ0mrQU0kcrV9L6IZhA6+2nNkjruPR3l/Y1E0Wdny+K8Y
5L/HZMdIglQY587a27hf7qdY9jvECrPLAUvs1E+qFACuGpWrmKTMs21s1G1IMFt7G4Gepb6zUutc
ZL1O4uFRWHnUJMi0pda36GhZPbVFCibTrD2QGmpFqapHn/U0pis0jV75KZ3dhYau075+PBXvzznD
uuADQbtSSjp+jtQUm5MeOu6+17LhrkzF/Oo0dXem8fZ+zxLa0qignknqYh0riUYtKghNU9h7Ds+l
UEsZKlazbzVXCbOsffn4k95vVxYURUTw8CjIw5I83EMqatKpWw/WnhVMQ8PD0BjJgipMIySNPh7q
xKKhI006xI3MY6Mf3V8x0txYhs/OHksyZ/5eGjS0fa1bgKJobjoNfu3JKr1oEuGc04A9MaU6XwmT
gZeOW3Sdhd/aMf2QOLmF+tzeJse8oozl0Bj2ZLGzYxU+kYQ/cfnxx56YVyaUkJDiG/89zv2AaTSp
bTfu3q77cQsGrN9GRd6BDxL9mRtnnbejw7C+CGu5aPXVO8bfS7uwGnUe3X1i9x1oi8QSF3bvDCaS
rou8iJe4vsWmxA30TIy7ui7UMwStU98KRHrtdZFPQuA4nN0yTcAG9LYHFd2Zdr3SPqROWlx0lJ8/
ntQTOwiFN8TiWUsSiuNjn2oitrNhiPbEDdVWyHIVeXMHa6PGo/mJfzJuTBkrRvjxsCe+j2YXlx9q
Kxz7Yyoo8KuiTHgy98lkN6afRm7/pnQFzaJxSb/9+Vg0FFYVdNj9kG4O53JMYjURo4z2mY6R3lQ3
9QUiVDd4tthnvurUZFI5xauHDJDA4uhMQM0CWthq0d4WdfZCxm1d616pbap2mkPMipZdE3vn5I9O
3KDMIyEmWkvwho/vgKUq7EydGLRUDH2bO5Rp08z9m7/3/1WH/gcwHeCrtRbw/zZ0+Jx+7Y8sHP7+
d/5WG1KNf1MOJCSiWE9+tdIb/1YbUtV/r7cjeQk65FyW7JmqFjL53/+j/xvgAJB4nGNIkdC0JZL+
v2JD2r/JHtCY4WZfyYX8rX8iNnR4V3OPAQ7gISJ4QiffQDzl8ASkTm0sytjFO0fNSiztUVv+6rbz
sjWKRLuuR+Qqz5yEw/P9nxGp0FGYIB7VsCg/HNEqG8QxrTjZdVWNF6Iws03P/+ztJbLPvIGHJcG/
h+KqgEmNt8I7iqSZt7RDlSXeGS1aX0Ez9+a85S6hAilTqT31I372u34Q5eJnRop43W874USz9PD8
/RqfUg8ruyqy85+jN1iZ8oiAMk13magAzAMbZIiqoWXz8TjvppR6DnV0Co/AaSherJfPbw9u1TeG
V6sWWrA5jzl8qTRwEou7swFC9fFQ7z7JoUAGxhQmEXEMc3s4FCJ7KY32Ltt5dRGthu3ZFrJEdGaP
nBoFMBQWjDa1Afb74Sg8fKDjVSfZuUXSXozIfobe4uZn0pV308a3rEznVTEVsaBjdbi409VKOHOy
I8MApjdB4f4+tjEWOanaDf/gk4gz11NLzsr/H37SMOadq8gx2bVRWn8vexMG6ZBM51qvR/5A7LlV
iYJkf9XXow9hHhWI6wiKai5zZGmnIdIfJ2tBnmVA/77Z1lhAqoD/+0Lb0gAVF8iIijhUDA9IZd/b
cX0xNgamDCbkmCRomhgUGhnsVAUeDCQcqup8cP2MtrPrI2GoKlsKLEUVLsLV7JC0KC72UWc35wRY
jqRB1o9aOxtrVwpAEQ3do/2gjhDzlI4N3k5ltYmlOvT3VjUorxOR/TdjdsCeD8Adh6uyz+rlp0er
od13M0gCfzBt8alfej0JkTRVilDU1A93WCHIaIMxA1BCid851Kqmr+xrNArd5enjQ3NUTPj1+6Fq
rlro9NRoNh7deSCDQdK6WbrTBgOShQu1wu+pOw1+kdHYCStyTm8Dnl73dlI06RSkbjd8FxH0s2c7
Lsb8U6Y15ffaHMo2qCsjD8y0HiZUuzKkdistgXKEEV8Wb2SJIRbBJ6zwzZKCTdsrS6Fm90Ur7XOb
7TAW/s9n6av55RoLI27FQ/n7vUOZvk9qCwnkmFy03ohqWOLNYItZcMtNS/VJA8dtYcaO9sMmjZnl
0ElG1TtztH5dOv+NydffsR4pEFmEV0BTju8/Xc+rVoCd3VEqlSKsUs6Z7xpRVLxigj45X9q+jzBA
R1u/d+Gj1LK8NFoY5eHceoC2LQq+d6kXo9tMGwDV5DiL87AFV1Hjqqe23/jpKqCJenTz7ZLgubVV
6bR/dtAQdm7zxp0lvJXK/vovTHm1AeJDvluoF3wdK6m9Okk3IQqe55Plm1Zdnen9vXvB+Xgeb65D
xDWAxxy94HkKAyd363ynW9jL+YmnVcGyRNqdlsbzjZRRcyYD+gU4O5puUH2U+rk1SZuPNaJqqHiO
BDWyazpXFkFmdjOeEnYK6HdcOP3PtG4ie2umQo8vrNkZXTSQM9PeGCVyGf7YAVu5NDkO3wd9SIwt
zj+qCMm4EHqNHQfSQKYnfRkuUx7/sCMxo06nyGpAtC1Wnc0w9a62xUhuyb9i0JQ56Ccni7unsaR8
+fjgnpjbFfzjcHKpDcC2ONzg3DOgxZsm38EVKR8zNQU6rpb5I/1EO8RFQDnzkJ8cD5EvOGUISAD2
OxwPk8sWYmKc76AGJZ96LHzoIc9OeaEMMBfCaMqmvz7+wsO8ZD06wKmIQXmXVseW42q0Ni6j4xaC
+xAFudQXipZ6G2rj6V09mwq2CFo5wAea8nNFpV933uEuYmTiIg7siio5lnuaBgq5OB5kO1XHyzxQ
yO+NkFsPvkoS5yjIzVnMiam5U6tti6Lul4b6/RjIZJRXUBptcYGIuwdfAoTG949n5X1kQC5IzQv0
CTJBYPgO1yG2kGDMdIPfVs79Jynm6TJVHPdCh9L39PFQ69N1NA08Cr96E2QIzMjhUA6lA6IsPd+p
iVt/ckrbTIMSZZFzBe3Du9qlugVARceqiooZL+hxW2uMbXNUkV7f8c1LtTO9ZHqDh6DBXbK66csc
JXm6AUYAdQbR6cLZTtXQ/SlWcf0Rvwi/4JdIPI7FZeJebTw34fV123gKZxX6hys7+76V0pp86GvG
mYU89dUExzC3VzgaSMzD2cVw2omipM92S+4NHryu1Qw3ccwvlTL9AkDzHhhqbe5oLEOXTcb4D8uL
6xdTXqCKRzEXiMa6/L+F5rWrxKmjztmuaJK1qzTIx6aL3G9kYsZNpCBjH368nw6vkP+sMyvMxbzq
rdLQPhxQ2pLb2NSyHdJg7Y0Sadq9UtXJ10bk+psWl+UZUNipGeb5p8hIDXVFfB+NJ5Y6X2aOypTl
kAn0JhXbKJu1EEY5j2iWdu2dAy8n4FKJ7qd2PFf7IxRiiP8eofWTUbEFdwECHIgvMIvDn6AoFWWO
2s52FiyuL6qW3LhxDPQFQkoyQIe1vMfYwKABmf5CfYmpc39ZEDwpQkSBkmSXmIuqXI284u4jRAGl
2mhGiwxuhyKaBT0JqXofSXE12sha16BiEWG729iKdYK4Op2/DnnUv5qNO8whKAhsQFU78irY4Fm6
8iwlMX8q4ZKk7gQ+gqcMVfTB0frxNi6U9usgUgATEV3nOhQuFLaNXXhxyy1Iy+ip1NO08AXG32o4
K1XkhekikUkx9cGsgrFeonqbT06ykL+YU+IbtsSlt0PGCW6b0xd3uiqTF9eEOT92WufAEk2N1kfP
PMn8vo0bHZXwfOlua2jIoR6XOcq4piXLrWUJ9HkbYZrjNvGilGKn2ariwjMGsiUx2dK7yOnjAo5L
NVu5XUpwgBc6JnAadKwESmbSIs2+sdvevOgSW7abQSIlgTg9+Lfrbmytp16rreKn15aGCOJ6EtFu
cCCpBpO7jGqw2BOgO9lESb1tDE2pH7zS7qqbzDKVBGqFUS4BTK5xutLNkk5uHtcV7F+vQdKpUCBV
+BSiNc0XVV7VO9uN3FtHwWjLl0k0v0AgGvR9OStOfdOgJ5he5xqCNZ9wEclav0cizQ7qAcHPMIL9
xJRJeit+lTVpse0yx+wwHhB9fwEdtf9Z4HDB5EMuFpum0vT+cdK9XNkKJSuibVJM2vjSAOMFohmP
9k/MuLBK6YwJZQtmf/GuuP51AbRFTIWfTX02+hOko+co5jLe4JkwJYHZKpXwm0XTRIAMyuDc5IY9
5X5lJl78tcfqp9kMeC1gTGBBiNgg3SfMa9NATvhGpvVUbqN5nFBhNat5vqxRFW19dnRahSC2XQ96
el2IG0LW5U0XpvoTp0LNxiMDL7BooE6MQVoCaVidotzcJHqpNwExA/5CHihoOM0Kzus+apnVI6cP
mXO78XjAhwVNyaAjdt15qRrhwWTM7henNLwXAvTK8M1aWalspll/0WSdzGFlK+5D5ShJHPaIffa7
pHQVdBIUG6vAGp8kaG2kTUNYNh288YVevoXhi1a8Sk1i6pdaTtcFUx0rz1okjcVXQajk/hh5yZfO
LaY2mPW12KXQjYDIps3Qjp3Irh8NcuYU91thuleyQefTd5AkWoKsrZp9ZzQ0E3C1SdsgiUW9+IBB
ZbVx02HZDTGMjCCBKiX3be14L1pCWOI3dT7XVxjG84GxCjOFYCXCc3ecKy2EhWQ9L8hLQVBcWcQA
Ligi+UUadTeG2WGRSE6O0JSLRYful5VNkAxbOTFCIkiMJO1RjH7vyXEJho5aG9oBU/JXqkirD5hS
+ThmNtr6aj064O6E5hh+r7nFFz2d67dsyH80OXT5QFFU/aZQq4gKiEhL4XeVqVd3Zg8h1VhGjMJc
vZ3uLLNGu8kVHn6hdjN4N1WLJO5mVGqS0T5B8yjAV0GlsgYd8zpbRoNfDtG03BrzSNQfiWicQ01T
i5c26msrYK1xuMBIpX0qRGoFQ1xAOS2knl1D6fRm7lnPenL6CTcfe0m9N7fo2kcEygt8W1q5yKuo
L7Nuu/wf5s5sN25kS9ev0jj3LHAegNPngsxMianBkmzJlm8IWZY5BecpyKc/H1UFlDOlrWzfNVAw
tneVHSIZw4p//QN+CIK7s4ugkJysztsk4Bo3I44Qy8ZmHZSBqdbjpePESh54kKMRuLtN88uISk8i
DWycX46iOinMtUxcubhQotWPs/K20LIC4a/XpzeVaXV4AclxeKzyxrsiKln5NdJ6vpGqJa+KtCr0
wFAxD0NTH1NUUDL2L5lWtTOAS8+Q+GtXocWlsA/SaDU+T9Aq76wew4CzvLa9DBKM0f7TBfwjbP5T
/VJ+7tuXl/7qqf6/6x99ruq5JZqwf3Wp//d3V+lzW3XVr/74vzr4Q93/e/3X6EVWB/6D32xLcNP5
dnhp57uXbhB/D/DPf/k//Zf/9fL6t3yZ65f//j9PPwv2nxQ3w/S5P8LZodKt5fJ/xuYD/qb2SfzX
50E8gbmn7//5f3B63fwL2jq89rXex4OHO8E/OD0hzHCIwelBGGB2qpRc/+D02l8wmLkLU63ByFyL
j39xeuOvtRVJYMBq57kq8PQ/wemPbiQozcD0IO/AIsWXGVrKYY2TdCwGwktGJCawasH+YB/0XRtU
i5WfuN8fURBWVRvRCCvHn4sZXLjj+70rMkI08XAIkyGWV6Y2Y41OxHnMiGp26Ymp2VJUDb5BTP1Z
rZflZZkJ52mKLYd2ncn2/NtHOw2jv/489FopoldmGp51h8/OgjMkGaptSPZSSzqTSaSZ159Cgw8L
57+fejUdo5hdv9ZxY1fttGiRYEAhtkOAPxzkpLbZhrI3+xxbh4gG+h+xAV5HBK2FKu55cHnplB8+
1xKlQENJ14dQEPpPBZXQbja6/FG0i37iVrCWwP+WyOtQkMPXaIJVWUAQwlGVblcuemplLEOsdPLY
txfFugP+ll8+/lJvZ+lqGgp1EsrGiiscPdEsGmPUq4VhetsMKHe6bToMMyVr9mf2lzwRjTmeBAQX
whkPtf4ov12sEGQ1Zt5VS9jgVO0nNa6XOQmdmyFZ2r03Vo8fP9nhCyTlDKo11lxg65DBaEwczUGP
7VxbVG0McSqKA0cxKj8fxKlo8/Vv+fczvY5Ct4MpwSaz2i0fXVdbCXW8s5w+ZBuIfzmpUUy+ojdx
EywpNZ1vjFJH+gZMfKuVlXnKkevt8MAdgBFk+pk0HY8xArhrA6CymEJzqeZfqgGNvk/KBaNkjYRI
CB/kWOeZ9aARWHT2p+93HRriOsQG2DGvmONvn7OviizDGQuhmDc5BD8Nc6hnOIx8PMrh/FzfL6PA
b4Wlr68Byetl9rdRkjxpdUwWpjBtqWwXekKXqKlUJIzLKWz8vaFg7bJpU7VBYzqanxrmDfPUKFOo
1waRg5J7weymzppsfco08ajn8/djQYdcm3+cOUAdh4/VRCreKHUmw1id+x0aE+1sHhvEUphan8dV
KhFqYu+SLRILTPorOzo79UYvjTnHEzlJA9JG9WCp7NjdqqLFY3+c6jvNGawnEivaBwx0yI4eeod0
yaJ9VmOYjR9/GO2910VOxQp98n2gYhw+Qk/+WzbN6RyKhNrYd1wM1AIVawICGg0Nl9CUDtFnbtRd
u9pTFU+ZM9XIHnArfNJRROCg5E7LeZM4VLQINY3AW/2mT8yft7uAy8/GOczxsNoWHL1oo0/1ftCN
MXTNJt+rQ5eeK0PphB+/jHdHsemv0t9XeSlHZ/0sSfZaQ2RCpY4lSakt30r0nz8e5LWHerjX8Cwe
m/SKn5joSA/fuJN7U+lWjJIAHvR+qdCl2MFN7a8iW+XuAqmdXgqmudE9M8UcfH6v3RC4OGtB1qp0
f2fbxgVPUFd3OzvTvYquc2PE1PRtluDppAMiG633zfP67G4Ze27VMh+ai8GK7H4rI9nfzqMuTjzY
e29vNblk7dGcgMF7+FyLknIwrG+PlTbdYSDXvYhqTE98I+2dvZJ9hO0KmjPs4GPm6dI1uc1FY6Km
1xMlcEEhaG1knjjrspo0ck0ju8my4tgOFGFoGO31Rhk4OaYxfp5PDdYl5jI/q9A6nxMYXC2U/m65
dC1SkDD1orj2iWbW683Hn/2dt/MKtq9V0goRHu2AWtYQH5LKKYzw0Nvl5NVeiHpqtx+P8sZnhI2W
KhL6mEop+bbbjWVRGhVsPGHj2kXnz4MB2lSN6nwp8TkkMm9ShIZ73qCrm25x8ZEzCtUIcSWeUt8p
ynw+UdS+99wsJar71V+ZCuVwVuSYpy1zlMvQwc7loszFrZcVp7S57wwCqQVtLIJVuP3Hx0tp6PGE
0YwMRTc3OzfRim2jcMZ8/HLfzjzKOYoR9vqVSnrslx7JmZAWdG2hNXpFSsUdqzduNDmwyVuNlMJU
k/n5gMx0g3jF/vnx4G/2aWhk+EbT9FsZBjT/Dt+jWYxgVq5phVo5EufriijfprNu7qM+S0/YiLiH
JTnn2qonQITKhQw5E9jA4WCU3SNEZ8PBwtKtf6WNbpZnKn6h82Ye14liam2xEvaASghotYp9oS8T
go5Kyx+GuRbnsiTZHNBCi1W/cw2y6nuSsTdNbOWPyGtqwLexxvpwNKJLahINUzr8FakMXKPKAijf
7s8uTWo7mMe8vh+jNA+HtmKtNkWe3KV4huElmHai3iiZMpqUhKX+pUzWKEq1W7QIELwk+lgYeoSj
USyn5wrc+Hs6GPHjuEypu9EtpfjZD0vc7qSrywvhCfHVSCxBvEyckvvsgR4AafUWYItCcXOdyroc
/TohNcGTjY11drPopW8nnYrbiaWY6bVlAKRaqafUm0KbOmwKoAcZV9jw5S9JPVUvSdKb3NWMSQdb
Y3c6U+AFG6glE33wS9Ua6vOslvCxPLPuz/AC4QBWe0uERZGmedCooz755RI714prdo8CkeW0mdTY
/pki2pabmn7fOTlQINcySbyfEWLfiqhQb75q3YQoGW3CqXCUDmXHx/PzsJ/595RZ7zgrew6lg3F0
qhXDACUpNaxQ6dV7wyxMP6nGMyUnpxhGsInT36nk5TfLcRWKYKXEjceETXS8IsCEXc62xg6hVY8h
EeRYMzZCHfap2qQXOPoBKaoKzBi+MR7oHz/umx2HrQziKiZKKw+DJXK4QlJzasUstSUUlotlJNB0
0BfR88eDvLMM1xalud7AOeiOe8ScozBr5loNlSpxgqFkOvhNrfeXZp40N/TD7RM73HtPtVqnEOBh
6txcj9Y9oL9Xu8mohpG3lNcEX3nEsbin+M3vjuJyCLIVAn4eN/eJ8vYKd/LU0B3z8UZWnno/T7jb
ffzy3hsFezC6VpCX3pYj3RInIKS5FiaG3pxnaknecLSkJ6Y9N3m+9EE5B1UaI3GOAy6nkKSONmZk
kxOemD1pri1QwEbo/Xi3lLUNgE+7ZsY8tlYbDA0Lztq6y4xoY2As/DJIoFS/tqRswqFnKtGCAGz1
q8ySDh7I7EkB8u1I+kte9t+cabbVQIXLQi5IUYCt6khUPLx/xeJsZrhiT96k6I5P6EX0sFgCOVur
LsO4y2gq4ZQIUM1mnVTYc5aJN5/3Qo/VYIgL7VHJNTpgcoJXtu10yNiB0EU9s2/ODf8/Rm+kKNvR
1O48wnG+JX2mfgZD9rxg0hZD36TOYsdBPDoxPQqRtFhxGvrUBir+fc/5YHr3CjnsReDaoxL5Llb9
l80Q47A3Dmn+NFaJ1iBjdrUIIN2WWZAWIp6D0pX8xPpYtPeVQwoa6cWdRwiw1PJP5axkn3WtVj4r
A7uDD/VPnc7sdCLLuXdiQO28YOfwDXfiPtv1qKX9qJkI5iV+qLqHxNDNe7uhfUenoNA2S5kWoNVA
akVQQoWbgx4Vw7AZm9ZQNnHmOt+7sdULP6o7FdNKM2oRmTdjF+pG3Gq+Dvq9nOuislUfJWeJueWU
YaxQKJyNMkpT7DILXdJQITn5W9MTV4Nzqb3cpa3V3OJZ3Bh+2o5xFSymmhar8R77Jua/ukDHNcfG
RhIC8hhHk0zOm6hXK+xsJ/MOUbb4Xginf6q6KJ0DDJdmcaahSX9wRNzkG60ninznJKhqfJpKcUdz
1VA631Ic6FdYeJISCFG9upWL6dIIsZbsgWRS3OesGD8835QzXTvyuKuHRkFctsEf2SNiXpswcm3K
JP4Eg35Rd56uiKfOmkV0hU+lk2ydfHKzjaO0xSe8wr01PVxbvs5JkfyaRw3gKIIkOW04TPs9Xtz2
1xFzB92ni+4+ls04f02izPy22Er2RXMqixzrfh60YLW1qAIjGcV4ZkCW+VYnnUNMfGdpnIu4vuQb
Dt9hgnCgxMslIW5RfmYY7YBFJfhKwRtCGkrbJ+UcXfSqKgNYCV638wSawwDeE91BsdRZ72Mvx1Hd
48Mx70Zcsp4L/vxnMzOdzxEDPVsJXwwrzGWMdniMasrOqmMYU0jQh28RzY40iMa5esjxmb2NLRLl
Nm3pxRdpY4tig2Nznm1wAi2+Y3NScVLBmZyDHC1NH7D5xpcERQ3Zxsj17qssrfkyVUvskucaW/Yg
Vs2s2aZqTQE0jmPOZ21mrd0KdOfYa7pGFwdpHkfZWblikj/NRqpfl6FOeLgkl4+1G1f3BWKLOKDD
15abCtO8nTUOYifilsUylP3oBk0xYx5er+ntosBpNlcVPJxrFdGPP0Bpdc+cMrIuqQyHgNRUcat2
E9bvYzth5SvILgBVyssYx71sxDgAP9kUeGBAz8cXmBz9Mh8m2oGd4ckuLMVgsCoKDb4gjNN09mn6
DLixOxWGB8bo1oZveW2j0rG35EOU9SBJo9uWIsz1SJW3lmjia1iEjbUt8SzFTLwsgU9gMVGs47Pu
4SJLG1zfuV5p3WkCI9xwTU7ssKPXx3v4aHCfIuw87wr8Sq7TShkUroLO+IhdCinvhZFn19jNU/Nl
uWmy41UafX/Fqd3mLBqyqNgMiPO6vTs57sLMmS1lo6lRbW1ZgIkNR8G1H1q9YjcYY1smO6hlCnHj
eTZ+n7um0HYmx4YTCELnoiDPShenziFRdrGpFp6/0rUKcs2lV2NArxCGIKyZHl1Zm126w+Ujn4KR
64cKSlAYL0NhYKHt8UBekJqF/pDC0im302RCVsSjvLydzWUZzoYmwS40Q60T1vaQD2iNFssKYCvr
8AFlW+/sVJZ0NkWv8d2GASOIKMdbGKt9t5eBxp36Z6Gm5Y0sjLQPWiHLUMl1El5TSAO5T5JCxmGg
e5np9xGrmC5KpUHJtFOzDqQxTXOgsXQkOUq9BwQ10+nd1pVTWHQDmnTBeVy4rU/gqO1tzWbyruqm
NvWrhJhbmI/5nH9LrVH/qgsDe0kF9WLsi2rIlY30bMg/MSKmfkt6EusOqXp2u2KESTgR5zIEOPfr
Fb4TsisD7jbJzlzSHINld1TOhTEM7tmiIMoPYkU66XmrcmPaRIqrP1l6nQw0dsvhF8jm8lmanOsQ
843phoI3E1vc6mumn2nmFncVdkGOmd5pNjKJh2ZnT+aS7RABqvdTU2rjRdKM1Q8ROWzIVSHWH6wf
swAv3/l6ppnaAxhiQ+B77CFkxFuNfInVvrihnu8y6ojUuZ/qNvlSwy7I/WWIOiYSNrovU24YP0ZI
2j+TcVEvbbeoMpzKety/F/RWd506mEaASnrcc0eT2RbHYwcKgh29uOABaoAPolvgUTxpLGpNlrdR
PIp7LgLL8+KY8mctlq7dJq2afR1jwxUb15TWc2yVWhoMXVImn9K6pAfusvt3G2VG8AGXQi+Mszq1
+k+SSFPtDIi6xPc4SbjbWiUW9YFJeVNuhYuEI1CXbHbORtks+Lg3w5Jgdt8DnzplXdwUS2+phOdx
1mybZuCuZMP3CSDlJRdthalvYIx9AZNiUNlNRK3C9sgr5Wdr9toDKNNcnkeVaStnpH43OmTqvLiS
1eg554Otq8+uMnqwUjwJqKlC+sEPq/b0T4U9xFQj3qB855jHdVtMdXrWlIYSaqxQLOVR0k930sgU
c1MP9SB3MRSxz0kstZuMRB2s1eHElDsnHcsHvPcrZwt/PcWHtoCSJ9hDC2xiq5Xx37tVgnVuoV2K
PMHL2Jhkeq6XbtkERq21WhCDvF3bPf73vrGydiDwqCoggVMvj52qGF/msldkMIzL8qCm+FcHMKx7
Ej2jSnyTFFJXFDepyhp3iQZwrUjdYZ3oYqY2eB1Om1iJbweIw5wzi2svfiKqyDtfMlMVm6pexouJ
Dekxn8o43nVs272fKovzhYTxqgqIBMTRIY10Du48HfsLuJ3dp7QaaoF7Tu8SPUnBgiiDFocf5yZC
2WmsvV2SleJX56T1Tqtz9p9usRsktOqEB1fpBNxhiYKJVI81QozDDlbHqG3ibjES3xT0/3yHPN1+
Y1EPfF9ywu1Iaugn6PDmfN33s7jX8oWvgDukvs65thsC6CK5wd7RtFNgiaJRwxzMhWls8pD7giiX
u65S2T9HHRp0EE2RZn9n/WTmTgNxYBv1mvQHZOnhJqZyxIe6U9A/gbB7X/t5FfzaRV1/Iiquwaml
yuP7dorRd1CKaxY/qS0fDAWP0J1UcrnsgE/q6VzL9DzeRE4vvpRZNlKnerlm7JCB4ydYUhzl7Mf5
bG3ZaQQdjybvf8TNTHVlt4Z+B9xbNUFnI60JhoJjMxjksjLFuq6Kzj3qgyeO9T7ZRjZkn72jC8xb
lZpc16AawKMDx6uzKHDSuDd2bqpEzwQCzdBv7El+8iStpQAvXOUJDbt3mU/d+Ak+SfmUGKP9peo6
/RYBFcEF0Mfmp6HIHeTXmLQbO10a1ZfKWQNHYdEpW7OyzJ8T8Kbis/2R7EAAUnahrRHTgUvSgOOP
NreNwPPGTAtQ3bLLd3aB/iJOTaXxOzGkzgbeS54Ce3ZYmnSTAQffExrxB+g16n3lCu+mzgR4uIMT
8eceVW134tr5FqdDVg36qsFAQDZjH/UQdC+G/DgnVgiTQd8qETc1wRnh4655Cux9e8MlfpBtDM8t
nEGxRzjEIJyCBMCp1K2wJSAnMCS59VnNgvv4Hr0C04f3W1SKSIA0+uUwet31gX9r3dE0JBCmX1wS
Z2T7HYMN3UI8Y+XLVvXyDHqVWYj7pakbcxM1uJycT0gO7j7+Gd4+KdgnRggryqNjM3b0pCNU9EmS
PxYitLC/DmmRPhB8rZ74dO+Ogu8Bahb4u4Z39OnKoelq4r3dELbW8NCMyYBZbiofPn6WI03VipSB
SNC6oH/OP7QPD1+oPoEm5tHshV7LtZ3oEbtQAzCm8bmvXO9HO2ekD6apTmgFjXbKRmh7Lz3X3u/p
6CWPA7c2CnQiSS9RUfc/Sg7RbIefyaJtDCO3b0epuL+oCdsTaNQ7E8FQV9aEReMPzw/98OeeuJW7
gLRuiElm/RM3ObyYMLojlqiyqOICykj4buxyChEd3qK1Z3PVxy8fv713vhGMbtNCywWj3jteXgSy
jHUzSTe0bW75mBJYOzuess3Ho7xdxCvbBaOklUNOjsURHWBIhkoln8mjRqTG09RMDWWc6+eEZ5zy
7nuLm2J7pmswB4FNacIevdUVZzfx7fZCy8yKM5c2hr/UnrpPW7X0ldhSX4z05Jp+5y2ij6VlDWeb
vONj4nZVi0qleohCapgxqFVRBOow1duP3+Jb+BK3JUjdBOxhfQPV5nDCJCiHeg0xWJjMbn1dAWA/
06dT/GHEbr/xYnligr7zKhFa6KshBbJF3unhePUkI9PigAr7eKDTpVYCxwQ7+6Km8eqT0uoXFb4U
y5/vGlT24MAejregfeu7/m1/VK1uTKIpi7jAggS77qSeefri7T5+l+99MQN08VVMYSIEPhxl9nQy
s+cuCo1FPHMHm7ZJ4/5x/5u+JFY7nF2cKGvX5XCQQqWlQ4dLCUdaIpvF1JWdEHZ+orv0zuICr3do
4mpwDvjncJSkKSDQtIkSSlNPg1a3il1hL+LcWsofH7+09ybEbyMdk69UC5Z9HDGSVxtiA0pZXkCQ
ZgkPlVvsnKEjokRAmz8x798iwrxGZjzlIGQCMiUOHxBeXlMnGq9RjGn0oxyi6YeJ3NlPncL8OkEg
hzfs2M2+tf9QkP56tuCZC1/PXUlMkKYOh6YDg2cjlPLQBPC+MTQs9DRKos3QqdYJ5sg7MxJ9P2XL
So/kHFs/82/zHonrYheDE4Up6oEdFOFl02Ecsvn4E743CswaChAIn6Z3bEqSegSddNJUQqUkKCZV
sVpW7UGefzzKO1MSUxdErDA/LHC9o2fplRwKzpzG+8joRGDlJlK8ilw7si7Nm4+HenuKcnLCg1ol
s3jGHn+hqCwyq4g8jwciPi/1MKiXvW1czYYbxrCFbisYn2tiBaFHWMm3J97nmz159aplbsITgGT1
Sqn9/aupyiRNbtNR2MVzsrGcqNktbm9em3M1BriWz2cfP+6btcB4VMIrpZXagcVwOEs0qysyCQU9
LMHTQs2qzeeeDKltJmW3sSsluip1MT5mdq+fWIVvvuk68srYXd33MJc+Og0QfmM23JpRKFDPB3mi
zJ8Q6WVBLObx8eOHfLPPrEOxGOAlcf5gHnL4kB2lylROHDyRNc/fcuEUu7G1m10xx0D+Pa0PnJMQ
cHw86nuvlhKF89vkdoiF9uGoba5xeZbsbiiBvgqPbS3DNl8bhmej6rZ2ttpn2tUpZ8d3XivqY+4D
KFh1A1TwcNRuUIUCfq+EjdNrW0TO46YTjgSRJIHg4wd8d6jVuYHDgkP92Nh3yvR+rq1JCR3s37Z5
ZPZEhAHETsQZnVgW6099cMlxoBRxGHlIcl0WpnH4VDYQn1DAe0O9GetdMg7z1ljU8sRieG8UesV0
Ck0I5XSPD0dRgA4Qk6h8sUkn3hObWyAErzrx2t6ZFxDLqEjwVuJ4PR5FW+plKss426ujU0HUa8Se
uCr9AiUhsH3ZZ1sgqOkOa9XmxDp4+8FW2x48lBgZawDvaG7YRgGfWo7ZHizQ3NOVhRvcse/S14lO
SrbfbKTrYqPQgzO7lnzHxHyb271KKZHvUbzoPzT6c54/SBvrPmw6FB+8vy7PBAEgNR3UTmKISOnj
nnjXx1/U0wmRtjDMwheI2/FxWWbkuFNK9HehGzf9de3K8SqqEMZ/vBDeHYUzkE10pbQeu7Is/TQo
tUaLuVBket1Usr5AE3dqDRy/UJ4F9BthOc6eCCyPL9mwEtEg50O8H8wFTlOOzgkMpSRLLqsjEc6x
Owdx3tS7oUg0uRsX79T6eO8nWJUG+MZj8EY//XB9dNzy+6XI4r1iq+P3bKjdR8IDezRqbkeWKxyb
Bs83oGttk+Mvz4e18khsP37Zx5N4fQ18TT7m6haDE/DhD2G4CUR7xJRh7rY1zSloSDEZH+2YIH7w
0hMq3uOjYx2NSpv0AyyZmMZH52OXk/0jFzXeQ5otdzn1h4vDSJQ+ohDTq03TafHjXHnaHxI91mFh
68CnhSy3+mAdPmQd5dCPoijekxmTbSx96c7Jqc3uX1/lH4mg/qO06UAO9aFU6n+rCAqJ0W9Ta9Vk
/aOgun4qUFB9rmiFrRqn/yyDev0b/pVBQSMCCEBLDda23pb/kUHp6l9cJlDHqPhXYv5BUf+PDErR
/8LUHisH6gB+WYlI/+qg7L9ABmmrcRUw14QuVAWvsrN/84YQlP3H/KG/r88HZyRLkjKK+wX3Gm42
R7t7VtpzT4Jtvk8iZWl8AoGUC0tvya+3EfBd2Sbdbr+rpUwuTISTBU1OEsQDUzflcjGR3Ig7jrOQ
DdorXqnsZwhI4PnkC6UhfTt72bpN1vyYIitLdtOUTvJ8GPVm38zx+FUhKs7ZWFpJixiChbbmPRfi
OSF+/htZetlT6vToYRekojQKafib6JA97yLPi7TfYKIaQ68rJsX2NXOAzlI0wir3yJmLhl9p5fiM
WN9ZtbSx+SHcUTmv2tylDUqbZZeoiijP7KgrIAvWXvtF0TVpEzDaYPOVjVlkbIDG5hfNSoaVXmOw
ZzpScwpfIefoqQUkcwMQ9exaHebKCBoIcaQyJik9OGkrNJGdsottCpusHgPgt+U2jYDjg07FZ9ef
G2W5NmqhvlhK53w1kLDfDUU6WJt66pseaL2Pp7CPsmLLlRrPBTXWtG8RpQG+tfZsur5XJeMXgneQ
6ThYadwhxV0zGkZpd+ftiLWTP9dmSUbejMVUmEe40V3IAhe1oOIGbdKqdaNb2CjoidshUoAfOyPD
t9HOLFIJLKUfoRs68SUUJLmfC6BgR0vGEbmTzvdoKwx+Mn20bBopHMgBKcHA8yTPA9X3r7D9tDRx
C/tjhfN79i7oOq8wPw0aEkjXzFbH119bASZ3wAu4AjQIqtU0AHMg+gbDawuhXrsJxtpXKJtJK+8a
8jKfEl1NPzt6KxRIBKmdns24J407daF54C9QrLhtlabz0k3Ql/1SJxn7U120yydmdt0FldoNI61u
2ZMopaWwTwY9glVVdUodOo7kUKRtE92rNKECdKRqTPdp6lw/MV0eKe3Uy4n8rM6xJmKqm9b6Uqqj
9r3JiBXm39YVb8lQ9E+WhYA8sJeGF9aUgrDYjkDeX2bUGRohOB0vOmG68b8dvbwdS7O+7/Hzcf0h
HVP6mlrfOr5adPEPkp/bK89sh3ZrGxlqibHE18pLBezkuV1mxzdHr1XJbZYxgc1te1XlBCAHEW1t
Z1vGSm1v6ipCOlxFrbBI0NXEzMtW7H5Dxi3sBafoh/sxHefvWc0PQcvdsbm3wpFRnCK/HlfHgCtp
oKLwm8rAEsq0lwUZTDa0Z13aTckVbbU82XSlRmeQuQmFKhdu9DOWSjoGMhGQMkbT6A1/nmbvV1rH
hbLFF6DSfNvtWzaBxh4baxerOlwf4pHsL1NZDUZg0T30rhLLA9Es2yi7EZ50O8JP1O52aXHkRA8f
LXYQYxGgb/OJbuOJdslx+QDQ6VKTri61pM9xcTk8WeO+H6saGnA4WjFT1FXS63nqq9BNG+uEjd47
nQTGguOI8I+RQJEPx1LcbHIaQqtDp8yInSE2SPrSlf2PulGjUEuX/jLWm+FGTaRxDbCv39DqzJ/a
Cp1l1s9G6I3FeFYUanfXQbbei1gStB5ZaeGbfOivninME+DfcYm3vh4wMZRGHCBvkXVRm2qFfEcJ
rZwMaUnM747Y6X4n56rdKaIeQi8p4nMzheuUD8vdbwfwzd+H1e8heq8alKMzjCyRNeuV2x59raMz
DDuKZnGhxu0TpRFdwPdXNvCI4rOortprYyibbRKJdJVbFb4ds+i6vA3Tyqiuva4pn8o0t2FkCumc
/+lPxg2UvczF/gisiwC8w28ppy6T0NfjPfnj+jZhx/4kGs0O56rLr5ekdM4UTOUQiwltwYLcxLd6
KjS27InscL/miBh8B1BupeWRDfjxT/dmUjtrWhQXHG/N17GP7bPpR9jtDDVzbzhCBoRgy/uhHe2A
80IPPx7qraaOex3SPZp8yB3Aqo4+UaTMfZHKvNzjslMSo5RLcScH5gkrQCY3mCFYC61gIa7k0JXF
tpPSec7Vtp/Pur7XrH0CydA618jU/jIMsf6iNeNyMXjLMgWNixsdnAkT3RTsgce+UuABGhkRyhvR
Nsopx7bjixsQCVUM0nUcZYlnOsZIkzaO2nZS8n3JBwoWRWohCRTGiUvo26+z+o9SSegApaivjt4Y
tLS20t1M7E3RKvd5mUZbY16GLe2CU3fEt9jCyqYGo4DxTAl47CPV1cKt43gQe9LDCIgvM/OsFgip
Yw7wIO/TdBOJnjz3xv1j6ISBaX9wTSLek5L3cHl0Qu8i1S3EXs+UYat1yeTXYo5OWPq99ybxnFtJ
/cw88m4OR3FGkh2bchT7eZ7sn6QtQVo2luYbVtj9H97A1qkBWZzKibX+t5/CARA7rB1vnaEir9XB
YOH4um7+8+PF9BbtZUdBrg1lZDVSOO5ou8mSta278Lk4Xm8mKH3LBkBfBnOeo46oXWqnE5PxvSnP
SfJqVAsr4bhL3HWa3c2TEPsCXORxGsRy4WTTqXn43oPR32CuO9xxgF4PP1RSp1pTlanY16Pq7OqU
e4Y3z/zSwQcyx1zd/PGLZE5wLcNOmnbpMcl/bt3axQC+2KepKnF5FA8dwgy/z8fQ07JfHw/2ziKj
Lasy1zkN1kiXw4ezBnvoVW9maribwpHVWWWKz3pCOVGjZ9rChJ19Tz8Vj/POh4MqD5tEpy+B6OQI
fJm9uC/zrBb7XCncb/UYkansxvIUav3OElttmWESuIDmmAkcPlyjdRnOmUuxNwjLC+F8ObsEW1UK
5MU8UYq9/l0Hpz2evxb4+CprprezXo5/X2OYcSaVOkf1viHnZ8EPJrF7H7tmrJu4btvQs5AQfFFb
0d3AVGifUEzqyB4cd16I+ojbAZ5XOv/Q4nh6Qng4fy7zaJVJ9l3yOYPAG29zqBzn8JMjyNItjD1M
IwcDS01CCZ9dayFmgr2GGmMZhGv65NgXX5y0zyG+d3pi+RL9Om5oWm6iuGkTDBglK3Kn9eR6bWjN
5180zFIzv60VW6NQ6yrPd1G8bhDru9CQi8h50CaXWKpp7Gpz01noYYIFZfm8s+IJIWzaZfq0LetM
vVXJYE99nZjLy4jY7CJwjDaFY5DmGPvkRlPF+6rsYydQ9HL4pGWAcQGXSJ2SPY6R262tdK772W1k
gnvucDqE7oFERG99m+TdKkCSpmqBhVKcK3PvVRn+XXp8rXlNW11grlKdqH/fmbEkx6HUZhcgK281
jvn980ZuB0e0zMq9BTnmG4IFeYtbl7f9eDUemdzSKsMJm+mA7BwuG43do1mksRJcMfTlfvaoloei
sZfzPFLbbqcnuYYmRG3HR8+JUANkSuYS9rtQYEDXHrpsD9DAlT6d57jftOpQQ4R2NFn7Xqdoz5rW
zOmmskfjpXYt8mS4/cR3btTWDYrGiFtXiVfIpbd0xa8F16IfSoWjX9gw3frHflQhBROhZeGzhr1t
e2L1vLNQ6WS95qyvJmTHbfpihNvvWma5V5Rc+SZYSWNgT6pGnJBinTLJfG8wMKw1d+bVT/1oP890
xZ41WoT7NqmG817ip4zdeb1DhaOcKDDfSqSRI4Oa8TVB0zlEjjY6p4OLDYZS/H/qzqO3bmRd1//l
zmkwh8GdkCtpWakty5Y9IRyZM1kMv/48pe4+x4tLWwsC7uAeYMPYRkMusVj86gtvOOrGYKK2WvV7
5FO6G3DnWgzEt1yuSNMRfVVGLKZL4dKlynXEBWPe4oXb8vweYxhMvfjcxeNfXWX9TooKspsQdBfy
6T6o8xyxQfpXfgZz0/IxhL0ETjjfaS4y8nhSOJICLs/TjwYUf9Nms50fqzHRAiWi6aBDamAwpGsX
TtD5PSahWo78n8b0/gwHMbpFG5pzcdTQENro801Zl4Er4EaEErFNBCv8WR8uKeW/tKc8mZRw4PyS
pZ4+Yd6B98kNuzhGCYDiWLibxM7NQGvMz4Ib7UJmcB6EQP5QuT0TpSFrrt5gKRFGZeIWR5KieFN0
Bt1P+hcXtvKFtyYvMLjYkpYJ5PL0mZYWzOuAjeqx6NKUy1+t9qkA4gx4ubmw1AsPhNSVhE8xHaCe
WGXaAyy0XFeG+iiKabpPHC86hJliX1jlhZcEfZehKzYp0k59tYo7RxqE6aI+dvWu1wSbVqYjdLNE
2RiXbDlfeCJbNYirbB5buF5riklKKyHqY8SYftcMMdjyOZ8fXr8nVrrK8p6QXF24yOwbueK6cB0N
Uogwtdm4mdKYKgYoeaHl3XawqjiA4T19Qi23QowxtL8vaTXu6JUot1XapxucQMptb9rZp9d/qRfO
DapC3MSoPSNZYK8Kms5pkNanj3ls85bWDqMC3yoUb9NF1ZsRatyQQJ6xV5XzWJSTT4+okarR4HZh
dYzTcdnUVtNv0kZcyuleeCA+avJ+amr6OOsGzkKXuVxavT4uGM8FRdS4D2gPeHtjSO03F4Pc95pk
9PJkCJOtIqVwEjfSjLo5KhYvkaTNCwratsGMPuX29de0ngLKYTlAe5wWwCBI55LV3tFGHFJRNUcT
kgNaOv38jamd+bvuXSQNLb6/z7PRDJeQAi98GJSezHuR12IWuP7UpykRqQGY44jOT4q21ghgXVEu
tSdeWsWD6M2gCrAfEMPTh8vzmX5z79XHJBXqXawsaG0qM+2XC5v4wsUOdx05AMZgMn65xulCVVe4
DUCH4ei5yfAD7Fr30Zi9yqbNnqGjkOt1DTGFlApUhCq6D7PiWSU62KOpbzynzb69/lLPrz/EFriH
8Pymvj/zQB9dHMGduRqOXeflR9znwq3SpfO2COe2gcToJF/q1h0h8w2x6V2Ir+fficyIAd3KNoZ0
vTvdC+SM266YEEOwPNGgi2wPGJIbXdAssMNef87z98tSIMnwUfLo0KzxJp1uD6Cf7OFoM8LYCUOf
dpWjXILZvvhAjB9RZUKEkXbX6QOBmGfCV0NSy7WxuFGchejajZbxcTGV5NKlft4nphRGngBoCgLi
6pnaijCstGvhKR8FvJVsM+ozrCQuxOa9l1jJ59hpZ4aIw8wYC+XczNqixm19glZufGg6Ow9yvUBA
VomFcTXnxSVt87NfDwdW+mC0dhwiO43sVWiy3dx1Y7RUj1HXh5S0hlM0fjKr9s6axfItTyftq4PO
j1AP8I/M98rsMFaqei/5LWAJ+XU/zgf8HZILmFD6PLyGP0tu+Zuhj8OJ4AaECLC6cOraSiFeogRo
Go3X+oVAZnXL3787UR7tELlCNRMCmvWoLYWZbLwuEb+X2oWpOral3vl25s31AZqH8QOmSW5tO1h/
jwvbf99Grqb78Sw9RhC2FdEOZSfvIaWz624bQGHw0r1CnXzPnof8ps3a+JgTVrMPZY5Ah9/Ms/qI
NsCEoUjjuFfFQMF6qyX1/HvpZ/MHwDBRBXnhpsKPIiwfrlojt5xAtZRU3TK+abtti6REvo1ju4Y8
h8BJ6aMzDz0ZqQyAMZlRyToUAZTeiOkhKHVBC4eD1uM+NXHjB4rqhrh3oq/jBCXK913QQr0+Tqq0
OalrpfuaFk75OHVVU4NZVOFpIaxjlztmJLMVdNY4537ULAMJxaxX+WZIe0vbVrHURK9EB//VGvtI
bFNwxgi9iBlWf6IrqE4wHlJjqQM2/OXBMkWFBg2oLwr6r78Ng/HprzIy6TrklEHwopVZsQJ8t7Pf
2uK1+BjhVQEPV3ZEIxxWDJq9sXjQRqNjfFrHJj4GELUDG5e1g/A00UE+NSCS5XEvlSQqVCk2gAVb
GGtzjfQAXF7zL9UUyAi4zNFRCa5j43EKMbbyq8JVow13P7pdaWFXzEnRN0Z2obatp2ZWYwVq38BN
DGdXPJmdUf/UG0jojK9N7wp5uuRng+YZrN4iL76juyDYrbIpJe25zG5TKCvGEdaoPTFimvsLdrXr
sM8XgBgIySbFFSB6e5XZ2hU6lVrYDEfIZvMxy1CGYUCvPTZLr14hFlDdNy0QL+bDRrh7PRKvk2pG
gVgvEyFpVeBxvwZLD0YxtYKAfxzSLvxoC8jcfb6gSajm/Q66n314fb11TJbrIcZHCGLqAN5Q/j5/
QMDpyiytSTw+klooBwNxb39EZGA3ad3P11d66cmQV7QMORuiibUKK3ODwA79wvGY9k61RQBO+F4y
IU6vVfVnE2TCpVxifak9P5oHoI/XSemwfjRnUBFZKp0Rea04CmLD6947RWfCHAira9ftii8cHes9
9gSev8y4R5VNjp84AfOY6gA/ZjAF1yg6VBd+sXWmyO9FTgEtSWLvJX3ndMsRrBuYc4OyyJ1qxlfB
WHDP7KvbuMahpbVT8YC8SnohrJ8talOjORpSuVJ6kRLndNHRKhVzQFEdaAf66xt1GACN1RbeRxs1
M4qPdLGocMDP9hdSqLMDJheWqFxpXs6Nt8pinDhJUAmI52M31lHlu6VpB6GWGZsuMdUvrx+xl9aS
0yX6ljwh9InTh0T5K0xB28xHHVmDfR1PWe7rtZJ/QSlC7F9f6yxG8Fyu1I5iN5lFr4cktYoOvait
hVoJga7AtHs0cQTUoZobxhrFJkulmUSm5MhdEEeytxb5MM0Ynkj9bAk8hIdw+rBLvuBoVrv60azG
+bM11uMmtYzq6vkx34T/+9+G7JPnDCbeH+/zDNh3K71CXwT1/fcP/4vpc96xuVQAqH0Sjh3Owb+Y
PuMdMGSacHSwoY1JHuM/mD7rHeKCEgDAqAkMrISi/+NAqr5jBk8JxaiXP0Gq05NdIfheQ/T9/fn8
T7ImpZx1k4eVCHu0q/jQTk+BEtZFtGiNcZWjv/U4KWHxU2/nAWWCPsoeBW2FHa1/JATsXkehL6sM
h3tfs4+hmRmd76BkQ4t6MvmxOVSyjdWCi/PHPDPuRI3Ml08uh0VAMg99HdARyG9m1bS/A0k17hJB
LuOHFkpC+7xykye0YOzbIcE6Tp2Ym28q0EfhLgHs9kuLR0SHtGGe7/J50LWNWc3dxw7DtTvM5Mbv
Sk9K6fN3rz7UIbxdUqGp7QHSkirRLXOqFiEW1zy0kZqCxKu19oOVNctPA1OL+oDxRvaXCEU77I08
7KRkQGXn911iMOtLkPCztnke2xZYYKUPLEQ8wMu1BXoBSpEicqFAktOO6I7WPt05e8H5xjUfpxHl
b5+0sboXtjLuuKn6EPjhLLASAWjYbqZOIsRSC6mEwCOd+1hbRXufoB1s+UxVqh8z9qzmwa0L+9bp
LGSlDGske9ef2NoRZF2yXXJTEZvIjvWbDtWLJFjsvERhE6XCTdZZ5fsmzvmJAV3FoCzz9H1GL+MH
+BvjJkmUrNwp1FFWkHoOaBhE+zCGEKAJKV30aJl3YdGQug40l67sJvburMFTPzdtunyn/gYDGsaT
NuzNdFQ+wVxtkmMZpt1P2UhX/TlZjCcwo2a6GVD0iHdtveSpH4ZjBNontq+7LMbRI9WXKr5ZFE/W
5sDfNFB6FSgWW2/CMmhHkdS4pHTjht5tGfv2aOcfq8GRKlqhzewwS7UP7QKmxOcHcHewi6pJ/HB2
GoQ6CsoGGpDim4o1yNelndJuS3YGgKbLRV4FsaaLH2S2kPQ1ATqQim1Gg22EfHurFJn5Mc5Lnes/
72oVbaYRVFVfC5R2s9LR7sW4FN+suSufZDG5zeqFsQ+yFnUYzFz9I44c3kipggqv35cxwEc+arx9
JS0cOQslT3xVRDpS0I46qr5osITzFX71Ix9SFW6suJ8iRof1TvCRfvEWyHaYyjSk4JVef53Qu3jb
dOAZEiU7eHgtoCBLOb9q4oV9PeTZ1KnHGdmxXTQw1RtRlj/WhnmpTX+aVPyzFDQi5gL8D9b9afCZ
6JoUXuIuR3AdtZ8J5WNrjn/RFUFHNLYwwll2fwTpF8Bfpznk3wsCsEZgnfud+lT+9z+yVT1p0hml
vuWYF2C4IgdFphnUqm8aTPPL+OH11U4TyOfV6NRL+I9EczGHOF2tbazaBt02HQcnRa2tVcIAC4/m
Qjp4mkjIVWgCoFYtTTglCnC1iQoULa2O+/EYYbT006o0c1NNi9hPTZgfwqYznvI0LXd9NScXdlNm
CH/eHXJlQB70l7iNTCLa6fP1RtgUFsiOI5ZnaBp1S7fRm67b8OvMO7dwqvtuMhwUOozkzkpQmHp9
e0+ztb8fHGQVABpuSEboq45pm0/1gnKUOGaotG5DR1GCJArB74bIILy+1PlBNSSfVrYVbZOSYHVL
TkkFIhne1BFZEnPLTiKSVsMtwjHS3VhZaexqZ8oubO/zHO50f2GIygY36RnX8xpt7/W5GidCG46T
gcmaj4Ji5RIUq+pzWCE6jC2RaX7H2Wf41KuxUDZA5saPqm3kySY2xyL9iAqHOWy0JZxzVHQNfMqy
DhVIFGP60duBw1ajoAIA7ltyUDEX1ng39rX3CVsHx0BGCCSDX4faw9Bn5iFDGuyuiCioCdIdLmRz
2mf3TeQtv17f7POPlHgsdQmg+tJ8X7NvRmQNR32aaJqGc3mFP2V+BTOmvhOpW+28Ib+kofLSetBf
IGIAKiMSrc6RJaok7fQB0VgaDcDTbed6LMZ4E0XEfROxsjcNFeS55ZNhigeGCLweD3r62WRRrJWW
1YujO7n3gMPsG8/t9cc5T9+GmHteiQqRcyvxyBBv5ZP/Ee5UZMDJL+zuKAYvDJKcriRWlH3w+vta
YZD/WQZkI/ktqwAEPV1GRzLfQFKnP/Zh7O46Lvqg4ez6keJO28VRxJUo7A8TQKI9NIyeW9Ke34dk
kYhwoctXtv0vNKY6P6FX5cdJ9Lho0WOTwzGwG+WSR+N50KJ8pi+JxQaiOWcGO0VoLVPqqt3RoPm5
q+Na9duexpZqN/TDwvJnq/colRexG4wwTS8EkvOYxUCJtF2FLA/RZ322E7tIQdzN3jEXSwaQEQpJ
Y+GyZvdWceG1nN8+sjkAzgFKEaut7TchavQdYCP3qOY1zba2S3dRVF/qN51vJyB3ZHlQPKL9zyx3
9e4dc3ZlXDrGDjqEjde5V6ihVwcAViH9JpE9mpPhHcFSJ7t6trM3VdHy6ElOlKQ4MeOUquynyy+F
1BexQufYLLN1Mw/2dVOLCCMTbdmR3MBsF5p2Z6TapRd5HjSk5ybjFUCVfM3rJrce9mTjS+oeTSd/
ipup3mtLmgWLQTnUReqlTOmFl8n9ivA7jS9a68+2UX98yfZktxmwbOcIVMvY4nI2Hjtuxe3rX7Lx
0lPxOqlF5ZCOjPV0O8u6boZhUXRwMaO3bGNN5UZwJOeHiQuXhSoMdUDcj8FWAHJ1g6pr/Iv7vUJ/
DkbWFwOJwP6Km3LqMcPUio+uKUp0fIXm3i/DGNEyaqbwgSZyM6Bz2yBWTJbSf8ubptUDeNlA9AxU
hDEWhmT0eUQoVfdndxqUg+Xh9WFr/U0ecalB4Z86BNCoFrJtiDuhCsO3gjOU0xmNYBSFXXzhe1rZ
pMizBlgIOIRpw7Qnp1slxhA3Z/T2LO04wrk5lvHYiECP899uZGZyg3LjIY37oTqKhbjvI9ACUBBr
D4u5jNa45T5EwR+CRawiVi/1FyJbKd0LAeY8G7SRCQdaSceSGLcegI7h0rc4X+jMyJIEqhuzBvdQ
L9GcbqLSnT+7k+Ng3CniZtiMC56Lb03KJMjCA28gM0PpqXx6gnBc8Gho9fC/YUjsMy9OdlWOau8y
qJfQqiu0BS9EPqMk2cgUCTi6jE1/fBSzGSJ8V5rZEQ9474tZp95tpavNwR1KxLXxRcSovE63ogz1
60ZRP8deM2/yNO4OKbp/D2EVXpo/n4V3A0grLWrJxcSdZY3RoYlMH2EZsyMY+eSgqSWXXV7jrZlb
F0YMZwFBrsR4Eos7SCNgTk6fvU3aHtIg6GdQGHCyrZkyOnHHC6fppecxuDuewRwAH1fhtcYb0kQU
PAEp5jgbO631m0oXS2Do+fgmMPzzy5SKEpAkGJggLbYKPV2Ob8xop/BLNBraCmECMGntXDieL50Z
IHaI5SEkI8fiq32Dyw6KEZ3rozkp7bZAzDTgaLQ3bqeIwJtCZ7NYXXad1329zz2r2rUzLjJWXWQ7
z4icg06z78KrPLtCeZWkJJxihHnJ9FfpExK/eekVZXIUY+v+1WeLuUWe0NpnzNc2/WyHNAeUZq8i
U7x1lfySWuEKM/H3zstciAPFsIO/nx4lK9WRfMUQ46jNotu4rVNep0NU7VEbbA/t4unbGoKhHzsi
fWiNIt7ozmhvU7tYLpw2ufcn9Q5VMuUJF5wcoIGfOv1F0IqYTXDQIGZ1Bb/cBjXSkrz9whE4u+NY
hX8bJL9DXgxa4XQVD8ebBRmM7Ng1aER49oLmfIGAplaNPVeJeSkPOy/j5IJg0JkJ0lSB3HW6YByj
qDAXkjTtYoKqakhMl9027d+XVV/smRVH+6gefxul2u36ssDMl1rXp/RzkeYU+RZoZhiQvyU3KTIA
u9Gwf2ejOdyMgMiOaUYrKgdltyG6J9cz4qI+CBhx0Kosf6/N3gwvOcUYaWi+qya62m2ZaBdA2C/t
KMKMQL7AIwApXcVhJ4rpLSpjfdRQwN4uOH0H40TG5XZavNNqYNOvpylnJpkSz88lw0ExKKZIw053
tJpF3fUNsCx8u407u0npq4VJ3WDAUZdthGR0Fb0H6GYXUjGZJINR8YKjZD7G9zSzB7GPjBrw/Ou/
1nmwRBTCAjFCmiCZn6sIJmrdGtxwaY4GGvobXvtPlXwqQHL5UhQ7jxisxF4TKRkGctmcPn8UtaXm
ln1zFJ0X3jA7+2nWfb5fSqvdeG2R75reNTbZZHkHC0LghUj9wnNCwCILYhaoIRK3et34EkBFTvrq
6GjLtC8mBv3NNDc0L7NLHJ+Vs4aMTRJFKdULUFKF2LYK12Gmhp6GPTRYv9jbwM9Pdl0Yiw8ou+RB
Yjjmseqn/q5qJCu6xJ5CaSy8sqtGOdjI8b5fLLSDRWZh3YOM/n40Y/MOowdUPenM/Xj9/Z81ieTv
CuSYBAztFBpGp28FqHWIRXOH57QR0+sP+/naVuf53mnm8h51O+1esytxYdFnePhp0IT1i+QgWnqw
FMhuT1eNCBF4NUEz0OCjHzydicpUp8YWstAv/BtUMm40kZex+2xSoQudv8wGAxcFPYObSMesCMuQ
+dFVhmSDorEJr6Trts2MyHVtVrxfty+/6V1tIFRW9h9KTVt8RzTaBkUE86YB9LIb6lE7lEM6X6cx
yssWamL7siqmbcS3fwUIJN+GBRWLXtnzZspN8zrWDfhL8FX2C5q1b75GaHZQ7zJzI5cAXXy6I7Pd
lcYoXOWqlI7iaeTgCB2/UT9TnkxkNWgjsAbyYvART1dBXBkb3ASSN7IF8T1G7Z/yPksfXj9S5zci
XSkA5ZYNwgKXnNWRynR0zRum0kin8VWXc95L/exLmjvnHzQDT6DYEuqmusz3Tx8lMzInxt4rouOf
QVGd+v5YFbaCpfq/QND/d+PgE0mY/ygc8/+rHMyzmN5/9sT+/OtZCab4hjP2C37Y3Kv/DI1V7R15
MFNj+tuy1iQl+3to7LnvoHDCDGQyrLoMSfnc/xkaq+9Inqi9aGlRuwNhkFTPf8bGivGOa4IgStg2
Gfy7b/LDXp1K6I90ZcEu8E/Rez9De0I6sEhLE3VnYPy+B1827vrJiC5cM/bpMgygZGkD0gdyDOuA
eTk9liL1sn6YkXho+ir8nSGdhjZ8pJphYJooroCvGRwHTlpKR7MYCm/Ycl2Mn0oNF50rg9HaVZWM
yLpoWER8xaY1oRhrVXH0Oi3xtokdmT8VqakaDPlMk8IEL9ZsMkvLtU3aOm66RXChROlCuOYvvWiS
J0/hLh2WBaClgbcgTtgMHXA6CqP895CY0XcXci3K9HH+qappJW5IYbCcMqs0ag9WVS4xWixONviN
Wrjv9UJJS79T+/mhtlF83CCPb3+iL4A3zzB6Zbdplx4Di0VTszYQUZ/jC7BQT5MaWHjEKWWp3Bhl
19ypqaE/4kHGAFTR8a8A5osu+NeusET9GXsV+JUYBxa/4gkXGWxxNEzhCqOusRhAx6vDCtI0f70l
cD2/O3Bakr0K94c+56oNwERX2IxhDJpwS3mI2bKgcNu3FQxyFc4yjT9ToysGRHcVHmMzSydHn52d
VqjZbUUr8FiptXl4/VnkDfo/N+zfq4DlI86T3VKZrPI6yFIa9kqOgwoKVhNmMSm7UYnm2zhDPrNF
FOwL3oTGxhRi2L15Za50NFwJzcjpeas7psLZvXKF7e5MTRzsCS2fuTa+W0gAm1l5i0cgwHGkOi7k
sevvDrC6QWkEOZ1RB2XL6rvTSlefSru1diN2xGQO07xLGqb5rz/b6aUjtR1IWNAQl07QOtGKEPdn
8yaCJhAlWGDstBYWtRIl7veej3hXJFZ8oV544YGAN9mAMZ//WKdIc91W0A4ma6dm9RAY+SSe8LBa
LpTxp1XQ8wMx1AHlYzPIhty8fqChNFoqfWsHbFzKHC1L+zGsxmz0m27yvrlWDXvyzXvIvJeWJJgB
2pNrCvyYU+DC47N3DDVGVIDadAfbft7m/Zxt374U3WfmSECGzLPOlrDLVnNmlhKOMfjpoosgVem0
ximqPq8v9dJGyqMnuWfM49Z6sVa0UHYAzd0Rr/LARXT9a1R3jQ9YN7wfl8q5sIsvrCeFKhnt8geK
NKv0Zylzq9YUzdll5oijU4PGqK1l8x40ULeh53OJE/nSelybOp80hEBu+dOTr1Mb5yFzu12TJs41
q5S7uVjqve0gOYqcVfnx9f184UuDG01poFOyMQ1axS8ztVNiG+tZrl1+rpp8uOpQhP6CoEF6IVSe
EaUl0QXpOppYjMqRcFnFfW1scXdp8nDnTKJ9inIbLH4NZT4KJKRp8Mc5rBq/1A3M/EKw/RE9t6lT
/DmukpheqRiKQ1OGbRf0pttavtsDZArcBf4aSJ1u0nyvHpVh09aDnfqWFs3vK+4ZEWQAhx6QNe9E
0DZatXBtFqisOJmBwtVUKdkPggtjvrSIjatEbasLT34eY3iVKgcTS1D6iut5kImAWt2YCmg5a8k3
JpjyTTF2v15/ky8tAg6BwSH9Ql7nanehPAEziTrug9QTG6wG2TgbXN3rq5x2F2QgQ+hHsunpSpJ2
rVeZozpPsRr2dkACu6sx7xRoCIO6naxB3M9VGF0hDqpunUGPHhxxEX/Ep766cJH9AWUsGffQ4egr
yQv5j76+YlQee+ck+ylphvGrkZDb+omaOf0VGmrz3lM8806LXfsJHnfzvawzd/jo4JW3iXBmwynG
au/o7WkC34Y4H7yDGsazui+yCf8b0c+Qz/gg2l+E1PxzMYfTh2nJ8Xg0SuV3sjgxDhZFbMd+6Qkn
9pOsiR7rtlx+OsusVTBtxsb0bWNorvO5D7VDhw1ddxWV8E42FpIJKWKpuWJuF8/BaDcCIe2W+C1h
Z5bHn/oGHTKQG/pycBuPfw4p8OQb/X3M7my0bG2/0m18sayefsht2jXie2a3+i2iUxirjbYGfzp1
RZtvs0zRPpUdOp6BpdawJ3AIK4Mlw/5ok1SNfa9bTedtdHJ0AaCuN/OtMhRpt3NwHe2ZPYdoPri9
Uj/O0eR9dYdJDnDj1v5kOL03+0Wvp9d4sgIbLJgDAHEMm086mOScvHeocLfS1PxJaQGgbJxcsXMf
Kt1c7Jh/GKrP5CK5nixIG76AMoJXkwJvhl9dV9ytUwvvxms9C39T7K0AidKCvjOXsQZbObTGU1+a
OqZAoVq0vhVbYe6Hiqrf9KbTKyAuy196HdVfQxDvHzPuJbjyBU0if0rtASNDU+sf56TEnnnBCPTn
2KGUHMA/HBcIN14z+sowtre2GcfGpiCnpmlWoVbpi8GGsQVnEBfqIgm7m5G6H1BpPAALFGmF01w2
WtZnnrjUcHeu4lvTbltokzauUdQZy1gd9XgYyNP63nuCJobf+Rh1M4Zurb7s7azvS9yn2moBb4Ac
XKCicjYEAmz7e3durSUYaqilPkwy86eK7e/1OPd4zkWVneyAk9XzVejorYIpV6mqDDsHcdvlyexh
durZP2scj4PcajlyuFAVj8tEDuKUDboc5QT9yet1EKRVDSIDl682UCaSVvnfSrg6rjM+xKbmdhtA
ZqBsQ9IzvygKYmnlIemMRkmi+1Hi4CVQa9g1wMMKR+lG5+QZNmIhpdAC2hLvbtWEaRwXOrZtVVfr
H5Yh9VDgA3Q07OiGmx+memjjvSbSJtz2jhEig8KGQe8RmUbq5JX4aHXj0HmYYMc0poyFWZCPH0uR
BqZWF7+zPjKU296oWvvIyc2K+0adPOWmUODnBhr7ZQZN04sIg7lwKQ5e2A7GvvI6RDdDZi39Hr2M
qQgyQLj4286hVkR+CuK2O2BGJ30mJwFm8a/Q5ifvei/UP3hVNuQYb5v9Z1eY2o+wDLNIGoxp38Ja
mWwMMqfxugMg9YT7Znxfi8EsfKOq4jFIHb2THtyq/UTwE5/UNtLJ36WPWlNJ0UKgV2m+CV1szXw9
En2ypdnIqUuY0P7GZNz6NReGM6KZr1RHMx2a7IBZKaZl6KBjKiWaxpjuPc6K2M1ZIaoNW5WYW74w
o7/VU7OF1Yb3RLPvxin70bLzzn5Ss8hF669W1S/JkPTKhTzu/LaiYgKVSAUhB1tr6R2EhGoB+S7a
pyN+wllkaDu7zr6/flm9kHGQu8i6jPEV2emaegqg2K0qb4r2maG3N0zYp+uJaUvku6FXPKDjiv9X
m5flQ+Uk37WwVc09jsfGD1xAk/66mezsF8pAUbEROSFjZ0BnwhCu0yMAcYY73w4ezY4NiKESYC/D
wO9Qean7HNxRv4SFtih+2OohMo8MIR41J01+VGY3f6BRnD15TrJc6IqcbyqEDRJwRvwQzM78WZQE
U9zBjOJ9N432HntPaz+0RX1BkvrFVdhUJoIkhTBUTm/gJjQrI0EKHOcCGaS6PGZuFV8iMr24Cn19
Slum5ghdna7SQ42GHF3Fe8OtDB9twTIA295dSGdeWsWjUWaDuLfo1a6yiWLMiaOWGu8LHAr5o2EQ
ZPTlBX7U2Sp4vND1x8SBKRj/f5Vki8kLI7MiqBWal2y7GqYmzoOXZokvrYJ1GNQhqDsoEqwSQNfg
yktTJd4ruR0S+DzlK07SFc3G/25K3v/d2vhTIvNZ5+vPjoc0rAEPyUxaVpYcgtMXsyiGjbAi1sEq
wL3fScU0/KrurVhHvRlbXZ/6NrpHw0pUfj9Y7lOUpp3tQ2hQPuXjhDGREpvVQZ0d91Nam+6v2YuV
3+Szc+HD+QzLXZFbS/FebYcGK6jFgUyR98mYbDCrKLY585MPRoUKE4Fc8aSddtwjIYyxLTJY2oLC
aZpPPfLTnpY91KnJmE8UjrhJMRz7ljUxAkVGjJQ52vCLFe9F3BtJAOUU62saconmq+hU/MXcNS/9
paYRuH19/+S7Xm8fMowSmwFSyHlubP6Rv85u7yAUrSVsH1wGQLrV+6xMl6NSZZeG2S8tBfKOyRhZ
DuPQ1SekQn2o0WJK9lZuY6la9DVUX9SeUy/JLnxHp+MtygI5cwUgwHuS4PkzbFjq2OPYecleNMWh
j+3It4T1nSrgw1za94NhXYjsLzyajgY6s2763BYPeHoIlSbWatfs0r2V2o2kQC83XR66Pr7Vb9Ut
4dHQSQcPwpGnRlxPjFIvits0a9J9nen53lPbEVC3Uf71+rF44eOVHRTIq8inUl6tGkQtsDV90ft0
rwByCLCkLpHI7i7pV764Cr07G8wBQ6M1wtSY+lko6ZTuE4qK7ThqZB82xMnXn0UGzdURR0IKYQRQ
FOAO13o61mQ1TZJo6V44RLrGLM33Lb7dHfma0vW+bnXi16yB3DbLov3y+tovPSHryvGD/MScVf+k
KsYoc1rWppPXbDyEGTYK9c4FUMOLq4DhIqtAIYuP+fT4IWVd4SfspPsqi60NAtUQq5burSRMefLw
mgC+KhvZZEunq+S5ES2iUNN9VjC3dgBLoz6mXtKve+FZ0MsA9MS3K8eWq2sja4deUAlne31R4oNX
DHSTu/zx9ddyVrVL/RgQqoxCOQ/cGqePMibwksTS5Pu+GcINIiOT3xsW9mpDKJKdU7faz+cF3zRL
/I8TwpM54v9GAioAwj/2/4yASub6TEA9myVK/unzz/47SrTf4RnDSIgXL+F1nI2/R4mcvHey707c
g+gF5IoX+q+nhPaO659+Fkk1Urg0lfjGOrni//0/ivmO2bcD50eifYAcO28ioMoofhJI5GQbBI/B
d4Zs1hr81sWh3bvl0u+jsq3u5lIpHqABjDpVtwerXHHsg5mWzocprZdbZBzmLcNq8PJLgSH5Hxv4
QtqzAsJxw0GUIEtkwMr3CLpFnvA/7u1+aNOhwzxv78QjunTYA4dI8DsdMhO6AHGzjxlV/Lbserxu
kEJUNg0tvw828KenutPacfv67wNAbL05zxgGWnFglGRnenUFhrxqVuvMfYggHJ0QlcgHiikcHtvC
MO7gJTp/VQs76DctVvFB60YdathuNl27tGyqvYJ+RuFrdZ3dZyJdkm3kwH6gOWCax6HRmmw3w/5E
uyTBIS0Yc9wNgngqIrIynNc/Sm7SNy1FXgXPiLp9qM2l+YmQyICZWptE91YymvYui5fmIMwYOT8M
lRn1xfcxhGcNRwsPQ4KxBkbhK10HY2moi+LKcMMw3KqtF280e/wl4muIn+1yLUYr/6FlWR0FnZ5E
2G+3C3xcTZ2622UxvK9aWjJ7QJRV9WhiYAoCeo/ahzsnT5YgmzT1zgMipAZ27VgjwplxrvmaOU5H
W4CFCoCiOVgn2Wa5xd5CF5gbNIMDUD1BOcWwFf2nzhW26e0ouy8qbf5YuENIh65Nq29hmUR/WdBa
6eglk/ZxsWu3CXJkJL+Obtp+bNuWbN8UEyTaVmJGfSfSps8QsJCG6SNlGPyMftwPV8d4XraUqidt
cXU6jyWXs6LUIdoqWeheo5ySjEGiM/y7tcYlXr5MM4BzHxyLlm5zyIbpVrHHMpWTuUH3PYyhkr9A
SWvqMcYyPjmgwaS4N/lC/r1xeiP3aDfikTXFWqtdUyljFN3VtmA8rXVeS8epTj5NozW2vsxOfjrx
f7F3Js1xI2ma/itjc0ca9uUwFwQiSCJEUhTFlFQXmFasjn3/9f04s7qbAYYxjD2nMZusQ6WZquQB
X7/lXVqcITKRpj+USaOYjXW7StjV11oTmJ2x9nsMBFnS2jXGT7midDkauNWIDj3XSxfgj6GMe4ta
hnnIbQ+5WjthGii1lHECybMa4AjNSbn4JqTb9thlg4jvZItX/WCpa4EZLV15GLF4yf+Iklxx/ZLW
Lu2ZEbUCf5pVao992da/Z6esrNBpjBXIX5vN5aF1XXooE2mDCBUkFqLAy2ZrJnEX2epPrMAT2nFw
q+epSL/1bpbm1zYuEzWbRcsG3JbhwvuQjpzh0Pbx+hleEgUptvB6m1XrYBxb6pPOTh+SEYMTpeyR
btCzOMa8gmm7qrO+7B+KfG0XoPcdyDgzy5OfObor9c0UVwjSmDgxjLumi53iOnHWvgZsEBnhONbE
7k05YE6bJE52h0hP/6vxKhejK022SzQhMNqbekpWvr5k8JYMXenUoNLc5g9fXP+IVA1tHq1RrA7R
aAiYfpQt0b1jpSjSFmicfRBmPM0B8Lj2b3vK5kfqKcMXWB81VQwUPBAnSkr6CeZoUY1qhdVTSOys
AZkts9NFMBupftdSxht9OIUCw3F6QBnHbTa+Fwl5F2wOt9T8RNc7donAziR0c1v76sxYgATlGuEQ
2vcN/vAQoewbWlFhnZTlROkVpnVXIqpC43SmqlhkKh3AFD63Dq/RBKa9xgj4BKOIogRDIRd7FU1J
OFy1icDhboK+eedNa+3uUyWzv2dwR35gJG98XNUYowSdy32f6ARzEMO9WVzhFMyBRXQJXqrddorp
wwaPk92ktAWaJiPFSx88n8Jiz4ShfqwBptvNOpO1L6qofEpK0XWH3Jm846zqlRVkaeZihFROsbob
FL14oPCuPdi2EH3gLbb3jZt7/TlP6oybmbLkDX0Bnmy/cIb0J3bMy73IS7EiKiUG028cxbE+6kNq
A01eEv07ujKQafVVK2NkyJb8Y625CL5M8PyznaVRNMXnvkimwEO/AIlCmTHh04BEC///pWiuB6tx
H5I4FzQyOucqjswkNGaLd1SDo4cmAsoCKGctZhL5A2J+xh69QfEhBbUHu6bPY89PBSr/h2XM8r/X
ou3/1AnpQZBEg/6rRZYRncLW0fIDnFFLOaB2lH9qra5L98OaJvc4vaDxpTuK+S3XqoKfG0FY5czy
n305xpTX576rf4s2aaLDOKcA4THXGaPd2vfgS9FrWT4NRAvLDVwcE+UI16jLfYa0HwVubY5uvaIq
DTDASXcbzVQ0d51b0nooK5s8HOnBCSo9i9L4FLPWb3YZc/B57ahNF1G/mj7omiUOyd4Kd6dHZUm/
ss6sn5ml0k931ZFCB1RjnysY06f/H8z2y82v//O/sXtBIYqWJSU4ieuHWvYiDjof2MoI9X99/F4P
31/C5M7+Tf8Ocw2JcMOvHeF6yR3+ryBX9/6SZChgLMSq0NUJsf4d5Gp/UTEGmk8GSZYH/YJ4+z9j
XP0vKcRMXAIdAaIAUpLvCXJPG6pARS0JcSHPI6Qmad4m/vNaldzBrRqiAJAd1G5Q/jVOg/kZk5Pk
kGDdgOSBNgeGEf1GLNm7eTF9Z8La0zrKP6MDanBoqIIOpPpwGtVSlCtnmJDYySeaebRRwcABu0xB
T6fNx7eHOi0R/TOUxayC+5LiWeYmm81slP+cHOkIdUnW3YKE/OSae0XPp73jiA+rqN7XY5AjErCj
dUbdX6NWtJUvTY1KGAurHLbtMHNFoKgu60OXUoPXc8jlQq4u5W1Rj9jicNXFwLhqiNRQMWrI9SOi
YBoZwF6rne767Tk8MxTFDaQVAFnyX1vMV1bjizYMhRaqZRn9nvpZSvcjq2fUg3qhZn1mKKr7oOup
ikt33c1yeeW44vPQRmE0VykkRSBShOVpR4iNas+F7Oq0BvG8UgwGohMIKgUweRBfJldTmUidrywK
MdxJ/9ilgf2D3gxXb8/e61EcFZ8Tj/oD8DUgPaejtEWEFFGUOyFqr+V+qHUMAaO2ujDK631ONA0y
VRLJ4btsC7yu0tlJpOZ2qDRpdcjTOAcyNOXuvszj9CYappl2ibNe2Blnvo03HlYu95sF5XpTYCnj
uM+lIlRo1MZEXoMAuGLWl9y65Qz9d0Iu1wlWOh+HyptLyrlV1aCziZZIpBuh0WBCZRtN8pAlbhHS
b3U+YFFTXQDnnW5CrnQscICTAZkD2CLz3dMVQxhbtVt4X6FalfqfhZ4t6o8RskXIN1kXnMdOv+2f
sUBTWjIZ4jHY0hm7qoub3FK0cG4qZe+W1HmFWYj7avWSG5QuL0mznK6YfK44xbSJadcB4f8H6PKi
oNBmbR4pVcrtlM9IFpaxB5vZ8vJLzKMNq/F5ICo88P2pYyNxvtXswQUxz5SRS4M2M4aSvMRZ7qvL
rOwdWU0klcjvJywAjzoS03Adu/FXBedwZw6dcWsJM7q3jGQugrcP44b59vyzUPKACCxteigmbc68
M3hVPy2jGs4kG5Clc3c5TG1mXZce+RydW+tmXrsejom7BMOiTsEw6Qk1464JosoZj8KwisMM0x65
Wh2KPSI4+7moPCg2/XoouFMWf6wKJ8iWAh9E5hbteHuKruexAlDdpGOgQTDf0VJvPkRNk90hIUmM
HotLV8KZpUYHhxIShSxu7ucVerHUeVcnjgAtT/TYmbvUGpObKAGm/faMvjosHH56vlDeiKKwIJJ/
/mKUWRnnGXqLhjRKl19DdlN2bRp5oSxqXXgc5OX/3/fAP2vHbfCcd1M13A4VlTiOjLQPQhLuEfuE
zNmriuXduAqwCYxCjSDS1OW+vdxbOPeRHmqPcCZh1/DLTz8ysycj9tpWo19mjbeKYJSoaeufpT2N
7+ymc0BBYkq2Nsq+sCfkRf9iPkW/dD2gLi1sU2BiDcXOa70oi3d2059HoTsHFsKS1f7NKEpe0Mxa
DK44IBFXaatLCLdx4bCdWS/YJzjUcM8AndvasqUUFKpUSfQwtkd9H3d6fUT/pdsNRo/Az5LrzmOB
cjDmnt184Tk8OzQgfBDWtAbpcJ3O4mBHQokMNAeifCk+1qITP+1caE/rYI9fVLTcAn4xLNvO9i58
9KsLXa4f6tfEnHBbiDpPR45ai7Yx+E9E58zxNsYx8jD2ffoNnZ95hx9dc6EpdGZrEv1JQykwnqBN
NgVZydDSppQHpEwd7UEoiCioa5NVlLW6S/YYZ24Uyhi8U+QNaJ5vCfENEnzQK1YWtJjLIBN5cqgS
6xLYeqNq8XzOGYaQgp1Drf+5Bv3iCHQLLIJ8MfXQjqrjXFDcqJUbI1E+0CR/EgoR4ej8bgzzI54Z
37UW3X5t3g8WjlRLqTu7xLYu7KZz3/2stkX/gTB4qybUabPqlmWm80j35c7uo/wosAB+/03KqwwC
m1AKHKa5CTuUOkuGtW4MHAmEeBzyOA/jLLX2K+5WFyLfc5uU7IQ3gYYJCSd55stLRlWbocmoUoYq
6MofiAqPIVJc9lMElAejZa+/kPDx3vM3bu5u2a2XjFmOJA5rpyM6QsCvjGsrBFrtdYGXTNajwvGx
fOw5UNTGNHSdgsUylU8ZuD3NL9ZMnX1nzusbAyRcvFusxTR8HcjYregoR+5wqtbma0D7E8D4mXaH
7Bk4N/WQabRfARM+1HE0fQaLhB7+UOjWuu8tFALEXKRuoDaeWWJQrDSfdNSipSZZrj7hNuHc91mb
UuF1ajRkwH8bnyn1Wl/iZiwe0dAol4MaG2LfLh48Ig8o6aPWFhCqJ5GqR2/U2j8uEd1DpFhmuy/M
Yv1dcWUkB7VyxRH5Se+zZa8L0qNJweuBfDxSD61liEOnjfEj4SAE+SWRGi08rq64Bj809v6yzNZx
HjJ3DqhD9tW10SzoDpdelvxpIVAFqzrcKBqOZ0Eyd+bXGrdDIhNd7d3AaBWzQI2Gh2QH+ryIgmTK
LDfQW+I3Cn+1iT00hEswprMT/U0Zov8JaNxVIJKJ8Qk7n+jJK5f0o7Wm7oMRZYq5IxpQ4IChRwzY
14spCRaADZFgi3Lx6DqR/muJq2Xa4fboxcCB2/UzlcrIOFhqpHzNl2Wx9hU6XYjkl7HYT4qg+WKL
0s4wpRFdSCMJXPHQmO3fgDpBzBmJipzqQFP355rFUHdjs4bIQgD6rVbUHA/mXpgJ5V41noNJNYsb
wes8+qVhdmFZiALZArHmV1M66z/HqLRnvEXybvFxBLC+1GhYI+ypQ8feCeHl/4oLoNC7RseHOGiw
M7aBsjjzhcfizKmgMSoDCjA54Ac20ajtkEwbOPSFoprG2zoX9iO4bN0XU7oetaarPxfIjl4Y9Mxt
Bo7+ufdKTwTBsdOjiNH8CsVO6GFauQNdMG+G3+BYh3fHhVLsh5oslFE0LTajxErSm3o1G2GG3V4w
xd5XlZoFMHDK3W+PdC7VwGaWmAmKB9ezK2+7F+8FtgOZ3ZLOhWunTij889Xw8nEEtxXAcSCXBxwG
ZSFlv1olarr5DHKZXDOwIiN6rMuKVhZVri9v/6wzdyx6ahIJRcxIhWFzxxbAw80Vy8Wwgwl6X/Qo
EXs1TadKUSOsTxrn/YGj1GCXIoU8oUDxTmdBy1otBvSrh60u1puCNnsA3ibbvf1VZ8IN4lKKk5IF
Ab5rs2Nbm7p5KRwjdB1JCjXQ1Fh1wOnxSpn/7aHO7FOLfUqFVhZpYZicflCtG1FHS8YIk65sPk1O
HF/X7nQpS3rmbm1fJj4GQQe4JXD/NsNMYzOZRawaYbz23hUeWkiiTmV0v4gFI43BbAD6pRio+Uo1
j3T8hmg/6cUlhsu53UJFFPEM9Fl5PjdhHF1ldQU0bIQFdlgqgv6gsBSF9jowM6+gtJJFF1by3PQi
FiBL07BpX8FD58VoEWShz4dx4wJLxNV3ZU0K+/YinrnhwGXAmZHOhtJb+HQRR6dF+YGrOrSs6ZeN
r2mDKN6c9g+kOI9uujy8PdyZjyK2QENRhhoy/j4djtK54vWYk4b9WKJOQNM9aCb7vSRfsif2AaA8
6vHU9raHoCqBQHgTHxUrOrLky2DuFHO5JKnyrNew2Zmgo2Dj4UwL8nl7g8yYdNKO1sFFlKYz7GCk
xOpNkqA7GoN15J2cgf7ukIqsxn2PjypFdEPNdlQCSW1KLSa4Kruo/pIZS/WrbBd9n3HM4FWMNTJj
VqstV7oxGVjwtNUIb6DWh19taiOciN7yRwDqNb2QN1G8zP72g4ijWRd0VKkZbjb5SD3LWQfNDNtu
SAJjnJ39jDD6+zc2FklQ0mTuB8dwk/tN3IE42EWsjqWOn1c1n76KMb+EqD13b/B6cIKo2sElsDav
TrJUuWpEihnaSWx/QedG+7RkioNRrbCMa+zzOog7bMgfSzvlB+Qq8YswLtbZzm14jGbBooKJloC9
0w3f24JY3gJzoLdCu5uiOvnXGhHUvb1wZ2597FSgosIopG64lVNaXVNR0oUEiKjy55JF8dUIwWtX
DOOwf3ukM98DY5G+EGQC5D+2iXuxwOUtmkgPk3ly/dQq3Z1QnO7CrXRulJdx13YjWoj0EWITAg1a
ekAv3/UnQCAXZu3MKMQlMvZhxujcbV4WQEWtVcSWEbYUIOjQl9Y+GZKLmoMyktqcKu4gMivp7mM8
A+Nehj+NsmRz5RUmOo7tR6wL/oyCyL1oh4OrWD+8NA0y5YvTKHdcJo9rvug7dOkf3FxBs1+3g85t
MUwepk9ptzz0rb3utPXS/jk3E1zKlLcpGtD83My3YcaU+BdmAqJjc4yX1T3EWaNc2DvnCgfP9uuU
6eiK0Vo8PQyy10lZZzDDKDFtBPLNqhmpu67mfQqPDxBAi3jHQah0BH2Sg7K41decAngEkeqpauO4
26WNMP429XrV9kMSlY7fmhUlq3dvcrQMWCk6QxCvdDldLwLWuDYyr5QQG2CvDuZ3idjjAHFJBPnc
pFOkAYOBIRtQ202oNlPf6/lqM2ysuT8gkmjiW9G0X/4H3wKnAI4xAlUIGZ9+S7pOSxIV7D6Sv3Hf
qHZ5ZSvL+4TVZUlItszpAIGt5nu27S2CNHguVW2G5qDGhxFbapyWtP5QV/37p00OBasAgXMLgZrN
tOGqnRVGV3GvqzFCFtQCpq8Ohg4XLofXVyoKWbwc3BAcWp7503kb4aGlikF+BMoyw709o84Vowp2
SLWoenh7jc6NRWuQvo+Uh4KRfTpW5RhFa9rst7hx4g8zttI79HKVcGmrS7ju1/Ee7zvvrosIHCHL
9j2iraOns2JZyHPimGdBQLovzb68ohnj/kijhIx97NVLe/DsqFLDnK+UKnTyz18cqFT0peZ0qoWJ
Qqreazn2sr5aKiumDQ3HCxSNI36bdTodgYQZBiGbEzuHEXfpbB+p3SJJQ4Ut9ms3CCOIYSvcN17u
fMULOoNA0LTzl97S64d2MJJfwJdMz4+KtvuKWXQ77sq1NO60pja+qI3wHiJtdjNweymUVgo9d2ht
dI8ThGaXLk+ZXIHHE+T1wkZqx2rw0bDqavgYYdz3PWvnRkPvnaLRLgc4j/Sw8OKHtqrSB0jH2hMl
77b19S6LPtcDLFJfdWL7d6pTFblwRz13v0+fFdpkPCko5hJRc4ts5rTJm9TqPDvsFxH5jSWM65an
Zpcjlbw38bkN8sz+1OHVel1EFe6NOSAkf05T8cFT0ip4ewu/vsz4FZL/xXtKwLV9QZR0biBSz3Yo
MtQUK0Adu8ha3AsffW4fEeZImgop7qtOMxjK1cpb3Q7NVJm/zZPe7fIqFddRl6bhuva2DyjSu6DS
cubT6MfCUnhGjACvO53oUdNhKg2pQ/ki/qYJI3tox9L++vb8PXvRbZYTqg/XGlAY4qrt2wj7xXRX
1NfDAQEYCGy2mo/+ApBXQRBJ0UHtYjN2bApalUE/FvZxQIPWvS4cFcnCebRtYOeu8qTmKU1Zoggz
DkGmr3ftape/QJ178Z78IfIAILf6ITbWieaqFCuILWzPg67PRhCEQs8pxYDV5R5I2hLattE0lh/h
d/9x6GJMITykFVyuwwibIgpxtE+UqCw+pymo5BCOeeH4orP70qe2CzTz7Vk6c1FyeQA1oPoDO+VZ
BuLFPTLPU8k/sRN25VQFi54kPtjQal81xiXwyZmheJqpa1D8s0EobVZ9XUtYg43mEIIiYdNEFMUV
wEhXeT30F56aMxsMaAEfBQSRa1bfPDXUrUdK7Rj4dEDg93ba2ldJ5VyKQ8+NAglUFjDk92ybQ706
ejp+Cm6orADbSQNLf9TXaP/2Cp0ZBSE5HnuyBNRWt0UhXXQwP5PUDGX38tDb6XyFv6RyAQFybhSk
aXiV0U59XXpaas9MsxRGQukO1qGdveG6rqgavv0tcok3R5KSE4EGy0IUsDU6W8yc6hdXA70XQaVJ
zZ/MZLl2jJUeRZIivmbvk1X58/agMi19NShMXdmIUWU8fnrb1I7de1j3AVLnASHyVZKHnJjrq4uA
61UijUDev/skgkf6bEtVSukc9/JtHkeeUICuSmh6VbqrTSML0s4WV29/1usVY5kkogW1aEB3W0Wh
MYoz1YG3Gxpu1hw8JA8AElPif/8o8IzAPAFrkUir028BOez0+lJ4YQxY+CGqZv2QwlJ9/yg6aRKx
DA5NhFFyCV/cQmM7zjjXtV7oyG7MoLfddzunY/7ubwGOxspQiAEXubXJSLPIKTvoWSEYkfhhHpz5
UKx5/vQ/GAXujuTp8kVbyuzUWkuiaRJj1w319epaCA4ubv7u2jeqjFLqCOaYVKXbxn+AwGtIWFEI
f0X15xW59glWxYV1eWZbnZ4d0hDAspK6Rod62zmxpYQK9BwvLCFP71yitGvakVnQImVytdqJRDQt
VdCNy/wBLcTqg9Kb0XWdNf0OsQZ3b7apONZxbNwuOm37g7l43uO751tqe1OloVgjS9qne6fMzdVo
KILyEzX3BkTgGNgIcVyYidePFxgqug2wQ13AZFvcn4uQyJgWIgqTtVJuinHBYX2p83BCwucC6OfM
wSbykzkf4RGJ0qbAxXc2lYvPehi5afWLrnV6V1eNewFFcXYUwkpMl0yqadtulUcFYJ2cJgp1tenh
ryTNtUqT+fPbi3N22mj1YaVHwR2Az+niZG6SJm7NKC4aSXsVb/CDhaYFoj7jJRDFuaHAoUB7lYfv
Vbyc6J7Ar7CPWJKm22k6ZIoyQpWo6ItLiJdzc8dFYppAwABHSTrny+vK6jFYqVX6FSV2kXcusv2H
FbJc8P65k9JbnHEQNoAwTkfJG61PJoX4NYmcGvUhj9cqsaugmMrh5u2hzn2QxIwTn1GxelW3Gy2c
yW11icK86PJAx5z9gLH7cOEMnR2FVhrwOWYNp6/TD1JjJH/c1KDNk6z533k5P5XoE10I+1+/9oQQ
gPzZAUwbb+PpIKNiirRo0igkO1WugFTkd2hEIeIzquLRUQEwvH/q0JuTygwSALWFsya03esOiGnY
21n1SPhv3HJNXArTz02dQ8MWKQG8aF89kDa6PWNWsEDUb7DzMuIlNM3V+/T2t5w7QujMSPcwqvtc
pqdzt9oCMEg3RYjna2kQq4VyG5udct1A9z+8PdTZD5KEezpKdK+2+qZoIWla4TFUQ1D6vULU55gC
j7s0b2e/6MUw8s9fBBaQVLVM9CuXAuaBt3jT3yuVl1zVynBJRODcvuMAyR4ckQw9rNORsJpfnK7T
yTa7/mk00CyIlXny6TP1e9uqiguxzLkPk+omUCL4BubwdLhl6VchMcPhmpvO527Imy9V1FsQRdN5
uXBun9d9EwXwruLVQrOWPHrblutzutUrgs7H1bHa/UIN9yeAm+rrODpXSmzNoYps0FVGckF5Umtu
cri/kMzm6DPdxPYak+DiZ+fyb+/eQwh0Y8PMlQ8C4FWndVqtIh9HO3TEUO5LLreP/ewYP989CueN
HQp+HDrD1vvcUnoMamLDDpNkrX1ZZ9jju6BfmOMz50FWD2HsIO/Kq79Zz6lpI6pJfItmF8jHjOp0
Gzdq+v7QQvb7eU2kWxENlNNd48xx7XbIbYXRmo0g0GZ1b7dO//6zLZ3L0IIGYkAQbJyOYi11k1dU
G0JVF/PRTbSM9kTSvDtjJVkgkLeITSnAbgXzUyBRaa81TihWExb55KJiZ/WXcvzX5wzpBTITHi0m
TN3WBL0ERI2WwTKpUNMO4HB7t7RB3X2R9Oq7H2GGchHwYBQyre0HmaIuCkWt7bCGqRuoXWrQQzXf
TfWQX4GAEG8kwjSvesVdrVv4tTCKUIH8JemA49IIt7Qa1ksFVblnT68NORQBhSS0cFI3u02ZlUnX
E/b0MrhfhlwJMTz7FTvDrVg4SWLpLpQVz60V+CMA3ji5w9vaXPZQcYcyz+XuVtQF7N007VOB5RvK
aen/5VDyNXjxrii9USbrzCwmparvZncaH91Gtz4URu8Eb98/rx8WNjd3rnQOeJYDPx1Ko5wvUI+3
wym1ED9ofxlx9xX92c5v6/LX22O9voXkWEAVoIpQNt2WTIWNmHUrq4Gp4jXIh67tfujW+MJdd2ad
ZJ2dKAOgGHq5m6dyGBCJ9MzZCau4h6LYpIq1G6e50gPRje6FU3VuMPlm0SAlDuBfTqdP1Qo362Lb
CeN4Lnws4uF6F+tPhAaNd197YPHY8KwT+/3VtTdNwmunRHfDhTL6Ti2QgWwBAF6YvDNLBBhdzpwU
nyPOPf2etnHmtklWN4Qc4u0WZ6GK2la/370PSDx5jMinYJ9sJe7IhKe00KkuaDjc+X3Vi+ui0pVL
nyIXenNBEMzSE6aNRV14G6tPul0pkyii0LGiddirdWT9LKcx+9RCl/g8Vaid+Y2+2PqV5wzZHdjV
IglyPA0TePJmifUlxpbZXp+M5Ga0DJzrK6za2VbrMgKNjrBCyqPG9XZoiw7U3KMxOtqgcVCwc6IV
r9sm7e7NDkNy9Mbs+iGNrPpPgZ2mCQ5DH4brzqmVn7MNsnFHA8ZGnAMgYH7VTvb4qULzOtrBAULw
EsPB8XpQXPdX12nC3SELWtn7JjKM3G/dSiw3sWK6YtcVwribGiUVfocZGeiIqgWehMxJpoBJ0pQL
m/+50P3GDG/RYfgkaEDv3SjM7NG+bSanxjKoi792rtEHtVtTyak8PcCKTf80GtF45a4Vxpj5isrC
2FX7AgHUXVQbpl8WlXqw87XeTYu9PqD1+1QaEQLiaprf21Pn3S1l9v7w3cJmheq6LBfzJG5udLN0
o8G0OiW0vKrYtU2dHXAOnI5omv98e8efuSYA+8jatIVuFhnJ6bEa3chYEpmbqubsBu6oKntK+Yh3
eEl8IXQ/c4KJJalyOsw9hLzNsxi5WW+qaamESizifeQW9RVz0F44XOc+CC4JHFI5fyR1px+EHuqq
1GWqQFTFYtkd6nynNfE3s1et4O2pO/c98rmlYAVa4XXxwBCiEIuthJSg3WCc0twCWzTNlyA1576I
egvAYmYNuthmM9CmSuq+SuKj41RVsIqu/NuBZ369rs509fYnvVKhkvUqegBU/Ci8ILS4GQtnmZVC
dauE2jjf8nx8ao3qaan1YieKJUN8AqEluyw/IT5zZY7KUzIvl8o/538DEG+6cxwAeGunK0jQ1LQa
KKbQKOzujxX1zTfomSuCJaByC0SRfS3qIkTrWieYXL19cIde22U8Qu/OsyRpnFozL5usN29yE0TV
rV5EWhQiYDIckdKMadLHl3xWzmwjmAG0GoChaAY0ttPPRb6mabAb4jHIXWunUfHcY4o5XTh8Z0CM
HHCaaWTq0ul0G5S266IUSVcrcAF07agXZv+UJegzppGJpjZohPGmHxXtIV1W736t1eFzvFb5x7f3
17lvJd0DlYlxDnn1ZkZNrbG11eNes6F1P8YCibNRb6oLPYIzB0aCekgowTTIsvXpjBp6OXmZnsdH
5HqmoPcq/VE2XG8TLcbF6d1fBFSBIjwKwg6gs83qlX0r1jVSlDBSOSAIt4yfmz5vjQvDPMfwmwcN
+QysJ0nIwEUYm0OROX2+4HPJ8o3rbYXFiwIu2M/K5MM6Wjd4vFzjiILwofgwT+ndYsQ3nbvMfjfE
94WNnBLYjR4U8KyJQynEv/qiOSA6uke5/TqNlWq3SP8ACY9JDfPCpSIX9dVPf2Yq4K1L93Oz6NrS
5XOhmvERWOTXAVCGT5kSqjQBhDD478p+P3uRAyt7x5SJKE5u4ysBG8OO1zY+GlbS+6bQlhveufFC
In7uomIArkneM0jK2wfNa1JMYeYyPqpugUmAyK6SooDwAfrOsu/saJx8FuVH25W7JbM/ToPz/guK
2J5KokZei7nr5rYuathpabLER0he2q8UNBQiWC3gqPfvcdn+keqdSJBsicoUYJukXlnAZHbNIMP0
wK/gLF54uM/cDdSBQJPhwwtObos8RjgWwTcMPo7FZMYUNqoRAIiOLljw9tecuQmpAfCPhvwD22Or
yY2RFtRgvA+OhSYcdJe8vnzQEY5Bgx8lHPCiK2gWP9YHJ/tYTF7yifRKFPu4n+s/b/+U1xcVYE00
E6R3CmBZbxMRgdksDFet8iOqvTcuZkNXyFEgZTfln94e6AzES/K/2SvcibRvtqatWV70qgu+6Zh3
CWpmkS2+tzCnr1IgsoTqpTIGFQLf+6RZ+l0rCACZigUt3UVLPqhFFl3iw51bBRJTyYcDfEaxZHNx
roDxLNwry2PNsj80dRPfU0ypb3MEHoHGVMsNvsX9Aypt1n2pamMIE6J6d1mQLYAtMq8h5+cVWtLJ
XNwn+zLlbdeGb5HdqDe5Vhb/ltdC5TX+XX3856p7KWn+epnJWEkpGYdzSgh8+h55qaf1Y2qXRwHD
Zz+to31FD2C+wi7uUi5+Ziiq1RIaTvsbjvjmRsjKNqdDrvMcxYviG1ad7iutGAA46Rd75M99q5OL
nb6zjOXRgsB79pVytZPWNOfsuT460djVwQw7MNo3GeHYse862wlSZAGexOQUdOrrtpn9tp1QYVsJ
d8KOEgHC/k3tPK44vHmPEFOwHBexAXseTo9efbBh088+0jN6Higzzr9XdtUPOm4OS/KnGaltaPUc
/zDtOqsxN5yHT64VxZNvNl36ReTaKHxl5dj6XtIt68cW3xZYkHFX3QyGWB8jqze4Z0xn/NKDY+2D
kZmCXMpPwn4HvSrNz8x1+ONp5fo3qa+GS49HTOpHKy4X1xif8L/r68q+B/JWxb5aaVazLyetu84R
EkUoMUrLvZu2SNrhvzh9QVvO+pcSpTpk3kUTJPM5CbOfNKn5O091TT90CNx/6YuufmIC56OoHWhh
5RyXtxOlF2NfN6ORhBRj5/FRK6Mo3lflpDS7xksbw08ihAj8NquV1R+NDv5BtLT1k1NlMDgQnlxR
WRUL8jM+RDhcftKOeYsH9AMXHio60zfuOs96YCv5+H3J+6kIqnK2ij3pNF3ewVsx0116YStHE0Nj
ZD7TNAn513wJpgEBiBKvFFVllLjPrhuEQr9P5trgw+IAIPTXocvtnankk/c06J0yw0jNvMcGNVPC
mV6lGGuMovvULY5KmXR2piPPkWX6eGzYzW5BTXD6hVdKVdx1uoapIxbQTk3V2MWwRROa9hvFkOJx
1GwgsllcdSPhThx90zplWql5NNgPtUhO1YemzEV1SNMh/hXlHom/meFF49N41rJdVHXlFx7VpvWN
DMuB67lQLDQc9XUpgRPn03DE66/MrxSQa0oweb21oJoZw/t28AgbAnsxKtT/vNF0AO32ZrNfCB+Q
ydWTyd6tdpFZvpnTuwkKXdQwMhZltnZOUs6IDzml0NmCVFZBvaIJuY+koaqfeq3LIqFLs+7XZeZv
i+Je95BBUNr6KlPWZd8PJPO7fnbXOlhSvUn9wRI8ah5gy9qvCMDuRQn7lVoRsm8BGPLkbjbB8fne
4BT3uc50HCx7LuIdNp4pUrRNwpcNU4/5iLkm1WenMqMRLVYj/TPFmDf581wXGJMokXdfKtacIp+J
xYJvZ0X7NyhFD18NJTGweyb8Gz66dYFNEoD86YOuTbqH1qSW2b6yYGQaWENfzR/6VrO/PD997xLq
/n9NghvcCFE+PQpAKlLMHIz9i/f+lWrh7jdpxvfijGbhub/nPzULXbQJgfXgbqDJbOPfutyG+RdJ
L1RmQjBT/tF/SRYq+l+21HCXfUd+GEHvf0sWWn+BkEPLBrwLHr9ENMZ7JAtfVf5hLFOOZ39oCCfC
eDt9L7Gj5QUzhHlclmr5k7X2/EONBYa5Q2x/UKzR0S5kV68GlNko7RqgOhq/fyt1naLaNqWVYxEd
2fPnJFW13VwhF4jMgdg7k1G8r2LOqmhgyygpgI0Ffr7NiAY1aut8QDWpRzDm0Vit+l9jbVyqhG0C
6udRPFXij3ikEUzfhB2dp46LKxTvaMbp9IjysH1YU7t/n77Qv0ehgkFtgc7aVjCpaz2wTsLlW2at
CsY6iQNvvQg5lkv+ItSQo7jAteFRyR6Nu21Gl/rSeksze8cqIUnep6udX3nCM6ZAr9GNfXF6zsRr
28TueTSKFBpCkgyGsNHpBrRNRZs6I/KOrYlvqp8lC1XRLB7ueCD0H6vO0/BcEuI+xsVOybENwmri
P7g7057ItWxN/5Wj+m7keZD6XqltRwQBQTJlksAXi2TwPM/+9f2Y4RQEnKROx1Ff1CFVVhUE3vb2
3muv4V3vO3poHw/F5e9vZmttzvdCMgOQEhTxZBi20eOc5fjCdeMdamqp2zo4JTvXggVEWJfBmH0W
HH00Gj0DdHeRZJij9bdPPnRCi/ba5B3iX8rXQ0HpyIrh5KG5RkZzxdfUxd99PJKMRJbAvchOvUsK
i20rWkJZBBuw3aVbwusLv082IhQowDC2CmNJ+qQ28H5bgDeYQQ3sDP7dntCQPs2mb7x8E/addu/F
gXBSab5//vvnej/KvOWo9M0pPdpLsKOvC6U0UyAFnkzlJvUU+btVeOXPfpTLv5cAYHHMo8xdwVhq
nYD27Sgwm/S6X4jlBlqWHHYtI3QLtEOc3z/LVgKHUQjQKCTCpkErLab/7SgljCpZrzftxsom4zgW
w3LRgRc9UKK2d2K9R/O3kKRPFobJRd/ueMByc48XsRNbYDuSabXEUMittRs5NadzRY9UqHKUECps
BcB8MsQozgXJmt7Wz6QP3tuatyPPe+RVjTtRKw3G/KHdBEadLmFOiFzEolLQzFnj/n5mt3HG89SS
VUEEA6iNSHfA1lhTO2iZOMrthqpTsI6DBolBPcnd1ox9p/fgAujqyYYiwliVtdBJthfU/R1cPaUL
6Z+8P6GWem8YUbZUVCFYJHCYf/IePpgNktNQOXEmi6zorRwFb6CYqqHtN5LZa+tiEoRjIzQzmBCz
9JNw/IN1RtUL7ASODwt6GycZFkKpNGowbLo6SlaEuDogVpJo0lAltkbn0KIrA+WTLfThoDPSFAQK
nKPbPLTkTPpEEKZhAylHRpIhg1a9ULtNiFjniTGl1a/IjITV33/vc3ZS5pCZCR/EefW/WmO1jugf
SpndJhXzcR/tTmQ1B+xggqaiNn6Pykyj/Nzf5y2ufipSxJr8bHQSX4fbvwgFtyaaWElp18lz+2N/
0mkkMj5ZnR+8epM2aqgV6NmE1m/r1Wt5SFjf+P2m07x2ORhj6JbdrGPW+sMnRnk7QTVvBFNWaVGQ
8CEwMlsT0llBEEFU0m+Cwa8zO6bR8gGWNCuypTiDAV+JBu8m4ykn2wioUNlQBUgXSaOi8TN1pWg5
XhX5n5X4PpoBTCyVN8iD6Z3YmoGihX9XM1j8QtqLtqF1ltP0AkXztPpsRcz5ri17Z7LoaWuh4st/
b02AXvVAoNpw2MAmZo6OX6Xhum2GdhGBNrzMimi4VBpyabYJaTy9c41Z2h1VJSRqS/UTjPxjb9X7
m2Fh0lBOgnS7TiN6KsX7jp0odzVtfLFltYsCspEjTU61DTYgg1EsGxQ7pFfqkkLCOhDN75Pms1Gt
lq5AS05VVmsuPxSyoK9KERVQQvAU+vtPdtJ8kG7fKjBxYBv8O3O0vN1J7Rj5uhaLwwbEXKNDU5YW
KBIUbYcyWMLjwecLfaFdKpFxNRXYW1sVkh6R3FRuUQAeuDO3nfr2E7PygQ+p40ZBvIn7PVMJbt1X
qBm51QnNsGnTvHIQso18t/BMw0310ltL0aQ7phW3DkwvDyIK41e4XfWiK7Txs0Tde58Oz3yW4AL6
iJHbXsRZY1almGDhwrZYq10yfJON0HNSPOf9svgMnvjhTgaXO0N0ODWAKb59IWlRQ9AaReOmgnts
bciJft7pkO0PihrBkDWaC0UoZDpi/G+miICOl+b1ppC96lAQ0/bH75fHowbh1vKwCBtokyGaxZHe
uhsvjAIPNoxxQ0AL714ca2RgSKUMcOGdCF4BNVwxkLMRkKSRxCI4j3MkrAuka51mGurFkMnIBquJ
ehzxfo6rUrEWFiIdt7Kakhm3DG9BNW5YGECdXS8ZTRoJ4/zIlxJhA5u0cm7KyT0tsvXKT9p+IVf6
TZaTiFOy4jOPaV5R24/K6yXYoyRFAWzLgphCX8vjWI8b+PaTJUrWtd2gffOJoZpdynejcHmgwQAf
yGu/fb1K0UkFfQXjZsyz4BvtxBXpNF9yB8SJF20fk4jKtfIMTZXqV2KE7c/fv9CPPCaIDWjXhFKB
Wsa2+w4OabQKzsLN6LfDaupNfyGLgUC9wtQWVe615xD4xt99zLpjaknrmKjT2EESUpUbBESJ4J2x
R59Wviiuh4VZ1Z37yS3OQdL2FGGN5rYpeKnYfG+nqII6tOm6cdz0glU4WlvFyJD3wzGdu2dzm7BL
0jhbGLlnuSpcBk5CkPm9ZM0ddIZi2UFmfFYQJaT66J5mCkAKSszedg8gjAq52GrCuDGmbLxv8RmW
MYybbubL8q8ChtBV72UqWdb6gqbLqrBRBGotuKWkYjokfR4egwcP1HXVTF1lB0Nk+AuAQ8icK9Vk
ZO6kIm9rNF3h+kDRTuh/8JKFp5YSXxZK9YIAoflOQpFjYMJephslueyq0r9IFb9D1D2AusSGJTQp
HR0pckgg6SZMHNraygjpH/RuHE0Y8mw/UOXyV916fbffhZkVw2rjte1iEAeUlUKoZmhfF5vsJGnA
sFEg79vrtJ7EyMU3FmPCB5atU6Edo9hplCE5lpVEvC71GfOhUCaUuGO9xB9vQcotlComN96mQX5g
wbx7RSGpjuw0972bKM/EIy2WpQniEDE8R50lqhd5p8QHhsWkLixFidYGWZcY3zXQFRtqE/E6NMNk
E9VaEC7jRDdOh9KrVFszivS+q/riR8iG6lCy0ZpvlZH4J7VZlrcS0mqXLSxU+YIsdhLbAMQ4vOKp
U6+jSRlyO5dgNXdSaGxu9EEm0R1OXns9wZs/OJoWFdcTglDfIoQYu6Ms8IbKTpH4ua+MboKbArma
m3IUetR0hCH6KeR9Qf9YFMoQk4paCM15BBEPotZ9cCaDgLnVkzH9WRQTiZCqN4yrREyommmRCJYV
1ZsYTgtfQImI7jBBc00qQ3CZ+lmjUdatkugoVeWqcui1R8o+a7t6HaW9Ujq91mJnSZj5NhFhltht
2CWXWjOooqtko3AmBD0YGUjWl6bn60ckMWJ4SPNinOzKM4PRRgQuOq8iNfTtQp/FmrpC0M8R0CyR
B9KsYHSVUVJAEBcUsY1uyJUl6cCO5T6q3oaE2VjZ7J/qDKUipXP9aRLOmzrKYTc1tOAq0nNmsVDF
jdzk/JWh+krkhHHXmGs5bYvbEZsZOnVptGdSQHexTWlKhm7PLBga6Ht7n4LR7Ny2SsJ6kY2DKS4V
L+4fprHNy32dvFbronOQBHZRpOTtkyApE1cuk3JAiK/N7nWoZDM7wt0n6YSbEztlM8m6rWSl4lPN
8s1Dr/TZqL5cRAstUFOKQXLS+rOieF3alFsNcxmTnPCpCanFL6mP83jR9K151Qx5etF4o9SvSEfN
heFCL3JHj6T8yJJzn2hUK62zIivF2OkCvboibLVOhNqDghP5p/LO4Ae+2/hKeWfGTXJED6SPBUCu
VQGHQVnMtsxI8Z1oVJPDsK+gT1FiHpo+hiJcm9xzs5gaxftVpF0xnupWp1zGbapXtty0/XVPTDUi
uaepK7lP82s1ivTiKE/kiibdOhRzyoBtYKDo1SijXVSJ3DlobNUDhZvKjxAzS4PzkSb10ZYjYN7U
q+LiCNaEyq6lVlx4chMdd4IgA3sdqUYOeVA3wM3KuHPUQA8vU1pTCzc0e+/OmgrvQawgY3PiRoa2
WEAvQHL1QMkQHx0FKT/QrVISob8Y4wvILvzOYXWMoa0NPeDXoTL1AG8+rFK4qMLuTmoHknvwBWea
a1n+hLhhp7Ut+gE5OvYg0819VJBlDKHZjAc5yIS1RB+m6rR9Cduc2YjxhZAG1NKoUR0IxliqtuEl
ZXTZl9AvjsCxJlut6wA6MNNq636dcvD46zxQy3It6gF6dG00yP43DYXAeNEHqirgxUEC7Ai0lndo
Zo/DbZMI/ugIXZyXDsiQwrezOMnLJYWopraH3iovi1IovhtN6ffEqZOablSjEHG8J8//VdZ1QhWI
OtphPIWytRKCsvpZxyNNBG1gaudhkzTt2silXnOHxJS/sdqqfKFbTQTvoTA0PxA5YKLMwVfO1bGC
RbsPpUuIjwnRvHaAQtv06IW0DT22rjAbbWTL3Whl9hDjPODyQ3jsWKma00mQZdVZZ9X5NWXuNnFB
sFtr3wrCDEK/vC4WKdV6UCie3P0qPISagUfRRkLpr2gvNJX2GBre9WjtTX0TLgIs4h3FBKNAJ3Pq
OPXFHpWPJNPSW8RhoA6k0YlaYTNphj0xDxFk1UDa5x4U+FYqhR/LTQr4ZcxK/vcnbslH/qEC+cTM
zgAOYdsVFsopUSIctI1ptOJmNEHbOG1diuIKIUFM7uiHieiEY5wf58h8jg6hQvBDAKmcreNeCjVX
y+OqtiefHWnLQWOd/P4OPwhU8FCohXKLdCxsh0yWkHjgS4kcfEg5qHYi28FBEBgUnQFzHQ3IS/9N
aoQ57YBHBP8gtnju19nKdytehiekNeNmAhl+KAyJfja1gOh+/2AfxUQMMwuYQ9BGhmsrj9CEPFuG
yOFmKqoeoEFeBwdpQDu1kxahCcER5g6eM6OUT7OyUB/0MtAfBKPN/WUVCqAJu1aWPuOl+fCuVKhV
YJ8AF0qTzVs/tcks3zQgoNi0QeqdUo/zVzgQw0kYyW6On3ocwJ28SNKpCW0h9Zv9vsi/m4rvuYmi
Vr8e5+j/9zotuRqWD6lI2jAhHWRJ/0mT+q5OC5IySG6yuw8Lte8v9FyoVcW9ueRKMZQOLyDtDPFS
qzX2GJv0HFlZmgTm2PdZXk5Q9kCK8sZmYM5ch5jf/Yu+nLZHSg940NzBD+B//rv//l9vwEz11v9/
DW4iCfwuJOS2ZrwleVuAsOgavF1HY96ERlCm0dGk1RMgAF2eVp2YtLOwKVmqsUVAoZ3odIY69Qqy
6dMElIcXNS6g3KUo5NJxZvobQN3aPsLK8pp4wY4G8Uefaed1E541jXLJRb8XkFG46SgfW3l1p/te
hmNh+CtfiRUnUG6rzORvLTi3i96/66NuUUjxavBUp/a7+zo6lZvmSPVSy/UC+bopvR9JWyKd2t00
RleeiqG/JB9Alk+5LAK9PipE/SIozXxpVTBBxzC2OQJkbll/23fGT8R6Q0AqNc+nRPvF0BerLE+h
2wcnqTdjvKQOc1bE91mBVHBRB+DXR9jxO6I/v9qvvaNM6uzBHA98MLoUEf2juD6Ykh60EjAOQSqb
Q8pL1pnfjA4pv2XQEYgkwz4UDEt5yuulSUurLZLR4vwVa4cVdBQNwUE9RYqdtVoBsNZckvb6mabC
ClX0K/DsrS3K3dnkdQRJxa8OJbkgOi08Lz0y8ylwLMH/1fflVQTek1x7e5qESDlRvOqcgayVG3kx
NAwh5G8ycgtSN3iOr2TRvjVaeDVERmYoDmu/qtTF0KXuaPQ/BpRENlNTH+W6eFBWZkeVKq32fbVf
VFPpQoRw1ao9Cc3SOmhi7yIoZGPZtkAPu6k6DorqVm8oOtJJdVmQU6MEWV7BmXZS580qzuWjsgRu
K42Ses5au9E6qF1rqblJJHL5gmiP8mgeTrkyrXpQ7tKorxSrPh3UCXBM9stAH5dA0zDOcPc84nCW
iyyE8iJtNe8w1jpkInxkhO3GTwuOPCSKT3SpzY+yMBDPaau5UbqxO2TFVGsEguJvg2xIuU30nzux
2DW5I4JjiBwBDFjtDl2vfxNCgRwofGj9csbLHRmNBTU/Gj31QmVsQFyEsNcDPWi2kYrNAxCwcL/T
MoYvFWl0NCNp74bSTM4ScLluAJv9PCmht849T1urQYrur5zT9KTSrI1+BiGKPYlTdC7nFouOcHJt
KmF0DOuuDDa6byMSYmk62CN6tu6g6tmJAB3hfZiE+Y0wTt3ppBS92/d5vfDDIj1uEq8DPaShAOEn
kXWcKEZwxA1qcEAmlTNlclHaOGPjSumzgU4R2tnIVCfRxlNCVXRytglQfFQbJk+rL5OpVZdAm82r
Kkc0Gw+uFw87+OBuUO3oCQy6iKa2GNKx9Zh5yX6ilr0raKSn7Qb+68zuowxphxgPL7bjIUqPwFdO
56GAIFmYT+VZNgXkWzWJTrOeN+qWcZS6opHXbtX4hhMGaoWO1XiqAJ5cp2CxHgQVEK6fq6VbSfGh
MeinTTNJdq2iLttNrXgm1MIdrkO1aIwBqiMhvyNDnix0WkZPmLFrT0jiw0oyGwReu+O41x4SItel
GIbNoQr75EnW9hdgrxQ7Ljx93Q8CwZ3YNqdFKwRn6CbIDkuK/riBKEYQlJxWv6zbN+RIWolpgtsm
R8KRitrAYqgtHDV/dNWRJMhMfm0WFu+xNZqNmYwxcWHqNnH/LVakTTxIF23TyDYtCtRyEPw9REMh
QiCYiq6XXaWNuJ9NQncmapm2xH4oNqDgYjG1xkPRSobdWm3mZqOiLbwask0DIs2hqdwkTtJF4Ylo
bxri/hAVmJeYPDbltu9Br5wkepvvd4J/GEEUsSYiz8jdJEdlqk8E3oX6kxQ9UuetOBwXmXfUesba
TKWzyYJeJO9icSlICgZPzZXDWjI3kjzmTiBw40qZZQuf5X0sB6i4AWETVqFnXPtkkBCjjsyHcUru
8B6rTa4kx0Ll33SiHyJIXQJPnarQznWtdAKj9297IVsr3uSvFKFLF7DTunTCUHJErkPpSNYLVbYc
LT09HklmGGM7IWrS3+WpsUjC4lCqi3Ld6IN/pg4irVrjmC2qTgjnEHplxM1h7heNq4nDD38qjnXa
EuimR8499xO7JGVyLrPKE/CiRWdsOmWsFwZCOSSncm/fh9wnqS3fTogHL4S68Pfp0kLBIBNUd9KH
yYbLkY5EgwbPrB3SkXaDAJoDr4TUOPDPyzCpL3wfpCl+JRfpHb+xbFE/7WVUYjSLwrrmFPKPob4N
snVedDQ3dk44zYejTOJvyM6LMTwLRGs/HRMSpzSfXmhZ9d1T4p9jZ5KOyLXUNoRqgVsPvXyvrZrm
UCKmFYkXRn4oLUoygk4hASC0EqNu7TDJjz2hhAHSVDnJBfPCYiUDanWrglOg1cA/+hsh7B6yXvT2
CWmiC1jy5eUYWu4AMakfdHdCnB2PSnlg1EiAeBCyR/kKvpoVtXDFYTkRgxUK9R3lRg2bpSeZPybI
sdPkBOxPv/br+NwSLFf3ymKdDWJrT0njIC9VHAm5mAP8ZP1E2gojb3uaIB6qbXIMwXe83/ctxJr+
pDgiBNwChdEBHHMcKNZy8O5junWRgk8XXQhyOS3T7ADaEtONR988aJL1WAYgk31VuCSvBzFmJgE0
yiJ+ZAnkauKLQs/987YzK0efLkiEaE4SW7/m51lkuerGaXql5wE9wrnPESm0h6kYLKAUKknK0IlI
IVhrzlpdCUl/TYjZJ9mm1KrVBJoZG1hK+0GUHoAR1Vc8Q7lpTcSmAT2EqwrmaAXKPneMjG+epN/r
jXFtzXBT0fMv+oLEnp4Mql2NJ74MPWcIXgEkkrHMROOk8sSjLi3P80L4kU6FhFC44p1CEx3/GMVE
sSlqkwWEikYzfIlEIOYxClNx0XVtsqC1/CcYIcGpC1h7wxG/qqPtcBH3wzX8LudKOH3rSRraba8v
lX4SD3xPYFfm1X6S9Oda2N2TEjTX06DeapGEbnqB1FAjhbbp61eNBpI1msRLDfxr14kyYSWg48Ia
ePtpPLlq5uUPYabUJ1o2SNdgARtXMEhrrZJYKWw4DhblYDSuXsrx/pBJJ7I6NasQJNZpnU/tEnKd
6YQypLgs0KfPC8XJtBa4VqoA7J1qu+xG/5ecC5QCvDCl9ar5maRIwBchIpIGzPQgvCqnrOKI1xWZ
pcN6L87HsZf2eylbCDr117oAfwwv6rrVqtD1smFcZFNVnGsW/laphg8tXuS31vd4c/GxppYrUtQa
WVk/WmrVrVKXEuhb/zCu4k0WeTi76pXfNGhN4XOIbD2S+Woo1heDp/NsYabfjmVKwp4krncESsK8
a80GvLBGX/wqmahJLypl1Fa9El5AIasXpLiz0knbVnFLVDnP2onUfsk2Oq0MCAGKYpT20XVcppp6
0ujdchr95nCUUD2ZhATjKn8fikBbNH6pOPhp0eFYpGQXe7uRxk3S5/tq468KFHDXQBqXQ6Y5MLv/
GJLmWCmb07jlXs1RW6d++pOsxc+xzjbNSLq8H8dVo1NUNzVg+vq0mQJrXeVpYOt1t08ayuklNG4S
qXYlqXSKzDqTchJbKBcEzlSmJ0EjWesOXl3bN7poWXvBidRkwZ0vpzoMnpSQEq1QWUpkp5NqOlD8
YDilE4N2d0OYUOTMascYAu3c0MeJTv6ycDUpkzhPR9VuJQhWDOleG0ndyYNuZ9QoLupMjh0aX9wh
VimhsGggxY4cOBwu5dA67rtatLVO7VZhEBUHQUeFg/6TwvEUQVpNHeYuLfBFh2A4BI/tn/jhYC2q
NGoBaxm//C7W6IiH6FSuxPOCE63Qxf0RpEPpX4+wH0MfsWb/Hau9oh+rRgocHYWhqb62dMFNByRM
FdodfgnFqUzmeT+WpyOdakBqDY7ajLY+mGDOK+uY1R6iy9T/LOruJJCNu07Tf5VWd+7HNcxX8VoI
6lOjGdZDLEgPZdP0TI+X2sBjixWZ+dadyNsvqNEoZ8FYtbY2GstGkE9k2bOtNLkuAHA6UyXX+1Qi
UjsM2H6B+J3mGPpfQkKSSY5Odb2WDr2MPu0jUYhI3BMJcKlZr2kpdoSbQixKdgyWf7DVStkIYI4d
o4un/WzI7mQjCs6DWJfxepIbIZIvInN6MOBL4HlT47RKevRXvKpfZnG1MutYcvOaSKcc/dtUoIpk
SCSVzVUiZvJ+0LU/6X+nNio8oBpONrfppnUWqadahEtNLj+09UL9RsHxinYGDoowD/frzDoYcoyi
GXGCylKUnZnQOGOYkmahlWbvamb2K4pC8xDPK3etqbMWHRlQO80o9SnkqoFxGD3C6IVgLrVyjB1d
4TyhcaE9kC0xvyiy5But4Ysqmxaa3p7JeX0TwbvdlOl3KUvpO8jjm1aVl1JKF6ryELfxWdWbV608
KgeWEB9ZqSCTqDIuIlScF1YrN24dWAF1u1oRzz1TVaWfEbz0tsKf1A9qEutnauB1a5p1zWEhtL0Z
2zWtArXdxaXQUNIhlLjT+5LWjKwRHCMsj0o/2VdKPPPJWuq15+a9tByDzh0bLE8+mUTgOVIX2YSn
LzRm5qhRlyy0OLfbSKEYQFmJQkSI6iDR89wh+FAQOixVoV+0CNqGSmsrlrCJu3vqu9yIrpYFOXmt
+jYhJRGU3XUvqEd099w1hbIKZQ8pyla8bXJkoypTJDoyT+GSWDTFsFSMbDUbGc/QFuZYPSQ50X6v
napRQiZfla6zNtr3zIEIwqSTSAjs0RQvh04sHX9QzzIh9S6oLap270foWkBOnclnzZwISC3oXCic
GAd6vc82VtYgYLjPfjDtQan3e8KVqVFPJkXFP/L79ej1y9JvKUIavZPlZuC0tDVt0LqM13FTXZtd
e+wVZnbcJXXnGH2zQek5xJ6Pa79IvisylG5DoCy9vP9BzNLh11aDSXk2XTXlj6qLSXnrRuJknVif
jpN+WSbEg+DE3Lb2TFfIswLyfNMCppi1bpTMJ7CWUI0qWnE5qWqPyEMYLeC9Shykf4XzwDBWbRCv
5Bzq4lq+Lts5aDPxw66oVyyhGi7sqlWjZSv3nmPEWYeCn17/zDj64Ec76cpBcjy9rQ4jOY0XmdVX
PychWpTySpJ5r2H2hfKXz0nUOaG4yJqwGU/b+2o8u6/bpPkzVzf/9iQPs+Y7SN//my+9JP0+vtAf
NJkw8vexuP+vf93cpWEGeXNThbfNv55/tb77r3/BsEU2ckZuvkmDPt7X403/7jLJDSO0d1xf3JsZ
uSnjzd0mT59//YFsDsxmj79nmD0YhjXUCsjYM9SrGfqrOfj94z1N5u+/8+beb9ESbOaX4Id59mYK
ZijYf/L0W1f499MLZHyBG86i9ADiHz/Ucl4/vqTuSeAERRgBXmbnf2QSfrcOoNubW6v/k5nYusy/
Z0LdQ4AQpA8EzE8f4808WMYebGcwIZJWePz8Ty2GrQd42irzflDp2CBdvtMk0HilQpsDPYj19JSz
JMbr1aCYe7DDME9zu8aXWwezPeC17TYF5h4IPok3/bze50Ld6ymQ5g60WRd0lpD+YlOgS8ByH9HT
u82BvEff3czV9LwXZoaE13OgKKwT2gYB/X5Ro/A0E3P9aKeZEPdA1c7M/GBrnz5b5lE29qhmzsxM
T6b4//3p8JcGYZZjeCQk2WkGBH0P7te5MexlLWBpX68F0diD1wDro365GXh2EYDa7zoFkkELF81j
z4tgyySIzBE244mXgKG+0CKQnk3Crm4SJwNpFHoCdWbzzevX9yB5gpVmpgzj8xUXAf0UswLvbosA
N9CiWeRxo7+eAEnZI2hFC+fZBfmCL//pnTzV3f90uf+Gj4wNAOYNnFdGWvDx89Y5AgCwJyH5O6tE
f7kz8SlMeHJXdpgCZQ8EDyJhLyfe9pEoymAdaKWHlvRpir7aROAjwy638zwYzIMJ68TMnfxmG4g4
0BDpIbP6NZ//2RLOEuY7GQJxb9bxksgPPD/o7HK+ngkZJ1rDINLW/TUt4uwYgELbcR4EaY93jdQk
7s/Thyu+ngdR2YPswIBT4gmq9IUM45NrtLNfgOcD/RGNec8TMNP/vZ4BiZVAMEVu72nbfbkZ2MaQ
/d3kiWDA7DHTF2P1PlwDkrgHvwe8w18wWIL2A2d+J1tA+oRmZaz+S9IAk7C1BKQ9JLSB1M2Qua/l
GhqEihxZu06BvGfNYuXQbD5/tjeBtjf3ciN68kUPRqKE2UH8B84FUJMYg5fUydz49MYa6HvsFMvi
lPxyS4GKCChtCSFH1OPptRN3tY0K6TLiAjb++0kQafaFjebLTQK4WIClu+4H8LDAZym0vQTMW/Gy
bO3NhNsGnDxfbQZeXKSd5wCzCLkzNJAvLtK2WRRn7ic4HjT9y00CZpGWAGDzu50M6pxCg8AEDPPT
h0l9bQ1EjR2CTw6K+dFufrnj4cks7j4R5t7coM0J8bIYttxEydiDCYvkCcwP8+erTsTTfe0QQZp7
zAHY/a2FIJNjBMmOq/xFc6m0keAo7OwnEA3MAk+PXCuvN4Jk7c08/bOL9NXs4eOTzwotO5kC3i+W
gEDpT2O4vQJUfETo4JiCrzYDz77RrlMwx4oze5Q585u9fvksfjqtoWGZKf6+lnv8+OgkM3Z8+/TH
UEaZnYG/CJFkac+gl2UmLP+SUwB12a5TQI19Jggme/xo4flnaxmI7BFIfRWoQx6/8eVmYrYEKEPu
OBEylUO8YolWqafPW9fQsvaoqc2Cms+x1BedhicrtcNJSMiIoDJMOs+19O0qM94hniFE3U8T/h+l
Tf6DL/2JX3GCMLl7RK6E9/VHAJe/+sILaOP9718DU0BlvPniDGR5GvvfwJb/flO2e6wYvfrlSwXp
cZznP39+wPdDvxnr5alefrgf3lc31W0AQHfG1Dzf5rebFOjLz/u6+ePwJgnTm6y5eYsseUqO/PuW
3gFx/jwSfzfCyQ1sO68RK88ghV2ve17c34bQ0D5BYv7IH/64yv3xJr6pmjfD/Znz3nXAb3nVBH+c
t+kN9LevH+hPw7DrCOd5+7sR2HO7jvDyDMkNTZ3hy/Vm6Miffs6uQ7w8xF8MMTuRuw5xdJO0cfty
nae7f47bd7305iYt2szfuvZTMLjrtZ9m5uPN9mcibtdBFjds6IObbmuFzjAA3Ktdr/7C/fzxADgJ
uw7waI8+vjpe2K5XP7hJf22t+ucyyK5X/t+398HL/T0jE58Rabte+XHVzM3ZmJ73e+rfHuqu4zzO
/AfW7dn9/wfe7cvi+XgHPI9DLmjXJ3ncAr8dBJ9r10FeHuYvXwqp7t1HeXwp39r65o/v9yhP3Lw9
eJ6mbE7P7Po0j1P22TjS7uOchTdv7DZP8Azg3fUJbOYnbpOPrv4PnJsvzsbtTRHSzv3K6Th473E8
P9Q/YG5tHLOXSX+2Ks/4xl2na34Rf6zpH8nu6jcjPIPm/oHt/mxQPrBZz2P8A1t9ldOmzQvJP3qG
f2CXP/lL7/2Nlyz5P7XF3znJL5itf2Bv23j29289+2dA2D+wobm4H98I9n0CVj7zf7Ok5urvrqv2
6XV8bNopNbyvX+064OPh288x0rs3RL0XEDTFrbnyK8JbPGse7zrey6nyfjSQR+80OnYd7e8yxPx1
S8Z/FAk++b8fPRp5L9DmOuwwrEz+89lEfhQH/wm5fB8dv3RbfPRnb0P/+Ru3yf1N9d//BwAA//8=
</cx:binary>
              </cx:geoCache>
            </cx:geography>
          </cx:layoutPr>
          <cx:valueColors>
            <cx:minColor>
              <a:schemeClr val="bg1">
                <a:lumMod val="85000"/>
              </a:schemeClr>
            </cx:minColor>
            <cx:midColor>
              <a:schemeClr val="accent5"/>
            </cx:midColor>
            <cx:maxColor>
              <a:schemeClr val="accent6"/>
            </cx:maxColor>
          </cx:valueColors>
          <cx:valueColorPositions count="3"/>
        </cx:series>
      </cx:plotAreaRegion>
    </cx:plotArea>
    <cx:legend pos="r"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7FBD806C-A380-4A1E-9333-F3060D788675}">
          <cx:tx>
            <cx:txData>
              <cx:f>_xlchart.v5.6</cx:f>
              <cx:v>Amt</cx:v>
            </cx:txData>
          </cx:tx>
          <cx:dataId val="0"/>
          <cx:layoutPr>
            <cx:geography cultureLanguage="en-US" cultureRegion="IN" attribution="Powered by Bing">
              <cx:geoCache provider="{E9337A44-BEBE-4D9F-B70C-5C5E7DAFC167}">
                <cx:binary>7H1pb9xGuu5fEfz5UinWyhpMDjDshZJly46XOM4XQpEV7vvOX38eSpbTze40o8RzcQVczyCZEU2+
9e576d+3/b9u47ub8qxP4rT6123/4wu/rvN//fBDdevfJTfVeRLcllmV/V6f32bJD9nvvwe3dz98
KW+6IPV+oMTkP9z6N2V917/4n3/ja95d9iq7vamDLP2puSuHd3dVE9fViWdHH53dfEmCdB1UdRnc
1uaPL/5ze+e/OLtL66AePgz53Y8v9v7Gi7Mf5t85gHkW41h18wXv8nMmLcEtS+qHP+rFWZyl3tfH
Wp0TKqjWRJH7P+wR9PVNgteXDnN/lJsvX8q7qgIm9/9+fGvv2PjhyjBfnN1mTVpPxPJAtx9fXKZf
svSuCm5enAVVtnp4uMqmk1+u71H9YZ/U//Pv2Q+A/OwnO9yYU2rp0QEz7Js4eKTIP2eGYZ1TqkyQ
m33lBsi9ww3TFOemxn8Up49QH/iwdI7jfHh4a8YH+z8GxdefHSNSL7o5s+9iSG7qPVLnO/CEnisi
KBRE7POCyHMmLCHw4F4zILwPSvnIkelAxuOBzi6r+Cb9Uj3+pWMH+zMm/cmH5nyzn6H+vG+Sm/qu
vDl7fwebdJOeIs/TDJtBz7VlWZSzr5aLgEG7ukT4uRKwfeZMld5nTe2f3R+shNn5c0N7nF2z12dM
mj19fkpW331PHslzzgWzCCVHvY8JHTOZEkJp65ET37Rr4STHuWPfpPfvzdhif3iONu/qLm/im+Ym
PQNa/9/6Qb+fmz7dgW1N3DzK9jGn8ESrx86VptQSiBK+/plZPXpOJWUWFV9V7hH2V736Cyf6E836
9uZct749eGbcWV9+PvucecNNhKj+pCd4Io8UeGSZTIv9WNs0CYJxpYhEAHj/Z5837/O72+AmPnuI
jc+y3//i6Y7z6/TXZjz8/OY52sf11eXZy+/OPbgkJTgRhD1kRGQWo8NnWQjilclmudIjxVc3eVDv
8fEvHPI0E098csbJl1fPkZNOVmYpaJY9asQ/t5TkXJmWNBVTX5VNz7SR0nMuEN5rqo/F93/pSMe5
tvPqjDvOG2OSmmdmKL8F8R/rm9Mh89MMJUWyS5kwrUdfhiBwJ4LX+pxZJjWVlg+aiABgNwO7zsp/
EsjPXp9x6v3HZ5htvbxJfvue5QrzHK5KohxBv5pCcGCHQSZh55IoZREu91mzeJDjivP1tRkrvv70
mSnNy5sO5QroS/1Imn9u0wy4HguRH3lUmClt2mOIOpeccEX5TFc+3VU1fGV7Msw5zpSdV+eMsZ+j
r7lnzAcErTffscxqqHNGGMiOuPubsdrlDGI/Qjg/rOytYNJKRAt/jzn7b8/58yyz3gf+BElTfkfF
gV5opdijJyEERaE99iAY0CY3pZ4FdZubv604O6/OGXP5HBXnCrXwBPWV+3rE97VrBGUgiqz1sUmB
kG3GH/OcaGlpxo4Ztj9OdkpkTpi33Q/MeHX1HMuuf+Dz3ym8ogAhra9R2aEuifOpJqtMfrQE8f6+
/vrHCZ/OssMvzHn2/jmG2X+Q5Oy7uycT5k0Li82L5CY7R/rDqDUvwD46lj8O9XQ+HfvGnFPP0kX9
QZSzD9/XUSFrtSwOP/WQkyKUmFUfTHmOKENr1JEeGfJQ2bv3Nn8c7PHhsaDzuCE8+MCcVZfPXKm+
c/bK0DlHgxAR3cxVgUOET55qxqGHhPOfsOjwC3MefXyOPLpuqpt7k+chXfruOZMFldKTwxJfC0Gz
JNZU5yZHocgUD43EYwHG3gmfrlr3KdTsGzPOXdvPkXN/dKjeBTffs82BgFBwZfFHnh0EhOjuCoug
dyhnWjYd5O834/ffnvHo6t0zrAm9ukny5rsOTPBzTEUIwsnjEAuKP7u5FBGwjIpqpY8q1F840HEH
9e3FGVte/ecZsuX1TdxE31Nj2LlpWhZT5mNtaFYaovqcUxTrJJspzPJJjrPj8b0ZN17/x+DwiM+s
Wvd9zRc5F2jCcsH/yGdnKoJ4XMDhoFP76E0eorilcxxnxcNbM0Y8/PCZ8eFBqM6+c6hGziUyH2qK
x5YemcVsVJ1rFLnpfX502GN4FPWnzgo9xGuPb8/48/rjc1SUvSjme2c/mI9EmCaVNfMoFAzU+Clq
Cg8x3L7S3Gcuewd7fP7E7Gf2jRnDrj88xxDt7U3enKz6P61nh7E7rqZSqXrMUGfhNLPOicUxcmzO
TNviQY7btq+vzXjx9ll6mXtcvnuCQ6d4jAmBCs/XP/vOhjGwDJ3UbzNDj9rx4HLuk5O/yZzdd+cc
sp+jeXuPgbsO8+j/hbIpeqWcS1iweetBn2uOWQVUDPYZ81DmfDzR47O/btLm788Y9P76OZqzR3L8
F0IEJDXodT/qkJ77II4OBJZAwKdHVjzoz+McwYPgPD7762yavz9n07O0dN/Y9F+oZKNHh5kDCTbs
Zp2IESxiWYKZmOPfDeEeq9CPR3p8+tc5dPiFOY+eZWTwSJBvpbdTlHlilMDO4Y6mVPRP2uHUPFcU
gz1y3s+7N1p3U9P18XinTnU8ZDj2jTnHnOdp/L5uU3zvuRIkrJhpnLZgvk4vzNsOBBE4Bh4Zlw9d
v2NF0r+9UnEfRXx7e8ap/Ye3/2+vj/358XZTx72/9cR9PoNg7YVgksH8xqpZLmtyVIJMhp2mr/W5
RwV6cFc7G3d/fqbjerXz6h4K/xfW+P58xe/b8uMa+0Wb+63JnS2/00/v0cQe5+zVvZ2gPUwfSXn5
5ccXIPIO76ZP7LmdHWI90PnbO5N1w+scIw0mgj4oncC+n4mJB0SeeKJRP8WsuClR/laEYaToxVk6
zTr++EKcY1GTTuuahElikqn3VE399B9fGCa+B8HAQ04Uer3o6D7i9zaLBy9LvxHj6/8/S5vkbRak
dQWgL87yh781nVNZCns7GOujxELMQ5A94PntzTuswuIvm/9HlBZ3RaPFNknq2lpL02t8m466i6+6
3MyTbWX4pL/uzC5ILgqfJMbKqmNvXO3Q7MgxTHLkHFjx0oi9GFHAef8cviJhn7sN37YsVtTxo6xL
r4lso97WQUF+H9IkKOzCrePbkWkcSAxBtiZx4b8/fRKEf/sEUcixMOE1eS1QxkIUv0uQnnq6KvqK
b2mR3RrYeLqNRdR9NtLa3DQ67BcQP6A/wE1DFJpIC4VdBRnYBedSy6jrqOdbv1b0OgoVv/JpMQZ2
R3x2bZC+1asoMsbfVGqKC8ld66fT+EKSDvBV6GGaHCtcAnXj/QNU1I9lwTu+5VWstzpu4nfcqxLn
b0BBoRSjCZgWue+l7qKpWNpYQ2eCqnGZfcpk7G68uA5fn4YyEWtPmNEmwmAetRgFNcm0l7ELJYPw
el5XsG3WVdXLjlTDqiGxXPV93dinQR2STaKbKIGLENjTUTMxqXQ4jJnmdNvVcXQlykpeBSEJPpyG
cogQaDWtNnJpTZsmk9bsaGfambluS6PddiqsNzIj6mVt8NZ2myj+fBrUAUKamRxGRTEm8V85A1V4
XmTEojK20ZCoFcmiZEX6XC2Q7QAhDdZIiXFwjSQZMr+PEBv1IESm3G01BEa2Kf0iCuyxsjJ/NQSW
+eWpOAkkcpSZUmLVQ9MJ5x3yeWFg6Vaa7jZsUu6v2sLLuhXr6vrj0+FglURRwCKoPs/kru3LTDZN
6W5z7Sc/WSSmtuIR+fTPoMxoVypReDyv3G1jFM1lFolh2xZh8kQOwQ+oiWoSxogIzmZQCj9ktI3S
bquSfHjttVG7akae/uz5ZX55GqG5MADUNFaBETMLo8zEmp7vsCdMvSQKy7rbVm5C7d4z4sIuSUN+
URbsxQJebG5pJ2jcFARooSNjyZkwJImqfZ/U/TYdWcC2lZ+Fru0r4V5FrG3Sn7ksSbie/sFfhonv
0ite5aK9brq4TFbMb0y2tqqxI3bgkqa3w2rMP3HeNu1Khnna/IyLD7LifWVF2rdVHanGTsyoGGwu
unzcMBXnP2WJEVjrkuu8vqwLFXw2aVp1Dq85sVZN2ZT9tktGM70K8ly7lwmppDP6QjdOrjozueyk
UTedHbWkLC4GGqU/U9KWr6RZprUd18zor57KIkoYw96uhPFB6XEm2U3j0tBLSLdN3JDZRc/YmheB
te3DuF5g0PSpXeM9bQ8j4Yf1hv8XALgvDYNh+alHebeNCtO4amug7rbFuE3T0nhLciu7MjBQ9e7J
+CECg7dglGGifoqzdkUQwz1Fn/nVsJWRQTaB12StTbhrXqgmT/wFDA/lncLE3mfKmHFl02zyLrDK
q1IfJO63Q9I3q97t+suJDjZrQmv9ZLwwCkOw8wRLOzncGaiImtIrvGE7GNp3wjyJPsuuTy66uGK/
ngY1GYQZ3xjmNzC2K4lFydxxENdrWZv3/dYQYbfWQ6xf5p0aL4I0oa8yYvSfdGM1mU2H0HiyAaEM
lkpMk3QWYuVZ0Bi2eaysJO23ZRKSaM2yMI9XVlUM46rVSdduTmN6yD+owuSQgS/V9z3EXf4Vli5p
1rRkm9Y53TBf/lSOPlsnUZosQJrEbp+mjFnwj4jIkB7AQO6zT1pBEElXj1vaiC9VLdxtbQzRk3Ub
QIAITLCcsoCZOCIIl7UeMrLNgty3i1LWF7rxm5VHGvXEIBMTPHugZrqdVTL3giEh27w1ud1bfu70
2pRPFgdAQXSBCobQlpKzUBZ+ObFIbY3bcUgKm4m6cWI/z23Xl9kC7Y4wiGPPw0R+hnIJZHCfQVVu
hKNZBGRrasE2aSMHO+eFWNDieS4Csk2rCpiyQSwrkOvvQ9GlUZMK9nJLwzDN7FZ2jNppToLfSnOo
NmwYjWAB5BEZn8ZOUc+zKCXQrH2Q8CaSJIUkW6uiHz0jqK9U7P9KVVU+nVlIOxEF4loIE/I3AySS
ofKitCFbmQbDh3bwmpftWPvOoPxhQZuO4IQAg0A0oLOmJWbaxFkXRuNIhy33QldfeL7KqdOLulR2
xpjbX5w2E9PJZ8qLPI5KUyI3sLBgvE/CpLGMLMnEiDhN96uiLD7XXSYX8sYjorEHZG764E0DZo2w
EKbfRbbOCnNd+P3KaIbxAyujdEEuzONYadwwhXVAMG1GxLTKx6JUdNyWrCpj203jrtu4oh17uzB9
2axYkgprNcQNhe7l6P6vAu7n0UqpIn7vmiS64kGTdRsCRrm/DrzMPz+V7oiSMGmDiTVkZXqeSg/M
C6wcwda2CjvfCar8F8l6tkD3QzJM2w4QJIUhBQp7s8/c0vDyLBRRv+UWKX5NXOV+wI+CBSiH3IVp
QTgkcPONBXgzKKYRI5b0jW47qDiw+7G/Dof8i5uMvyufLPhvdhQY4g6sUVPJ5f3znTDcHHgREd/r
tmVqee0mC2hjrKIkzMbrnjZ8tFs/yTonz6sku8iGXGav+qQtXpekNOhbL4vy+DpRpZb1qjFY2V55
UVaUtpG6ulr1jTcktiwFTzYNEdADnVh5fxlCWoYLlo69WNeSBNQpmcjfR4TXbwhKA2ayMnJff4iK
CEGH7Xdx2r8M62BM1yOJgvYLLWVuWHYSFeUtEoyc2QEsaWsj6AnficaL6JOtCEe5FVSCecTYA53I
uEMmrxqaLFYcIZXF4w3z3HDVBFyvKCdLoA6FDHEfkn64lmkJdF5cyAtlwLkU3VZnae8MQ0vXhQjE
Qjh6UHOzEKwRipkBgNAcjmwfI5rx0Msb1m4rFf6WdGP/hXZVspWeNlbBMOavvGbIXlV1Nq4M2tM3
KUkXD3FomzGSPbVbMUiCU5CZpHeKNZGXF+027oPY9kLdfPJbxexausH1U+0DypwocQoUXSd0Z3Y5
krpIkiptt5I3jU0yBN2jp4cFQ3kEIfhNuH2Mz6BHOd1KtSsmnJVGGhZACJlTaodipO/GEbkTDQv6
8jRCx0EJBPgKUYIW0/MdiSRGVNVeXgFU2MbvvDho7SmT/UyMLvw7WEmKaUcp4UrvvcMOKEuZnZEH
ebstqqByMjkkv+RUiGvpmUm0IJeHiSD4hPEwjd6vhQWLSTt2YJE+tFwtGsDSehOYwbaJrPe6dt8I
n2a2irm7APAYHSfDpyxkRUhkZnQclWoGLSeAGfHWML3xJiW8v0iRzD2ZjqivoVqIAjNciKIzt10E
vBhSk7bb2ndD24qL0E6ErzZJ3o/b09KhQab9MMSiqE8iIkZpBfeYTM93yKhL1fh50dMtqUZl2J0o
i2LTIyoubNIUhWHDv2XMDukQXA/maNEVtfg4PLEki149xcV6UHIL0y84z/4pxppzg1o4BStG07Nd
Yxxta6jrS1917QJxJ8GYY4xyOkYIoeBIH2aCI/vYq7uUsK2qgU3CYtMmhh9tTtP1UFosrNGhZTOV
K2CbZ9KSVnFcGUFOt3ooP+gmLi/8FE5aCe05pyEdw0fzyZKgGCegd/u0G0Tt52Vf021vxs3bWFZi
5cVWsCAnR6DgFil0nwTlaAdNVzzsyomZMssQQWlsOWXpyssFdaZK8ZMzQM1QKMcugWkiWxczXxOo
jI1GV3kOGj1JA2uYpNT2jKzLFoh2yB7NJKJviBzuckVRex8dkeQ68oXnO1WaBS9lycNNg39cydGV
C3bj0FABFHIYNM6w8I9obR8UjwrmDsboOaxIKV/lQ4PowKhi1C5xbav5c9OZTeAMPFlE8pBnU/Nv
8trYeEK7Y+bKjD5yNZdB4ISI2ULbT4ugR2I4ZE+VDUShiD8hgGAZqmQzDCMfLi4aE7rNKqPfDCMR
tnKtdiHaPcAGDhkVWYrdcMRKKP7t07GlrRuoCtWOtJfWquZdv+qQ3y+k7Af2EI1c5Ae4KAg35eIG
1pk2IaTUfpiSfltVUd3iEtvatGxJapKuuiRso0sUN7VxV1OeylUe08a0e6FHP3yq1Exd+/vogFGM
a85p2uZ16bZRjHPw5BXavGLdCfk61ubbLo2btdRVtgDxCH05TBaRXFt8irVm9EV1oR4kihWstwqn
HaxuW/fMe/VEayXhZXAHJEqBk0qoGRSZtmYqSSqdJinIOlUFNKLr0gWJPFBvQIGQQOuACIZZZv4k
yEC/RI/CyZvBt8vAUquOll/SODPWp/E5BglbNlNBCdUkxOP7VOuSwkzSAb1oldAvEjHJp0zhauNw
9KwFyZwos+e3gBPsu6nQvjSRvc4scGH4JdVVzBw/48SO+yxY90Kh/5aEw/vEEPKKkaF41efZkysj
95CBG1reMP7zGCFvqrDts4w5tJIxEhvPumiHJF03Ye0ukHNC4gBJJRXiuQlFMUOyt+jIGgJQfmdG
rwfdkVWGntJH3yjil3Jso9vT7DsQeiR9qJ+aICncjhQz9tVjl/JQFMyxmFGvZVslG9aLbMF03RfS
Z2jBAKOagd4puvjTtvau96y8vnUpQz2pdo0yXMk8UmQzWEVT2m2aDMweutRH9BXnOt4SrxDXoxiK
T2PAs+RSJQm1bFjYMViZGAW4zboi8VYDJ1lm9zQSzRsRV+3SzMERyZ5CGJhD5Puw7XT/zIK5LUcb
ljpG0tdO7sb+xneJdyUqbj3V9IALbLoIkSCXha+ccX3QIUR/7KjjGk2M6YKhvpBGRC5P8/oYQihV
ol4Oo8AxxrKPkKJRRU2r4Cj6mKndeIm2U4EiVdAG4cXfADWZN2To1KRzK1chI04CM+eObmm6jlmU
22nADKfT3VPTVZBuWpIR8OQCPaoZUn5blr1LE+7EmRxfFjzgqyg2k4W47BjpMICEKgACQMTNMyhh
lPiwsgZz+NC1dtQpyxbEd9faj40FM3dfT5jrCoJzhObIi4mYd4qGqqk6XYXcCTNZb7tO6k09DuaG
e2a1oWafXhkRy17Jagw/hFk5vMn9LlsrA2bPYGK0kZjxp1slNArgiEFjhDjTdey76msZevBchFkO
pqqCN1z08nNsFP0F3Iy3SkejXnCSR6zg1JgAoSWFuSWzwC2lsVlEXiAcM9JkVY7pdaOMdROY2ToM
gi+nZfWYCcRlSOAfugcYVpmZQN3oxmgNTzg++m9osvvsXR1qdwGlYxKkp9gNORFuvpprRBB16eih
iOgEokyu21FU6xwV4guj9cwFUEcQwqW4iDJMLPnhf82cv6fTNh9agFJxLZ3EiCE7KZMLGcRBWI/7
h9BXRKmISC0gFPsywfMwFkYPa5JGqlxnqus33A+SDyNLssvM5/lVKLOl3uKRGGDquUzVXgTAyJL2
gYoQt+9lZSSdPhrDfB02Tf5bg6NUNun6srwMYytq7X6g7g1R4fj5tKQc4SFSMgycomiFacNpRnFX
DTLRW2GfcMRutEZVP/fz94k0uOMrv9icBjV9amYEcGHuNCsjYAIwDbQPqs/KEdMPQBTctMSmKsZE
rqIarf+rDKM61NaRy3u7DGnz1uJd1TtF3kbe9vQpjpLbgrQi40B+Y03Pd4ojfpZmdTaY0pFDHkV2
GLtNvI7i0X9NTLfL7FIVzTsE6fla9SlbAH6M2mAnbsKauuaocO0DxxBjERoqV05b08qpyry7IIaU
W4ON4QK1j2nMLqiZLFdtW6NWVymnSUu5ImNPbdPj2fo0NY9BsVDWYqgeIIycJ8JBN7YsRRPIUW44
XHAz1pc0pHr1N6AghsAfbPAgV9wnW6C7tLJi8EwnfLisWPjLVLZaUP6jqOwAmXi3IxgdG1U55L10
hM/4loj+PRktb4ErxywM9ovgBabRW6lmXoANmDHl02xP1NWvYL9de4iKV6iK+bbXBTccNwosiNwx
tDTSXwvOF1OYc62joRWUZYrkDHPAwSfU9qNXHbpl6UK4d0yy8UtPpgFadCcPSuyp4QcsDGKACVT/
UiKLtovRNbY+yegCRoegpsVUxJQo82jC5zLnpSxRA4HMpQGCiWmid52gbmWPY/LltNwdhYR4Bc0Y
hGMoKu2LRO/XfZ9EhnAC2hUbmRrGejALta6LdKl5IPGpfeMIpDiGkRD6IUCfZxMxM8ewhyd3hk5W
H3vo2sofTXfdNCbdurIOLv8GaoAEQ4glnoPp7zgrrRGuFMY4IvW7qUO4xiB7d91iInhB5g8l8L6T
hd17jXEGXKC5T0WFtDKJkwyiEcb+BSlyY6XjjKxPI3QUiqYoV2GSjBxolhpzUlYjEAq9aLhoSNK+
LrouXmi8HPow1DhwKZSc0mZECDP9DUPCqqli65gjY7blK7KqO6910jDotnHXslXXV+WqKjt60Zko
Np1G8piUoBXzMKWBCtxEhB0bpWoDlVrVwUbFnblKMU5ok6opXruBWzjWELkLgfuhs9RQMmqZWMxH
Pd+cOcusTLIMyZBwhFViXKjPSBZjKt+LvpQt6lZrjFZYP2Ei0L2u0HVYsimHxnKCjoE5jDTgJo15
x93ExoSl6w7qp8XQXkZalt1l3xU8cdzSF/G6brT8ooYKqdhpOh8RpqnFjyUcJEgYLJj56SiuJOPI
PBxKU2utZe6uSR8t9fqPmBcT+o57qZCFQfsn/He4ycMIixexL5wKqEJwMDNCU26uaF2nC4JzDBRD
Swi7JlAN/D6wfVCtn5UkFhQIhZ3KbZXF6aUe9fjeH/J4wZEehTWFeKhgTtMSM1hBlCARLBPp+C4b
V7ERxa+CDi4vD/ql5ZGjoDB8iBEfTBNDQvfRSo18mo3OpVOUpF9ngiKRLRBeKdQ3FkTimCpMv9sB
9VSEIXy6a36XWaUKdUVZiUinVsNr6nV0TV2PrdrO4h85T/OLImGjHeSLNueYMKJajGgA9UjkQDN6
DsR1aTsgbh55IDZlViROKEmxgN8xKIiGMUqJcjF+o8+MlHGukmBAp8Mx27HbFF1lrbsuWmq4HoWi
URjSqENhQGrmUZFVNH4RC+HEZRi8KTlPXhtmy94/XX0FlBe1E7S2MEqzz6vO8jmHqeaOZ3hY0SBd
sJYRKReM4xHhk0hHIQ5oHT8s9+9KRNrkTGdEhA6NlL9CBhOsFKZ8IQLjk8kGl4bwA7u0iH8xzDYT
AbRRA3SXq9DRWezauvPDLUv7pULtAXMAhXM4OBPBDkzvDApCfAqHpnwHRqm46NQQrvVoRQvVrQOy
AcoUiE6tVMyTzdesvIqStFSD7yDwamO7j936tis8ax0HpHpyY3gChk05JJ1w2gdVl7aLKqxZYSis
cIPsNmmmKnvr90udncMCFyYjQDX0A3Ez5MNt+buykLmy1VEdBU4/VYU/FlaozNwegmIIfzaY9sp1
YtRh8Xuee0rY5pD16UqLmhWbIpN9fyFGlxjbsG9l8GYQOi9+Oa0R0+bifnyJKh/CS9gP+Bn0gmYe
jXRJHRsVhLXok3STsLBL79igSrbWqm/NcuUXoiUfR6hUuc1zYwjfDykJ2Ls67dtu1Zoyrf0Fp3Q4
WaimOQWESxg9g3BNe/27VCvCUCfaCgMHY7pBv27qIm5tnrnu8A4FQ0u+C6yqvS3dRJifYiNsi19y
oXK+8migglcYHw29jeGbrnw5BogLr0yV5UtD7gcRH86Ik7FpiAFlmvnskFFYjZ8JEjheWUfZJnA9
s11Zos37VYrRjfStmSZC2ChUBC3WCECttfI7otcLDJwiy70EAck1yrVw4RhzwAz6zKZRrHwUZdJG
ThZldblOA0i1bTHXjT+7XtOrD2ZPs47hQv8g9GObpkzEN1lGit+KFFOh5ub0eQ4iURwH1VyYA4lZ
GIQv+6yLAmKwyMoih4ohQR9am+lqHF3zjRl4w+u6dvMFYTk0TmjeTp4XEQVa3/NCFYY+Giu34Pu0
Ibw3SW3Gt5D0J9czphYxNtQwyAUtQXdshhbx0X/24wSFU1rbVCfpKg9JvZDB3sfNM2YqTDnxafEW
RT9rBiYLR67qlIQOYkBUFWMZqMEumjYZRpsHJfUuxKA6ayVi1xRXKIXl8SWHotw2aT6mb/qEsvEi
s1qdrzylDKwkUb9J1rRmbbEJDZOD9V1IEm63rFblUqxwqBPo9oJGGOhA+RcZ9j6VBtW4UuRl4gTS
y/RKm94Q2F7iCrJyrRx7LSiiqnZj0NgrNphopXJlsp4bCyJx6EmQt2KyCJ0flPLQ4N8/hkbpmQ+I
a51GDOVFV1a3hfbCl1jUWspEjkg7hpnue7WodaOOvw+pJu0YYp8gcuJWJh+x7emvc5JEHyM6yPXY
pMaCgBwR9um2Bomsh0Pk54XoMUqKvBy9yAmJ77+tB1eMGxmaY/x0LUZtaOraY/UTO1AzvNB/Dr0u
FIkjMEeyGYiUvh2G0fCqD+vx1zaOlqqShywDqwS0C5HTlD5PiO+kPEbNUuryMXOKxoyvezYYGxGj
ZZDqqn6ydKAniL1y7K6hwY6ewT6ojmoI6RhmTiMDfyMHS2DfNBNY9GvD9KmhICYTMF2B6gOzpis0
Zsa58MrWs5Igc0YrrexBNsGmFthsrJFILjiCYxTcBTXp5g4FE8MYB1FGoOCYqlVKu95WHc2hckQs
UPBQ6oEVdjSg4QjYNZ3Z+L5HupDJMnMiERerRsQvI7MtseFomHYUqWEB3KHQT+BwVQLWXRBDTdcz
7WLGqwQ1nCLPnLAOx6uwwjYBMtRqIfw8nH2eeLUDZmY1mhExRY/fXY09pNJfV13o3lj90K5H7hV2
jKbciiFi62xPhsNL3ab1r10SWwu4HuMi+iBIjlFlQA4xw3WIzMZAzxECMwbNm3jAFPxgkPai5Ga+
oOPHQGGAD7dRoOmA4VO2T9bBzzCo6UZT0hi+xcJr6Zglxqzb3tLbp8YEGPDAtBiursc+BrKVfUgF
QVaMolnsjIUs7Nxyo1U8Vi8NgpF+4uZfTkM7hhemrZFBoH0NiDMS6hpNJJkniWO0gq5JMJgXBNdh
XNQt9RdIeEwyd0HNRCaqPeXKzJ/8XQPTP2AMNVm3VRvLBTsynXk/LsCvJZyGGKeyE27DnNksZZaa
JpaXONj19T6g0FD+XuN6ji01qv7KDFu5wLHJLh3Aw7UJ01gy2qtzGo5G6GHlAzTMY5KtDYzJX6rU
Ld9Wmnh3CPHGN6xp25f4bYhioZB6lKToSGBwA+KHMat9WelZEPaNAaksdaNesT7AhSN9B0B/g3XT
LStYUcXMNfru+3DG1BC+wM0izuBXbMWViznUOhwW6DgJwJyOiM1RKkVbZ1pj2odS5hkKsIkCFATN
a1YJ+WGA5r8zzdJE6aEyr5LcagL7tAYcoyFGjxClIgZC33qmb0wMAlvLMnZMAyOUJRqZmxIp9IfT
UI7pGRoSaPQjZ0ewOsMtjjjuBYiAWxq21Y3o4j6+8T0MKr1FtT2I1qehTV+bUxKju6h0cezbwFrs
UxIaQIrAt2KnkzT+iFsp4otIi3Lruln1iSYhdU7DO6IBWANHu38qcqP1P9M4M2kSo/TC2ME8N0ne
F8mQ5Z+MUIfIaeJyTOykNUZ+WbVj6t/UeZgvOdkjTMTsDUrrWMlBbj4PYhEQoVQ2NLGTWYN8ScIq
v+ZptoTmMSiY+kLuiMQG0jKru+GGj4gH4Zg4mCy44diSxW07xpPnyTFCMC1KTfPxGPWezxSyCDfr
iIzCIucRy1fMtehLpFlutqDTRyQScAAF1UoUNOZzJxlDicXHcLUTkSpe9XSgV1FAtV0FRXR5WjyO
0o3jAhbkGRiSmAd2SHIN5Vdd4niKYawszDLs7+PGlMy7+BuA8EufYYSx1YaV332574c0t3gILauy
wt0YXuq9xhpg+9PToWBNEpE3wgHctzSzughg4wEDp7C6GKdZ1X74v5yd2ZLbRpBFvwgR2JdXgCRI
dasltxbLekHIso193/H1c0qeiWmCCCJo228KK1morKyszHtvVqdCs/Z6mVsfTfAK4GIQFMkcr9dC
2aAtNJlbJR7y6MUIwcoDzRvHdif+bcQKUX5VIKXqNDLXTY0aKouSSHLhU3lvD7ms18Mh1vUq8sKp
4iUz6/TLdhK3rbWhGEH3mcYzi1t9Qb2t7TGtyB5bSZXhOMbjMY1T/fT4PvHXi4SNVjcaQNdfcDJi
kGQ8Y315oNYjqTwlxkLZ6z9tFAUhGtJwRlcYvhVk7Gszi4bWVh92hQ9j6Hm28tmTdAdA3PhJDbvP
Utc+9YP+rtSM8zLPqddoibOzhZufk3sTz6fejEjG9S9I2qnV8mQpfE3Lu+Ow8M7oIqnaOVxbAYP0
lxotlHPa0OLP376ZFruXnSwr/IwFn6q+al+qmo5+aSZ7KNGtBXG06D6Q2/OsXp1jQ50SCghN4Sdj
Zbp9Y1ruFIUPt/OItDooQkQcmE8EcOt6QY3az8k81Hh+m9qGF2lB3L0wCL0PnqTZKP5+3Bt1ofhN
yMWcvTrPcyqn1FoLHmbkZ241xM1zVWjzzk28uUn/b2WdqYFcqVpF5/lX6+VwWhR1OmbGFHtmP+3d
uRvpmoJ4qWhyIPmmr3nP8NUp/ulZ6auDpbwgL9dNLtJUgdtWge2W1NE/cSz2mpVbVsVICAH0A76y
9vVs1tIlTqXCrzSok8du6pL2czlky1dzyZ3vM8W2xp16Wan/Q9TnVSZYXlSUSDKuvQUzqcSmsX9J
1nsxMInB7Q2r22NFbfk+OBlNFE8h/a130InSpZssKE9NHc+HLA3bI2SaficCb0YtwoXGo4V7jEbz
9XJAGKeSpQ2lLyW58rHX0+IY5Frt1U5rfpbycPameJQvWSWNf+gRtYpyGWa/sztr55dsbuibH7IK
n1ok12CoKWbl8/AN+bnclRzpNZWa37t0rNwpnr4+fhApnDk2amMW/6xWTjAYEhyo9PWqjg5jC+nd
aOs9ZPTWNgKjEZxN3qHkPtffN4ij2qwU/JT6+gQfKv1Dzpz4P5z2t0ZWPmkCrjSRASt9Q42D46jP
rafwjDo3llI//tSEEcp0CdYEcmZNsgG3H8emQmDRTMn5QvkndTU1SHaC5EYLEMWWN2aEt7y5ZEK9
DioFjUN/6McfymJ6ha1+cuT4uyW3x1oKn7u2/xBNnRuo3UumjYdC+qc0997VW1HUFMkQkB2uh/VV
Z0qzakpKSX4yj8FT4gzlRRnS6l0PHHTnuwr3Xj3VFCFTCx4bbD+Tj68XLPelIdEgyv1M6/6RtUFy
E3m4KMX0NUFLbuesbRqjLkILHE4ExfFrY4o52UXURIW/WHWbuM5USvVllKyl8IYkVodzkpKX/Ye8
gfwSGL3Ja9RUV8me1Qx211SzqPssi2dBZvbafA6P4SiPO+dh69CJ2xyqngy4bE0PiLpMrfSBlko+
VS2soaXsG8+wijE63Y8hWw4CUFdkWzQT6Ytff8jZhPSVGUnhT+QMv7X6qB2zriy9WZubnT3bXBNw
RpCaAm+9DtRBbakRvIfC7zordLUilE7Gkhk7NbOtBXG3caHDk6bSv3rBN5HTDZPaFj7aeIU/TFPk
xUPfHNtcWnay1W1T4AnANlGbuEH/lXOXlUtVAL+rC90Na/DqXjjUdGLVSacTdn+rNr4fH02UXoQY
DB/yeqvktI4ize4LX08DYv6szp496svOE3djUbwIUYwDEQ/7YR0elXGB+gMch16T6cSu0Y9ldWn7
UlM9uZnSvYMsfvQqatBMAPxBmZgiwZqaMg2RkcfLkPhLGmbSe4rxduhGYdpUnlkHWvZSVo6ZnevU
MpuzFkR2u3PSttYreLhAokG70G24/qqhAX00UbXEl/O5/9g183SJJcs+q2Rej9/XPAR+VSqEKu1a
HbRQJkmVIJX4taHk0aUujPJ3Yke0hyrfWBIYF00FgsI7jjH110sajTbXrFTJ/G6GGGNRefftxtS8
BGnXnSOw4ZOYElIggl1JS/TaVKbMZhZneuZPqsGKBpQFS2d6GIsPmg9/JMETOO8bnmKumqU+NVhJ
sir3hlQzPOCl3eHh8yXEoiDaUQG8FVnT+6kRvVesALv8Cecr94w0sP65b2Vrc2ARc4Ggo8lbe+Vv
SW/2cidRpQ1yJ/lEZ9zW3Ext+ksmzeFOpi++/upwkbSRG2KHxvG6Tz2Tz/XjGGf+YLTVc1Q0vHFL
dhJBlSE4dgpPQ6juuwqrG0s0BWeKXJzxKpBur51i/AXziVMaP1kyem1SJV6hjUAntGnc2bOt9h0K
D2LHaErSuBCJwps0q9aKoh2SIOORofwpKRGwk8r8MRTNN3vMLXehh/eiePrOJbPh9gICDZkOCgpE
lNUmOn0dJ/08UZ4rBuu0mJJ6NLXGejyjEkqaQvkJjXcc83ptDkqzMh3WzI+tJXXlpSzc0Vku8UgB
TcuD/3CWAV6BwqRbh9esi8JWbw1geNXUlyO7/Gjlph57OaW26Xj/BGx9PHzyF7AG+aV11XEEGWXr
UDhpcYa9C8iwvAAM6Xbi+p6VVZVCQrcnBKmd+XJVamc7CNInzUzHR4mINMlErewXqBB0+mqL8qit
8tYoCLUVb+m0nSs3Nvp2x8u3DtRbK6ubfzAnfrqSETP6AJHhGPG0ZBrzoxou+sMBnVBBDYQWMV13
KvfXPjfMRSxbmalBzZ2o3Ie19bVALeLnoy7A04jsVtD/6HCupS+qoYvCeWxVP8xxgWTR2mOcxHtK
zxvBgT4f5BmhpQDGxFotpmj6MR2lWPFDWXcLaf5oZsVp7prOjeXKT9XkPerc59bMfWCa3v0lisBz
HXtNAGpC0RI8HI+Gtf+FUQl0Gj51JtlWf0o7Lf2qofqso+agF++CPA33NKVuXR5BdUYIAAqmwUl5
53rvVL3n+RVi0u6d7pzn6XTMl6jbSRB/acpcr4yaFTcyCwOye+PztpOEvaPGte/UCehQR2RlXhb2
bepHYV5EB4BMWeNPQDoSv4PA2hy0tA8a1xi1LHHHKpRmV46mrHtXZoomnaOhTGVX79S0OevjTD4E
QaB13NhKh+YpieX6R1zO5T+DMlf5IZQm/v9cV4LWJf9tZi9qiihyc0oXqZcHataenCJp0mNbaunP
ygDy++H+3t6KPVBsBbHE3pKOANpb3To9qVtP+Y5SD926xItKswwvUm10EFK6LgwPKcDQ0auXMf7Q
aVXZeeO4LJ+DFLHQA2lBCCpUGbPkkGhF2h3auu81lxJkqDwFQ2nFnpprnb7jkbdRRPxoOsRkA3BO
1ygyXSq1OAwcKqqzbD210Ri7xTBEJ1np0x1Tt56IKdyDDEBwCNalP6MDwFx0WulbWl0dsn7pvWbI
m537cdsKvQq60EJAfuXvWYkU3dRIpW9mXeXT2+heoqCSH46IrEVjnISQ0abKvtprZxh4zMV26WfI
STzPjmGi55oGj8qjCY/SHFGrATLGHl2fXS2pZKdZWEuRUrEsy4IpBUuxIAo37En43WaFmIItRoDn
uUP74dpUZtdF3S9l5cdd1rwfJln51DZJfwyNcfYbJdC8OG6LnVRU/KWroCHgHaJ7xb0CfPraaJXX
swoiovKHcVI/mVzO57YtQ/RCQ8cNZak99SU9SMeSjPPOYRXJ2Nq0aCZRagf8BzDv2nTtWK0UQFjz
1SDLqnPalmno0f6mljJ2dftNNwLjjzzixJzHQe5ipGuDxDxOi1xbXksLwtxJgG6vBt7wcKGAGJDY
UR+//kGdbkUTjbgS5NUEMTZ3AnDuStF9oVCWncYqm77f/wR7BlfpqqwwxCApcC7ZSn/rh8L4EAbj
8Cob6fwSBnu8kU1rAvqIYgJ+ttbFq9TAaJqe5UVp0b0Co+9/05GD+jzI/THIxn5nf7eiAJIT+LPo
ZN/wy5RFj4oiIqzZQxn83gKV8kZ0YX/e/4RbwZOkSKhwc0rp/l/vmZzMmh3IhBmFLuExnlLpUzpp
7ft5ksJv901tfT849DJpJVqePEivTQVxpYOptDGFIMBfTmMXZ0YvOS4f3PbtKcx3IJBbS6OXhw4J
RU1us9X5cBCYneuwLv0qN7P3VWCpHipa2lGRE2Mnd9hamsDWUDwlKYNBfL00KQ4GybCpvUd0NXow
loszIRNmOZPLfBsrfCeXkpPs3NZbDkI9mnRFILaRW7g2GgWSmnY57b1cG9rWbZAorp5GWZ6Lz49v
HEkGIZXhvBzr1TGT8nmc+zSvfFsKci81w/CzEcnZQUID5igp2bKzsK2viQo31zlEcZpsq41LlqUO
BpWD1lBL9XK6RLVXKGZ5yIEivkMteN4jNt1a5DbHLxEuRUHAXGNyo3mZZtQ6cE1mjLlB7cwuLMSf
qN5/6eEH7WQRW9Y0GrM4J/p4KKJdb1wz1VGnjS1KdYtaJJ7VIBE9OLP1lyGl9pcpkcyP9zfw9iTg
HaJhCUoF8ZP1yauCsuJLJo2vtZJ+1Fu5fW2rsTlEcLq/3De1tTa4K2LkDW1n+ILXazO1VickG5Vf
gY76FGRTl7pBIOuMx+BGvFjMw9kb6HN7DqBYgm0ThDQwCWt1xbpZLDmu2TyEt+KjMenpYZkWbSdd
2vqG1LWo1YF7pygo/vxNQYZMHsogI9z8ENb84EvjNP/Ia8leDoGmJTsbtrUk5HrJnQTukTb6tbHC
yLNhoPvpR0VgeUFUTocG1c+H80ygXm+srM6ZZSLBlUhl7WsIcxwKPdYOyZRmOx/uNi3DCqRKtkjV
cArhMW8+3KQvcVNPE96u1cklnVXl916J9eNoNOVvs6Q0I6CfYNqJIZtfEMYRvVAFCMQaaBaN8MOl
rKj9kJlFtasMBgr+RgjN7XDf4bf8QlCb/s/QKvSXWqilepfXft4F2buyNaRjj4jjV6fb1Zq7zTX5
krwIyLAYzoLg2/WXtPrUNIzBrHxjVqL8iC694k1Kqx8KRaI3o9u9feozPfWtIV92spHNXRSys6LP
JTDA17bNATSxFiY1aiTGJdfkv0MmhCDX1Pl1k5zicPxx/7Nu7t8be6sT0PeWs8Q19syg6g+6Hc9u
qgZ71MxNK9QVLMiiNjXC1c02FMgkFRabNwxNgdBE3YPg05TT/bVsuQgoBjYMrBSdXfEr3pwAK15U
Lav0yi+KPjzTLSRUQa/81FB9+3Tf1NaC3ppaRSnGE5RzbuIifR4mhqeB3Oi9vNaDz//BDrM5f2l9
s02r+qBiNBY4pr72Mx7mfwCwTE1PGoNob1DA1nVC6iEYTqI1ba+uSqmfhiTXCVFyWc8/mf2RUbvL
bOosZm35UjNre+Fqa7PIKOgyQddF6GcVrkLFHLNBxSUAskfMb2iMs16G05Paqsbr/Y+4sTihT0lO
zPgxIshqcVYcaPBFpsYv9aqDLi0P7XPVo5BzoM/c/azLoHu81ypGSSFlx7wYoSCzCiG9HGf0iMDt
5flk/ihmple4ti4Ve5PANkqUpFMg9kTOyFNo/Ri35J5IpE+FL6W986pUZnxs7Lh+0uU6eAZrYH9N
2zo56ZNp+8DunK/GLMWPDmMkL6YUwNuYCgfvqPXjJtS0GXwrsEszA9IZ9VJ5mocwil0psKaHXxtX
ttaSV0VgJlYZK3zZUZO82UlN8siu9JYGUuN9v9lwUfGEonMiUMeAza/jiVagd5ZGbekziqw7N0bX
XtQwDr4EUZXsrGojnsD0EG1s4iMp+SpAauXSZ0sywy6M4ampVlC+TsyAfLjbILRN/9/K6nKJIbZa
cd4LumRiniernL4V0mDvHLfNteCLtIJA7UOOu/5s02Klmp6yFsMaRre2A+3YW9W4k9xveb6BgAg1
cvGcwPmvzeg5W1OpOB2TEz/PhtT8ptLcpfcQub05vqub8TQqcJkVU/IWrel2LuqNVWIerBJpPsj0
9WXTtHkzd6jE+lI2xK0QanEOetZX9c46N4IXGR1kC/GmUIAOXS9z7JiTY7cg28B/Rb5jL/Uxa2Xb
BTmuXYIme5zhxFwTnjBIh/FNSfdX9gaKzOgYFeC2lfTHlDjyqzwv1uH+0dr6em+trDZPDqCRN2ZQ
+NEQVMd+rAavy5t/HjcCg0oRysFgodbYkD6bJKMMrcJX60B9LuTBPOIMexpeW0sRVDAobwiFYe76
g9WMB0yyglCvgER5GrIuejb6ydxJOMSFcV2EBM5Fo0s8vigmrxVLg2UxYwqKYOshSvyZJsnwTVEz
5/vQhXXzylAEqUFRPLWfyGxHx7//Ibd8EM1+IF50LHh1rnwi0AfLGJOcErajPRVLEHpVMb2oav+t
bMkU7hvb+p6MoYGUjCVoaKsgZRlFAjQPVGqcp9VTHpr6u6JVkj0t+43gTvWa1Iq8gErqutkFc2qo
ogE+t1JE8/exkXSvlrP0EMmx8/gbibKR0EuhSkbRY5UMOM7Qp62Ms5dLmH+H/qNccrimx/vfbWtB
QjwIuB+r4uVy7YdSbmR5kmn4YadKz8HYMA8gH7QXxsiFOzFpa4soGcFLBU4mpEyuTdWVQhlRw5Re
l/khZ9LsYUl3M0RRwli7PLsDy4tUCmmfVYkjCpjcHgVOAcnMHg+TE3uDZrnMLf5gWs3fvKoZeRPS
92JS6ONQBgp9uABSaoqoHa2+pQNDV4kqdqxqkd9rlEH9LqEGvnOmNz/jGyurzxguUrRkDQvMJiNh
cGasx096koc71fvN70h6CExThKf1dKeiRqLdqKD4R0U1Ai+Q50bIyIenOOqnj7oURS9MAGnfZc5A
3qibvb3jmRuxS5Tzqa7zRTVq0tfu0pm9MkcRBC4075z3Zagkx0GW5N/mZjTfFzGq8bZVWj7/sxO6
Dx8KMCkUtqGzGuSmq9Q/ihk62UrAUzvHal5USGPfcmUyvpdQrx+PW0RHEMygwuntrqFsjWTUdSfF
YEYdkwnAvVq+yIlqfrm/oA2fubKyiiWMuoyYpAIIdqma9CmU69A4m07V7Okab9oh+BKvhFjcryHY
b97STh8PbVqzmnw0OleD9NG46RzNe7r+G1GLpxkjtWW2CLDX6qRVlVzaE40ev+/KYzZX+tEek9+r
unwcNUSb95e4OBIJDFhYfThFXRScAUNxVDhPUVt/CBTH2kmwt1bDdFgkO2ACCTj0tafbpAFxv0BZ
1WSOUlf1H8zFjA55n8x/3fcDkSCtgiOcZvjTogjM428VHMuBWX5lq2CpHrygh23kaaWsHdO+63ov
U+yC6bgoSl3um91yC2qzAscohheua8BMCOuJJbFQf5hM11aq9KAjMfD4/WLypCReCZIdrazrz5gt
TppLFuh1I8kTr9bU8RRbuxnA1looR4GnVVH8oRSxstKDTdHqLvdt9Bhcq+7Lj6MWpjsFto3oSzmF
2ii8eqY8rdfSmVlVgenAipMNz9LcycaRB6f9LUz70guj2v6CAlXqGVEo5a5dJ8rOx9zwSQrbjJgA
aAbOdh19pWZReJEDaF8WuAZ5DwcO2Y7paa4ZAP+wd1yZWuWJpeEkWhJBAIX7Zx3sxvqhcYP/JyNg
lFSuMxFvr7etz/Uq6+gWoaKc1WDZ2x+DHJrn/7ASi7IUSCVGWqwTgEpp1Xxk/KhfyBFApZHbQiHL
P963srU1DAYScrRibPy6iaPlGuocCd+rzULGMjtxJ3mDkXXPTFEbv9y3teHtYt4BnWcxMOLmmRJr
td6OCs/lrqvpKzqCXiaH1af/YIUmOpLdAHhBa1xvTi3NTQUYA2cbGdjiKnqd+eksL3/eN7NxqAD+
8foGAgh5Z02LlTt9qpJ4INdNuvnjMkdmX7tNOkJY1ZEYat1cjvr54PQtowrTKOqfhj4Y42nnaG19
UyIhXQ+Gq4MsX0WQilHGUTkGub9M4Z9zEisvthLnO92jrbXSMSUMwtgELbf6pHkrg2/UuLicXotc
BAFtRNqGr4bR/Rap2rOWDO+HDnW5VFl2UMpb7slNxkFjfaBuVlfmCIl6UPKc41wZ1oHnmHwMuxIM
eJ3uKYdtLvIX4JueC7jo1SIh+C+VYsLHCozurzpDfLe1mpPlBN8WazlJ8YRyjPZHrmc7p0IsYXWN
/upJ0DDgfUsp+tpfuz4I6zSFdBYUbZ17tREuf2i12n6yG6mxPkWdnJinGJJOc6SYMC87l8PmF+Ya
BQVNveVGVAwxECmOUidHTd82mWKoSYMnK9lwNECgqO79Q7PxihfTxGEs0tsiOVkFTgZFpbWlkQsr
sWwcmLCmNXCOBs0NdZ72VmoYe9XprfMhjocoHIj59atdnQNdXbIR151KIdcwS8ZwyANZ63ZWtmmH
xxpqyuJCX2uzQUHrpVmyc39QnIKBI8Pi2WAVH6/RWmDAeAHxykYxf7Uava80lgPYt4yh70lGVT2H
ybSnhLm1FnHmSIa5r3n6XnukvrRRqXa4RCnJKSK2Vejbemq93veFLcd7a0X8ijfpfWq2tNkHDfnL
1kn+KivEJxwnDL9nwSg//i5CbJ3yETQShVGTK1NGLvUVdVw2p2+dw1hX4WEBsHu6v6DNz0YWh1/z
mr1hccuBnZWFwWejo5v+hZBX4Jqlrf1938rWEaKTAdOf/6jGrTaHqkfEkF/CBcCZ7xAsX5Whdbys
kQY3mfaQEBspPnqNlMIMkVTdqHbACJDtDD0Lfx7al8iugvdSbs6/cSGan2AKAPLQ9gYCbLkFdQ+0
T5g6QAV/5eL5WFkSouWFT0er9pARMtwqUhZPII53zuzW6qhIgIZjThEZ1qpsGinpUIeSyuUS9/2n
WGmKzO1UIzy2wRL83jFx7oiayMOnCxeE7uPwtMAyfJ9rv1+SYYpGqy3Olt1WH7Q0tzxmsTfH+25y
44xY4dWMViT1S4GRvbZCSamRmeGan3tbm7IXtRq75aNlBtne1MCb/cKQUPzHhE57YI2+kAYw4G2c
ZWdIdA08VT1iYKxTukna7t0eG2sS0AvIEGBhyXZWrt/Gkjompp2dk6B3bOZEyMmpmTT10RNGkfQX
2xwFZ2T41oQYukng3esoPeM60btiNII/EA9tvdBgEJ+XKmZ1uL9Xt5+QypQQ2xavPeLQ2g/7djKm
vk7ORhQ1r44kjz+DeuwvsB+cHYz2rdQEzWdgTUJcjZyVZ/u1XxTG3A1R0iRnZYLpyxTJ8WlgbPaH
YZb7P5pSs4+y1DtPzjC2TwWzrc5lW8QfQ2BKO4u+3UxCpZAxRymHvVz3LIbcaAMjz1k0Qt7vZJSo
T3GSKDtWbo64EAaH5ctVgjA307uvl4swujF0lR2fG1mVkAiZ7NfRGWYvjJf+z2aS54/luMgP126F
VfqoYMUpGN5MHrCRIqF2MMdnuZ+bT70mT68NVeaP991m6wtihxlnILBv6y8SOp92ZujxuUYMzUvr
rndrihY7X/DmvmEtIn9CSo4DDsv++gvaZl4p4WjEZ+Yp5h8bLWLCU+FEegbkvR7/NnQgovfX9Wv4
1VVGjEkh4YjgFlqYOOq1yTgfehRwq+S8qKkSf3WkJh1cU2k07YNE5Xg520ul5Z6GzO/i9dZg/5h0
swkO9FPk4ChXadM9qfT9JV9ji3Wvybs+dZdgmDK3JyqqPQX7pMw/yL2dMHZiVOdC+hToThe8KAy/
HJ8yxPnMd0qXSvExCeKhudxf4u2JJ4OjRSK+J6XAdSTjOd4sshZJvmQyFtJDXSb94dRFCOTWSto/
7hu7eWCIvIcDJt7CTOhaP/GjUatCnjYJSiRVdbKWrnpaCrv5YJft8KxngfzXDBCMmrEz+Pct33qo
AfSEAdUYB5e9xgOao8LQP1OOz4qU2UezLQCAMOX70WucRglXKlIafElBZ712FyO1a1NpTc546Czd
E49ENT3BbmprF3A/E6fAVfTpuTYzkHQPLpA3E20NziDnT5z5a9O5FvJ3B1J4diQzkN10kNRDhnbx
HtLgxl8QyQdjKzIw6N0w167txJMUm0azxGdtSO2PlIuYdtbFtnrqhg4M0f1F3Zz4X4r80Pu5JSga
rp2zFmp+ldbHZ2lSfjI2FFrXrLyMjvRhkZod39xaGGPDecuQQGhYu15Y4yx9KZVmdC7VoDl2WWCe
Cc31UwD6cSc9v7kKKH0KEpQQjaR/vYY1BiWy4YyMIJDNiZK8b8fYMF7HVLV/FNYQRV7TS+HiFp2V
7/ReN9ZI/QLuFU9DAMNrwyCW1Xxi6uZ5aAfFMxvi9NDZqTfZ054Uxc2BY41iCg37Bn4fosfqc05j
ROuBo2AnSN8xRapxA2UMdrx+a0H4PS942ryiAnZtBbU53UbKPTnDTY2OWSixFk1Ojkta7qH1bxfE
R4OnztuNxI9G7LWpUVqW0pn18Fzl03BcZlt5zZxmD+J4uyCyfwvoBGGKuuS6A5Sbdbg0dqT6WZem
f2Y273ZHq5IvYUPH9/7huvVCTCGdIOQ6aCn/omW+efUW5HmVjJA6V5PxOW/Cd1UfvxaF8r2ei5e2
qR4+X7oAdInoT3i8Yf7JMdVdWA2KX0WdfQ565lUlhlq9yxCf3QkbGx8RhwCYQ6KAm5tiK9+srAH4
FwH/V3y5sD4zZGe5gDVPXUXqop1rZcMSfAPaMuIVQFhcOUUPMwtesqL42ZxrTBives+sTNlnysHe
QIbbWMiDAw9ES5ctgwp2vaiimbPRtBGvLcOh83pIMEqW/rQT6dDQBdjxjQ1nJ9wKegM5sQIr/9qY
qYWq3AIo81vZ0j7I8ZA8dzIDo+974KYVHuhQfsX0wjUQWgFHW8HpUfyuNeeXGI2coxwle6/czT0C
AU3qKFRp1oATtKEZKg6/yHcK+EMunF1KfbUTxD/r2mz3Oqvb1oQgGhAr7pPVl4vsEPJXZSkoLY6W
p4xKc1qYOXTKqse15HiCkrOR2CBsS6V45eatphdSDCzFt6PGeIrrIjkXc/OwurGwIh5GCKaKmber
uncbO3bqJAafb1DGS1vo/SlY6mbnBXEbjHAz8MGQWgEL8Pq8drgoqCc7jFIVdpIQOZRzOW9Pi2Xk
z2owFYo75LDO3IAhzfOOq99umCEmq1JmpxiGfvNqfWggSXHS6IgYJqHzlCPS4HaTY7+Lluph8T/u
KCAnAscF+oML8nqR0jQFVq9P8IIb+vuK3RmeYs97M69vT5WAt+AQcHgoJq1RHkA+ZerYzuznYTa6
VtxVbpbPe6rsW1Zog4itUpkIurZSRfmCQnq0QOOJRo8HvnqoOnuvdnTzYIAADtwCwVdFjIha4z2l
SrKdNpsmqBK69mQHhfmP3jPFobDL+I9mWexDGznFt6zs9jgAt25BxICnDtSUfIn30fVeyQz1ijR4
L34bTs05H8KFtMyqj3mVPIwIEsGJu4oIhU4IL6RrU1nQWGMEFd5vbSixcHMN26U/nl3mtq09ZlhY
J/Fjcq+bEuXboyEYhBxZOsko//LftW1dLRe032KTC0wJ/orhTTEArKv/etgKhTmyJ0wJ4OYqUlly
Yg1B0RtITkUmimR2Pnzpkkrfa31sbBrgJoBVorQEWm2Vw2dOnkR1Hmp+0UbyEfbrcGjmOT/EYHuO
Dy2J21Gg8UBai+ghbpbrDyf15RzKeoROohUFiztrQxh6hTzvFaFX5+xfO4wMZMCIOAvrGm3aEHpL
wFQXbbYlT4ki/RjBotgJgqvw+68VB84LZUZGId5IyJTLMkUJVpoi6X/C67IYjxSEQ3OQc3X+Z8jt
VLvEs23kO4Y3l/fG8CokhlwvYILM6lKh5vYpoxTyuaOJvPMu37LC8EUWJ6aMwu693qyyg309MYbp
Ulg85ooud85RI80/HneJt1ZWa5Es5uu0eV5fDL1f3kel7XxMkNDYGxC2SgR/7RUYMWooALgIUCsz
6hiUS8dk80sSDc9mN34qWJln9P3iThV6f48vipuRNjQZLpCZlTU7zIIl6fLuAuNRnw7g0SoG4M2L
vEeo3XJBslsiIbaoYqzOLvitTrPKtEPktAVIVUjoRtD2K6f5t6ivh+K9HERhdWTGlT6f769x44sa
QLgAFdB+Af60CsClPqQ6Vbj+0nbAk7xBBhpysqYceeWmCzTjzzTPRhBe961uLBhnhDOBuhBt6LWS
f2kq9WJwpVyyJEzc1DAD3yJDiF0yRWa9KXXyZEt6++D4ZeE+QLAYVkzvVoxEWD3Ml6kJ0zFbMKtK
I1O0Sid+yqNFfb2/uo0jR6EN76S9xJbKKzMOw/RSJ46aixG0Qe8uLTnJlyiewz0tlE1DgEgp4CNZ
Tbnh+mwj/FToQ2xytgcrdqcQaTxpmB4cuyC+Gq0y2ktEfaKkJn7F2yflXDHLByHNi6aWz5Nk9WdD
WQL//jdbZTsYgZ4vIgingHL9+mSnvaUG9dzWl8no0ierav/s65p6M+PPnuxMXaqPQRgY0SEr1HJP
W//2DADK44FOZQOOCPf09QJLR207qk7VJanG9rWqMmatSco4I/lnWcwnMMK2fLDr+Wu9Aq8pIB9k
d+t3umHmsjVqrFcvSUS8mmL+a5VDfTlW2ThfdGvoDvQ+uz/vf+atpTLjkhQZMBvk5VVq10hdDKVE
bS4KjevGl6cZ5Giuk4Yh+JDFqtsXpT7vnIfb0w6ghScO148ouazXCnFUsUO0vy9zMjUvldP3ym8F
wgTZe8lB38qFJSbF56pcnOb3+8u9PSCiZAvWUbgvlavVAQGPYk7tkJeXsAvyp4CJVHQwqgeZUmIv
Ia6CGaKNzetjPcIbemBjzuNYXvp6Sn1JreuPY1fvteo2tk7QY7keGFRKfFltHThju0iyrLzI6IU9
mXnh/MNkwOHAs7JgDpqSPzgZ9d9lAW+QqcXxnF9XTG09A5evquWlCccUbbSeeboxE4fvb9Eqb/1f
K7x0qMly9NZvUIgpht6lyImX5lx6ZWj2rhoA2dPKYK+MtOkN0FUEwpwos47LjRwoGsQYvuBo9Ce7
H4uLlk17WcPmgmjVwDMGUXzj7VyokQJ4orwECflQGDfLYdCH8XVs4vZ0/9ttugT7I2julOLWpao6
MawWSkx5UaNxGd08aNQTA4QRXlBmw3pWgkp9rIr+725R1aaQifAiWP3rUKmGJXkqw5guk5Za3w1E
uN1StuLX3LH2JnZt7RbxEb+AUscFt0qKmPLA4Cp5xjFUZTiidGUeIgBd7v1PuLVbsAGg8JN9iQkI
1wtqBVlk0sPqAvu3/5Jkjfk6hE77LqzlPfb5lilw8RwojioQzlV5bJA6s24yTEU8ub2wTfvj3BXG
Ye6LaCer2/p2b02JP39zZfM2W2pafuXF0ZK6PFDpNpNDRSK4c51s2QEBwpHiBqUYstojpVAWZVLC
8mLm2nRKI8P0Gx2118f3CLQEUCN6KqKYeb2asgbIXNcJEweKqgqe4RQXuqdAcAiexoKphv/BJRAc
FEganNz6JVv55uMl8tjZhbXgeHNfHfTQic6JWufurKbZzgHe+n7kiP+yD0Vv8XplMDcQ82iJ6Xy1
5VBq+eI2VVcfHv5+oivKNSjKOmg1X1vpys7BTs2h7aTRYIpJ331FvFcd3lPRUcIdaxu3PRAkEmxq
p2jprGcWJokRFv/D2ZntyG0s3fqJCHAebllTF1tqydZgyzeEvbfNeR6TT3++bP/AUZGFImoDgmDA
UEdnMjMyhrVW6KWHbw0d9SUtkN+MdOGLyPUzRsUfMjPKdo77xg/SkIV9LUFkkvW4ruQkCowJhOHK
q1Mo6mc7favrQ60u/XFCKP30eDPv2qI9xTtCo4pS5u1mjqZeK63LkXeXmKhJyYe2Pldly1frotT4
3CrOtON0N6eEJILEkPCUdoHEK9yarHMrNkMaOFdVJOJjTmX4kDP045fHC9u4JwIF2c6hnUghBDu3
VpRwNnO3z7FSWdFBb3vzrapE+ZJ6jdhxG/dMSSo7vCowJrArbk0lU6WWboly/TxHlU/xuz3X0rX3
aRI9B11/l4qUoACGFHGfeSNvTanlqJcMi42uTZFbL6Giem/64OQf2t5Wnw02ZQGfV1/2dGj7rjfQ
qNW4coQVXaPUYZir0nwvM7E3C3Fz/OQkD0JZoPigW6nd3a4nL/PQSbrRedGt5a3QtCAJJ9dndMnX
UQmf7A/g02kO0aAiV2bqC52QW2MheI/SYIrHNSW8P9l9GOe+G6bhseGfPckZejcmR1IQQ/+LO7o1
Zmp9JGfLlNfUSvVjGS+evxjlHlDyvTj/E6xJmuG9IpkFCCDLv6vHBB7zVHngW6+u3oejn5dDVx/i
ISnMl9xyuyro0S+ZXwH45se25nXzyymJ35pY660dHPnmW8pkF4fF8GSwwjiv2xVbi5xH47psryg9
BmGHnvoC7s/64abt/LFDOEbsPG1bizhlqrYyYpRKpquXoFadsC+bPr8mvd3+3jla+AH+b5EF7pA5
xRH4TKLtmNw4L8SK4HXK8qOHXNyaDev1vWu1tZlfWxjUfpEU2sGdzT2i4MajIJ8MBx00F3hbkE6r
kxp3HOI5tMbrJOjGEKkMPqIc7aFarD1J4vfX5PYEkbOjK0UWJtOi9YrcnNsQdU1/jYdo/mhqgjk+
TdxFWFTTD17OAEBXswbfYJropdbL8gN5m/PnFFmOn4Rm8iS5ghNNLQ0FbYSuwFduGLqQOQCQNkV7
Lcu+/QGOUPdbr892Duv2O5JDA854DyN0AFC3h1XttHCZvai7DqM5xKfZNhSGPyFn8GywJ9NocjMp
aEv/fR1SLmHCYNS466+uovWfisrKz8Losh8MzdWPj1+87ZJo4YGvohrIwugm3y4JWsCUT8pYXqsU
sWTfXhTr105X56+PzWzPJpEreAJayA5DVNbAYpE3BoHegpneNg9EMGjUD2S4yYI48GNTm/tNaYCV
SEFm8MUk7rcrEovbwIOslmsTTY0f12PkZ6mRHWlWtsycr348NrdZGWgx0Ly8e3ROQKqtYqHObABx
ecZwzRbmGud1r6FwiewOj/sehPiOKQI8KB3SayMIvjp+zRCprrDEeK2GSBwdVvo2FFrzWtXh00Uj
iYamf0wlnjSAZPd2E+OutBHDS/XrUKBIgLxbDQvLLnYCE/kL33gR+loQoeih2SAXN9CMxa69utFy
nWywj87xFDoMQ82SP0eT0WNWWesfigaPunO75BfZWKUQR1NZyjKtcxtjNjxFeLN+VUcjPLVx256W
3k3OXpNPb9rSj69OaRZvrZ2H/0XXY69gsblxFHhAxkl1cjp66rrda1Z1CunCE1eltdUjgv4zIoPd
0wkcVsg/0JUFB8WZWeX0IDLdPNO4BV05l0cx2v9YXaMfJ1vbq8mt10N4RKIoZfCRJJcg29ujEkLs
z7O5UwOYOcqniXse1Ia518JbH5V3K1QWkRWSykLrB2cmrC28xF2CUHVrCW/92prTLzrwBr+PrT9A
MZ8f3+u1G5EGic4p1hI0856uLhsjGVLhIL0f5IU9+5ET20cxx45vGvn3roy/PLZ2ZxMl6UInf2OC
10ZysG2s2nayZg4GqP1Hs1XCQ5/0zY5rlJ/i55NPuIO8D414CrQ443V/XJERNfC7KYiysvqvVWnm
sZqX8TI3Yf4SNp3xe56m5bmvdkP2e5YZoEUlSbY4OP23h6Q3wqawnHQKTC1tjnO3dEe96bojv444
u4VTfe5m9GzCpvW+Pd7ZtdOUayYuonGDVpQklt9abvO5XoxpGoOsL9UTUHzlwOAG1S/D5Vn/zEwt
2mqMvOL9Il1dR5ZzAgxFH8o+GOrF/orUAczvRou/1s68x/B7/1m3n5KSEwVwKcEvE8iVg/b6XI2T
URuC2bBTlXmoSxEHqdLZ4zcexzw5xuZUpF/dqY2iFzEa8eJ3c5G6b9roxdrBU0EJBQRVkXISuTpH
R8tkRtGOp93uvUGVWSLUeLS2FJ/JNKdJn+chgEcF7oPRgfWnMXWrszfke1Che7bIC4FJcIjp4642
xBqrJO2YiBskhV0dBkppH6ZiirlL9fzt8ZHaXlYOMpB0xsnz9m8kNLMo1koY5xyprO6+eG6vfxN5
+uScNtpFwFcZL4I6iySgrEELalhUnRvZXTAOXnhIcjs/RLbZ73yiTS74bgaEE0kfVqjL3t4PvdRD
AMaMj1lMo/pTZZ7pP3OEhGbfp/0pq23xGjMR5Ew/Wj01vRtfrXhyXx5v6J1vB83tXSmI1hjs/tvf
oQitZU5dtQuyVC3frLBOP7Z6P1PKKuYdAYE7pghoCNfgI+La13WkxC7S2q2EF+TjkgV6CpSmsZTh
YvdPY1vgSHD0pcoERR42WB6jn2qo+lL03RgWbqDmteZHbZeeo6gOd96pdTQjrfC84+Fkgxont7Li
mACDCOOD2BmiM3OaXSBJafWCqHZ47rox+2YS8AReUSTnWtjZ5fGn2zp2SqoQ22QuSJ6+7msuRTky
+i50ggY84Ecx2B8aIu4ruc1yJlpozsuoaZ8MeA7Hx4a37zMfT9J7pcwU5NzVmdHDvrOsJXUD08l/
jxs00tGwzRC3zIXfRepe/LG981x25OXxYrL9v346EfhpM7JPJ1CSDAnPaJiCjgfn9HhR77Pubt06
1QFOjVTGo2SwrgpS228A8ih6oBtMpwNtGFtjQJyqDkcHFDOO25vjvzvbqDSkjxu3+lS6vdFei6Kt
ElCSvDy0zHtd+5QVrZNcQaiHv01JY+u+cOdBeenaKvy45BVa0D4sCSvyc3ABkQ/hpdsTut6eDVDD
xDLIsPNUkdPeHk0qkoIsyNICOj6wTETYqwYDu+Z8+qRRcZnOpdJZAAwahZKTa4ta2+GYbs8IOTrN
C84nU3rIcW9/gSlceuSuIz3INcZU+4xg7d1vUemK39zZcZZDzL4MOw5mc1CwJedCwQSzJZpz5U8V
AgNYrX0atEs+XzIvTs4dIIiXxwflnhWyW4mpJMXdCDYKM6wsOkBZYNZKHF7NsBnqA1IJIt95H+4Y
ghEMt4bDz3LWCFwIYL2WLVMW5G4Ne04t+1MTtfHXp5cjhX8AQXFaJMv/9kO1Sdsrc5zkAbgMKLGW
aA5pgs7hYysb30/NDzISJWN+DLgTudafHHLdJpY5T2ESVBOKTHZa6x8rHXkMQ8+fHGVIDCJNURiT
+C6ISaumVpdnTCG30zQATbQclWYODwyhcZ6sK75bkbgO8BYUFtcybl3ZxhVdmiTAWENqouVVc8jm
uNrzfpvsi+XwQksEL1UOvtPtzpXumJdeUSbBOLXuL322mKc8bazLbKrRx8lRmgutUe3J6oBcHW1p
oF1S7JeE5dYoFfBmThn6FsTMeP0TGof4M3fH+EPsjOmXxrCnz6mN2ObjMyLPwI0DJv2S1SM+moR8
rIuoqjUKU8vMNCh0pTiHTaKC6sV7Pm8F+h8EQBCAYJCM26V5i0tR1kyywEkT42RGaF2GmrkHrr1z
3jnnhJHgu+njrp/IOI6zQRROFjT6NKUXRoSZy9nIujg6FF6xC1+7Z47qHrV1Btrwdq2ul4MciGso
Ux00bRQG08yT73ZafAZsVO442c3LQpkXJ8tXAgJLcr5yspUY665v6iYIPWOqjx5AjPwThAi7OIBd
1hlVm3i1Tri1DOMlMmoEAB9/wO1aGSwCcI2alYzy1g3esdatwYUHExijtRzZ6f+qPN2HeFz27vj2
6mGJDX0Xn6RzsXKNUdSW6Bf2TYC4SvixVhSTYeyO8wuxuHHMZst7sZwleU66UaZQaGnwbkOtRA1i
XSKLR5DMVtJXJG7LfIHw2B2aGSzg2GTlzoW7s5Mgh1E4hsFJx8xc3fIwU0NPC+0qaDSGh1Nj0Zf0
MOlT1520Xg2VnXj1znbScSVUhhjFvVsfUhACTK/ziDdsI57OWtiLDwBsxGcH1uNne8m1z8x82pt3
tonRyUjxZnIyAYE6DaDb687o3DErwy4NHFKCN9TajJMzztUVip0W+WUdD+mXpWi86K3OFau79EXh
7Gzz1q+RRDJzBM62bGSufwUB5d2YRle5opmWMLzccX0ej73O4h0rPHm4ak/Ou6dYd7vQRug0XZI2
vC5NFH+GXfcdHmv65fHdu2dEdp5kLZxHVl0ZyfSltxorD69lUuTnUuT9wcgQZ31sZXsuDZgQQEQl
4oDEZvXNMlxKrJtlFAgNTYsF1cqgKmB1xpayp220NYXTpGwk030SxjX03YMVU1rGVAUFlLD5YDO3
CCFnS7ES9HgmZLgfr2x7GklhOPqMk0KpHTzM7UdS8mYUduvmQZ3l+rHIDSPIswVofTTPHxMGx501
J3aOdRdNpymanpTm5iKQrfJEwP7GIVNJuTVf5PLdVYYlYF5Wrhwr0wA2YlLtGH0GT4g9Mb3tacEc
xRr4kXJk5To/zuG3J71TLUGRC/Mlrj33yOiR5PR4T7efEAoQbSCgotSECGJvF9UTM0y5iJcgCm36
Ja3hdL7XF/SBQjS+9qp/d60xLFvuIDWvTXG/n5n4rTgi0NSmu1j2yJSfhlPaMaPp++OFbbePN475
ZgxABhdDp/52YV5STgjpzyNlcKOJqIOnKfwgE0T4YzvbJcm31PQIm3lu0Ila2SnB6JGpjYERjqrP
EMXqJUef4NwP6t5UqXtLIkUjM32v76+VeLyOGU8L+JHAUYbiRfXK4RwpiN4+XpDcmNtAUv58EkBT
TjHZvGv1rMwG7BUtcFTA9CiHGSVDumImc6NtPs3jmWBdfZJ9zN2SoGhiZZAdJFPrDqFTxtocurUW
ZCA1jinDsg9RmziHwcuenG3+boqeLiUKyi+AU1cnvi2KRV2KRAuMmT6uGPPiHDOWe+debb+V9IeE
ru9rAmJ+eywsvRZoARtqMFIpPbWRhqZXLfbGqd21AgSRyacymFsXd+JEQ6onctXAycLhLBpr8Y2+
3dNi2hZ35FZJjR2J06DvuFqMWBY0YMZZDRanjeYz59tM/pnzQi9fy1nvjYtDRcb83CtibA5ta6GR
MypI/pxwPfH0KVeHJn6py3pwX6LMApcZW2GsKL5aNJ0Fb7PI3e+aKLPipCK7zj8YS2aVpF1MZGp1
tbc3teretknatMYoLvSU16I66ay3LaGhoOSezt91ePavEp+/d5O2rgEGEdU3gFg8GlRvb89ARJCa
92IQgRMq5VktPdk2ytyDETVPirxyqCVZicAFEDQk7XX2x2cJE4Zx4ljNCix5PUE+Q3XKN5q2+/zY
P9zZPOrQnDXZxgHPu3KsZq0nTtGlIlAJAg9CNLrvjG50fGzlzt6BFqCeyLxW+Hvr+5PkIkLrRcxB
X7XNi2gRLEnqIj5Uot8b4LA1hUoA+0d3kchpI61tmYo3VGnYBLgG/S3PVe2P1JuNV7g2yg4O554p
Ss3ELyjo3AmYRDJ7zmy0QUfY/sI0lurQjxaq1LW7AwjdpgvIvcB+xBbtHkKI27PH6ItYT4e2CXQd
aJWfRYVi+0o7Ko0PCrEqzuOsxdUZyHHqPf0iyomf5EY0EsGWrzUhq75yrYErHzSV0K7gE/tTp2jO
uUhoBz0+Jdu3ihmj4I1kJQKq3poTGDGMzYxruw3aUileOif3XnqtLA/FUIyHcVDtnfR9e/bpM/He
E/1RlaVrerurVHqtaajMIognr7iC/TZPkTJ+fbyo7SHBCN+M3iKtUl7hWyNTVhRmUy5FUAo1/uFF
k3MUMFWu1BOm0/OmSEhk6x75yQ3AFvxzopJbFQFNq+EQ543l520YHcsqjv8HU2C8YTuSxVLxW60q
kzpyUzgVwWBbfxtLq7/AKouOUd2bOwnQ9lAQjAHyppVN73wjvuUJvcqZR9wEE53QvwrHLKuAER6D
OKtal8Z0KKgU7rirezY58OSOEnEBwvf2mwF8M+uUmQpBtMTDV5TWumNaGMk5SuvkD6Yxezv27pwR
mRlw7OkPIEKzKtNGVqWqi1LWweyZueIXeu0svtmoTUbmpdb/PD4md1aHRjtlI/7QE1/HuOM80S2n
ORCQ5aNybeq537ja93BWrvMy1+fH1u6sDXS+9F4sbIuDs5PJrA1EzehTMSrrXA+l1p4YF9BGL8Aw
+715o3fuNBBC2nFky1Qa1o1Vd+gWr84TsCVuPn9VI1LYqW7LL48XdWcLaYgjbvI+v3KTjkzCRKal
Dwe6nZV31uwkJgiqrUsPhvmaMX/06VcaMI4UrQKLybSAdTfHLBOqQ0M0BoALXD8yLBFYddTtvGd3
9k5K5AKfgrgBfHF17J2prAwdkmYwpyM4uMLrrinNqpfHe7d9y6Aa8NNxUDKOWmNwUhoFeqJkY6CA
Yv2uLmI8mktmX/rQqY4Mc+8+KsLQnnX1nAlJaWYbcSFoSt3e6FJNUjtB3jGYWs34kuhG/LltnB+P
V7bZP4xA/ZZD2YhD+V63RiLhJn0ZK2MQCbAJIk2LQ5nFe+K496yQBxPvUkkgSlw1QQrdEJ5CbB64
WZUf+8IcfdNb9kpom2srLxE6afTy0ZGk5Xa7FtR0nKFCVYyOvXA+MTeUMQBOk36ayiJ6/ttQDwFh
TDlUvv4rU2msDE2RtVOgTEqnB6pX9PMxZq7Rs7QG3A/5DuVdvj/FmHVZsDeViS9fTgHXzPziKGPj
G0zZ/fb0KXin7hAtkStQirndORgNjLhvOWrWHImegvUwXHvbtpKdzH5zDuSMTdqu4JhphSF9fmtn
GMKx5ymZg4SzfSR5nD8Ucd0+676xgpd7RzHTdnVXq4HL7I109tVAE3lyWKYu9qvRy091vyttuDly
0hSXlKAdTD8X6HZBaWQMQmi5GtjIhxV+4YYjQS4fiIA3pghzevydNvVHCy4N7Sj+Jryl7nlrbl6Y
fm0lrAyUY3pWu0H5Y5wG82tfJPE5JigB1qnNR8MI/26Rwr0+tn5nscQX1MHlxD6SSfl1f24Cz0o5
g0tRgyTWzFe7cjwGh5XJITGSZufx2DhcFmrRvZTiFGC51sz71LbSwYEdEKhUBg+iHD5NrnlS9Gw6
OU7xYSmqPYnk7dGUZEMutOTxAk1bpcqJURWGAA0RtO0wN76taP+Bpuc9Cy6W40M9IGmG1DyE6Lg+
m8JIU66BGihGDdJwdLjZlTqetNrpdh6t7edCmkoSdQBryRbmKgFLUUrImOqsBWpZhn9P/Tydytqp
DkY9qDv95jumSJKlIjm7JzECtyfDK8dFKdw2DMK5Sho/UWfrpEJY98PIE8/KsLCFMiOnESPRMdTs
bo0xzBH376UhibmS/GOXRhEYevPkGD66v7z33GmgS+DEqKveWmlzCI1FmDlBlkzlaah1KT7dVjuZ
wvacQxMAUCExfJzy9fRyF9RpHKqZHShNUp2zJMp6354y9wSjJLmGwzQfKBg8XcZllgANergQhJv8
9+qsl1HUZzw7TmDUxuRzeqqLYtZiZ22bgJN3hC6QNEBNlQ293cHR1MBLh7oRGI2hn2yjiX9JY3on
kaE4H9zIqJ59k2WlHZC2BEOSLKzlbGLZhyQq6F6NhsHlcCcrREnC/LcnnSDvo0Qqg5rnjYHAdbuq
MCwnhSmbWMmi8I9emKXvFe30YR6WaWcDb10S9wnXB0KJHEuqzW6Ac7QbQ/SUtOFcu3OBGZB0hj9r
k7LHCr29vv8aIoR+n2soOTmrLzWVIdnBMo3n1tPKczSPYAHGJvnAwKK9Zup9U2QhtCokWn91eY0o
jelliPE89cZpNozuU6X146/Dsgegvrd5vJAgvCWMmtbI7XeKOjgeWeeypp4q/uSlvV8IY0/kRL7v
/79V8e/OkRrAwyQW5FleLSdmlA9jl7DS9Wb0Gs2mdVYSozsACrMPObCDX+xKmV97ddjJ5m4jgXfD
5MM8VBwP4IHrY9gwOyjVmUFyjjRDuYCojgkM+1q9qPbcHtO0UV/ADGpnBtB6Rzs394YY3fmOMgCW
HTQetE13oWGwZ7os2O9LpfTVKcsOXVKKoCjrdCfsWAH2/2+tdF1pfcqm9VpHtVbM1kjyejqLEoWS
MNS9i1K248Uwo+5ooxfvD9oiXuWMcTms0jklGhMUhNs7vqXN1ctQIJ1SLpnz9bEruHPE4IxSYJR9
bpkX3h6xOGuhR4wpe9CX2mmJ3MofxzI8Prby3kJZnTHMUPqgtIO41fpTa3FmZ245TGezBQ1UAvt4
M+GKM6a7C4/ZZGR+lHf2Zba6/qB0TBiLPD09pU7b//r4N7l16P9+B7wDFS2gLRINcbveOVP6LirK
6eyEse3nnqu8NjClwOiF/Xmslef44//asxF0J1dA3dZeY/QidAaziYL12U5SkEoRjbhBq2pacuWe
LMP2OEtqGcEfJXgXEMbqHnfLoiGUb7A0a1o+GXnmfSuqPDuliHsNO0nQfVs0GuG6UBlfN1ERpRRp
PLvTOTUbcq0OxQcfFAZTwJx+/Pb4k63YxnIPWZicJYz0KZX4da9kogmsRTlMIbtbwvo1H9toeBPQ
cadzHDu98ZvIXPuzuoRe4lsTUGOr1KzmECneUh+MOEIuzdezijhlZxe2lwcwGYEBAvQur/UauWGC
CKkN4Uzn0MqzX9ycYXWx5z2nffHv8kGAgS8Ak0gTfvVdc7NQ2t7DylIWQ2DYpe7XqtfvXNG7a6EI
IF8BYL1rPcLMiUYbQP18XoT3DzLP+cEz53QnGnhH8t76Ad5MJA4kL1HypFbXr+VNqRWtEWdvSoca
xcowbg4mume9PxudpxyQvYNvV3WTW59MNcyKS14bUXsJ0RTrXjUh9OI4qHFmfiYWbcQhY8x0e+1s
SvC+0MZur7Z056Aj7SNZBu/kvHWYOS6LHrc1yj7F7P4mFnTXzXj6AWxzb7LGnf0naEGmDXIjIeC6
X2FM4ARMN5wJXSrFr4suOxThvGdl6/7kRClK3gjTwJVaIycnrZntLmvFeZL3pF2A+KnFqxGhYWv1
xg7+XoYnq49N+Ac8k4BWQl1XhYWIYRO1gEJ0LpS8ODiDq5d+5xrLybJE+pox4OycdWPy47G7eM+r
b82SV5GPIB1B6wJ28a2LH1Mv6we6+Oemr8J/QsjF3cU00zH1K6/RvB88PtN3BHNy57VKpiHykSfO
tLPXaYl3SuzI/K8CDN08DLko5eyK3Ajf0tZxUyZSmV1/0rrFjnxNThL+2x305QMNpvx7vzRZH5hV
GqEXbZXMumjUwn3VCyau+3WrGNUlCXX7+5KGSufP0xTrn4q6Xjra+wssATmGqH7RB2EztTGsJzsY
5lpE2smYs+JvFfm08BIWRl1zO6xEtDs3c3v8XBBhlCreG6oEVLeblurLaEOJNGDtLOVLDBzxQDL8
HLxaujISAZhCjLsh6bXXvfzYzNLZ0YVz1go1e6vgDgWVWu+xI7YBLUEzpCudrh+QIlOu9acaT9+0
Wu70jnOulLr4bBazcp6USLzFDG0/tu0Y/whh8RxN+DI7Vbs7luG0U4Yk25Z51aoyUiFyUbmj7Z5N
bXyxZzPxRW38xYCxK4Jdb3No134YPlmRRGYVhosEksupPNT217MhtNLV59JurfOUt/pxmWZxThpN
3Xns1p4QK5LwKOlz1O8g7N/uaoTriuhzWmetpRyiRIn7Vz8UHg1pK34qC35fENNCbBNr8i97lfeI
uq3SkfrLWc0YqYFA4fi7SN3lj8eOYu0LWRDFHkrshDAoz6zjpWhg6KvkIJzTrrXsw7As7dewmrLJ
b7rZ+9O1anVPzvvOHsrRP4iIUCuhqLVyTVMO21PYuU3AgFjhkLTpecLNnAC47EGn7pmCrgZ5lMIu
aLBVfWS0y1ZzBKZGxxj8dNHHQ6rC9IrTZQ9Rem8j5dFDElES9NcxNXOCQe8svX2O5zk/uFGm/xHV
HYMU7Dn8PC2Vc3j6w9EDx4PIkbBUZeTv89P9XsrcqjWJhcjMKTpEDULytpaJC3Ku3dEgW/wf7BF4
0ZQmrKYIubKnw2XIQ6Bj5yZNnA9YKc+iWOqL7QziVGhK+fXx+u58OtJxZFmksIgEr96uz0xtQnZp
j7y1/K1qcqSptVL8aF1G0T02tclLuQRS5UMq4YIKZhr6rS0NSc6xb/Lw7Mxj+zsTlcKqRPN3KPrf
B7fO3V97020tJK/CSn+JtQ4xqBr+7HS1tEi8VjwZIzpzeawe9TI1W1k3baudX3L9NlEHI0PlDNEY
86gCr/y5SeGobkzFOSfWkh/NQfTHYur+frwT94zQnoL4QIBEGrV6ANHUo0WG4ObZTJkbAENS8YXd
79Va5E/5OTaRS5G1FhousmC6tiKiOk/Re/XOuZi665R3zEuMB/U0W8P4WVRhdDUXRz05gx59cUat
Oz27SN5EalPvk5Ekvv32a2dpXY/5kEaXdCIHzSJDO9t19tdjI3fOFKdTvrw0P/A/6/e3XnK3qrw5
uiRMoibWgYQEz5RuZ3Jsh8X7Uwtb1byMU+9pv4bmooYp6bDViyMkcHSno8pVqEdMqdd/mBt9+NsZ
jOm5AWXyiWGggsRQg8OECrL2WYwaD9PBjOJLN0/2xUgL6zK0Rf2UbOH/WWEnoLBxVylL3u53E5qV
kSx5fIn7pDmoXR5TCo+rp78qa4E+Q8QBWZPy8K0VGvjCEVUVXwy3Mnx7TsvDRN1wxwtuLwiIYsJ5
KRaFntkaXFwAcK+RgokvBQVx/mrcw2z05U4XZmOFWgnMHBuqId9lI980zl4YmVWLFc1LTh3430PK
7J9n18JPBk/KcGcwYrKNdbtjrhHGdZoq8UXJ7RDlN0/5o+lF9efji7CaH8rnfzdDq4xKO1mXuno4
FsWw56FjkIE6FvY/izdbyzfdiWvLJ+CIPjehl7eBMiqL+iGtTfdvVWSdPRGJMHbaz/tkSo79DJLy
r7FiGOI58rTsS52a0NzGwhk/RtG89IERl1PqL9ZixZcRDHZyEHUadb5qlCjZqWo0/NK5Ayzox4vb
PFKsDTU0ydmF3r0RXpaVSTskZWJtDQKBplm9ZmW6BEqV7dEl75mi5S4HEjOrGpjd7ddSs5SRbtBh
LlZuMx+hYKRRQhvFT71kj4ewTlml2hrjCuTTK3V/1k9NmTr2NHUeXPqmeOnltBprtP7CHf8qSvvz
wDCIp3fxvfYqRfcZD7VOiBQ0FWvX7NKLldqNvzAbG9HDkAFAtG3Pj03duVkEnBL4Q+xJFLraxdRD
YzTNmvRSZ3p+8dR2OlqZ8dw8hvcjL6NO+ggMgJTCSbffqjVNMmK9Ty8KNNoDuvDl0dG6cOfw3V0L
+Q5lDDht1N5urRhzL0YlpTyVkP2dpkmbDqmNjurjHVtncxwG2ZogEiNjpSy2io0sJAWbJNHSy+jg
hhqzNF/bvNCg9phK1/u61Y1/C83Kryby9z8e2763QuxSeaJWg8DiynVUxRRlTottsp/m6E26OCqo
QD+FPPv3a5EBkZCQ2WFM7sBPkXTVTFWjKg6TVhCuPlYx3MBlYerU/7AWqUwJ2oYmwzqdy3MjWsZC
TS9ZYakHZ3HgLCyq9+wrSBRLGwkiCMVigqyVT8/aoR+1OM8u+qLEL14xkIF3+bfHS5HbfhO/Qemh
mc4fcPs0EFZGpsQ0xLg0+aVvBjRgF6oxvWEVwgcVlJydutX++9jg1vdRlUHamXlx9E7oVt1+IacY
QwghFI+suB8/LYMwjrWSNv+1s3zHFW2WRhBEwQQQHa1GEFvyRP50FibUhSa11bOLNiud+mpOg5b6
ZYTo/Iup0y/+MJcjPJPHy7tnlAYC8REtGaSrV8uLBhVGXoxTcptoPgp1mi4u4yChN0OF9Hu+wn8e
G9zsJ6sEjShnNKNnQMp6u0qjyp0whHB7yWe99k5h7IA8qmLHvfRmaexNjb23POJfziNvFw5ktTwC
2ShxVIE1hM58RPz7b3UXun/hoo2PoWI/OSGDC83y3jvFOF9i23WvoLdhr0SIrF2Kdm4+KqGm/aIA
Q/+zbknKtajYGyl8b4HQIsjCaRpIpa/b7eypIGcLeKBLKUTawF1VRuPY91H6UkxO+MvcTPn12Q9I
aYjcgkiUCwGa8NZiFOa5oqGrdAnLha4wYr5B5ibJJ0WI6vzY1HZxmPIgqiKwQql83RjvImhc+WyU
F4cPBQVDrb9bTkLbIhujsHzRRF0/W4aFFiGZiXS7KH3B+livjspTYhY9oM9BRNROvG/A5bqdrGR7
ByjLgwZy5fPJuuT//+mmZ26rzwl9pMuskVD7Sh0mn0ceu6+LGS3/PN7DzTvGgsDowD/CaW6H/EAK
anKRFNWFxo55aDOc97FtPGVPR+BdtPrGM0tDEqYNTpvTuN45U4lHndNXXyIvT79MdtJ1h3Bxk/mF
cBgxODF5mV+5SdMFpZt00RuuLvpWO4krAL80zafBzozhr9FOqc+GeWQxbVyFyuRXuWWFn+q0hKeV
x+38HVSOVR0gcUZLACVvMQIBsttG439srdPQaNoflTsMcelTAJi92nfMqXq2ki4PCkkfc3OJ6eRw
wNtv6JXLIvLOLS7KTNdszELtY50my7fHX28TAa2syBvy00kB6qTrZWYUfD0vRXLWcg9VMTBhpSiy
k5v2Ofsa11/Lps4vjy1Lx7H+nDhqUEOw5GQZ4dZyDZSii3KJfmbK7Qsc8fkU6kNz0Oba/hVdEfHS
aFHy1YUz/DEaNY7x/2AfwhwBIJMkN8JHtRlNCtq0pZwlWaC1VaR/xEo2H4payd/qTo8PFlPjPvbK
6H1PePafTYMpUMCr4eGAtE5pevVwDCBI7KXMuKJh5l5tY1w+DRlhxuNFriip8rkAgCNp+ICLJLJ9
9X07L6cBxzggJlZ7dX9Vl7y3/CQRnXGl0VoL3850ZfxPPBhK5KuVsxRXstJGC2q9s1W/0iYXhqli
xzWqTZmSMtlCn4tDXUKE9TvHmdGVzxs1OUy5CfO580phX9HbK9PXwchae+e4ykN/e2jkK8u7jncj
r1/3UNkhRiqAsqESPFa+yHPnkCvDV2RpltPjnds+DbLYLf0ZDkdH8uv2eLbZ1JqIulcXtIotzfcS
oXyoSrO8NHVY+8ag5c9N6Xn/VJQRQHJyF6iBrsMzBAbcZUYm4SKqKD8tafLVaxXv4OnxHt5i67IJ
cXlhqT1DhzacVaI4Q5kaSN6qSwQp/zROpnpW63EPq7x1LRSRiI0AgLmcvnU7SV9qdxlio770XviD
l348mKN2wo+qB4St9INeKZ9FY+5ED3e+mzzq/4+zK2uOE2e7v4gqxM4tS3d7je0kTiY3VFYkIYQQ
CAG//jvku4lpl7v83kzNTGpGjRDSo/OcBVYQENEBSd69t2aolbLwhD2uwcKOAYfdmO6nLg/Wti6n
1VfPb6+TV+byxXi7bQwpyRTkYauOTTy4V6s/Icsa99r87VFeWfewA0dNBDkCiuj9ajQJCiBul80G
ok9ZMWgRL4h2dP0Cfg3xhZ35lSlEBxebEmwXN3fS7cf8cyZ0VHaj33bq2HU+WGuz/TP79TOT8vc6
Vj/efrBXpg+bP5pX2Aoh99vXz3AFdapGosqSytV5jTzQog3SS7XD+SgQygEb2WhwCVb37p6P4Jog
Qf6EOYo0Hjaf3NHJqmjq3ksXwnxtiSUgjII2hWpld9ueeNskscI4kzeQrI9Wcopq4Rdvz9n5YgAi
8pfYu5m2nTkQDrSKEN60jkfmLV6dVzOOzXIKPR4co7VNLokBzpcDGr8beoW1h3bVnlEyGs3NEMzm
GFNolLJEJ4M8oWYQ7B7ht033oAai36e43TbDrbmPFhieEzaL+z6G48YiGoiLkHMSySLRzMnF6hNg
3+bSGXk+nRu3a/P+RCcaAOTuhoP+mXJ74rjHapxsTivGCtUmw9UIQdYF262zdYhiDog3bnAB/IDO
1OYNFrucgYofa93PxVj3/WHjTF449P9Sll6ckvjf4zoDhsRfA8m9p4smlWmQkoDsdiv1FxJhgz8S
WbMhp42tg9LIQH9dqsAbWV5xbZfbjnTDcvIb8FfrC7/m/JnRGEF9g0sPGhdn8ZRB21vHN3VwTA1M
/6sxdo82QVzD29/EX/HXy2cG6QyLE2s0wLa/996IF9pFLuhbx6kNm7UcxrjW9zxYmSzQo3KSjEVU
jJmxfHZuwAdNA5TzijS3A0C3FTe+mRjy2WVaRu5xXeJ+gjZkXJwvo3Ehl08A2gYfZQSSQglzGZve
UNVBICN68OtV3w0zLgNdPa5FE3u99y1la/yswRYVLNNGqDinK2mXGwDoMEBukWLy3CYcAuEpskpl
SkZDXCqlenLqXTAZb4zLSVNOk4rMfZsqMOv7buI1zIyDZirWnnrqV9cO47MvhmDIpjqk+tjzgUxZ
0jtQjCtFwAnIUzQCrxGpNQ5FDfhOQpkUqOSUxEslHteajhHK/GqJyoroavxs4MwTF7hJMXs3gHmQ
HiCoQULEGsajLqUUPC3m2DoroJx5sacp8OCxUwnqffbTdXXx1Wx2/T3SIf+oDpTur60LK9jvlV8J
91YkmotSV0ZWv95+/+erbNO2oZpHoQFe2J59PSsyDxxtwOOQDqqIRlLnCKlRp7dH2c6J/SKDdRFW
MiS2aC3tinZt+opip4iOi6XqN4zI5S3XkYLtjxK3K/VJ2ciel28PerY/gfmDOmozCg9QyO89S3hK
F0d1AXqYcCQ82agjxxYC1Xxa5CXXw1dnEeU1Sico2s7QYhoEExQC+IjgwzPdSlDb4H/ouv/DA21t
OdBWwM+BpcjL+mJRgvasqaJjOtWbwUYkyhZM/YMclunp7bl77YE26RDUgJvt5x7+nptxIEom0TFG
AuF9Dy/J6ypM1Xu39QTlC/BUtLAArvp7Zm3vamGczjrHSQgP0gqnKkD1I++dNjD3ILGGxmZjd57h
YjRZoeKwJD6OSRd/QUuzKlgfpoc56C8FVZ8tOQyFZQArI1Rm6E9sJcE/FaA7DTgo0y7BOWWrH17V
LhwOeYQhYwEWDhcOiPPBoCnDo6FRD8gP3OSXgyVqbZHn7aRHCbnIcYqc5Ce8WbucjsiKvDDW2XoA
MwIw3oa2A/DDnfflWDqqnWhgUXrE6ldgJA9Akro+vcSCfn0YUJdwGkFNvvebUirhIJ/66bFtLfS2
Ee9gWV4l714QeBhsv+B0biLDvU6ZOSn2Y1KlRxuMLhgBm08Xn0ZTqKbXl7K8X3kk7KvASbG8QXfY
f0lQJjEXwDYeifYqA8vYwI66uXSMvzoKiA5oGMD99awRTP0GjkBdXR2nLqiaou5k/RPY7HopFeF8
zeHVbNcpID9YcfvyUsxRD+dcHh0rzoKMe9CoyGAcT7PbBBc40q8MhWod9CvgL1h3e/9TZANYmB8G
6XHQ3Jaos5ecsCpCQofR717dESYN+TmgAEGgvh8KMl1YQdVDelTDmGbuFKR5TS6S886AO5RzUD2D
xL75x4Az9/Ib6uPEwOFBVsdkSOrqKx+6xP2gAr92QX1FTylj66TaArT95hd1ti7aGnvOpcbL+bSC
Xgx1MjbEjdm5t6cLl87xCZ9TxLtju1XMBDmSr9Pc8ItK/fNFieswwLpN3ohr3d59QoaSNw5u50fS
Du5YUtu4LbKhO//S8fvKM8GaDAPh7g2F6P6mVemw1rHbVcfQtEMuEqBNrWrRD4yWuXj7YHxlKOzt
uCegmQqMec9jHrCxByZwnSNC2+Ab1nv/WReEzhacrPePtEGPuN5vzU2oW14ul0Y0GklffX0aDGJG
SKriEibD8cFy592XRmxL0Avji8Z4CSI5Xg41VVMvDfHqUxMM/zUJeL7zsDjl9l9dgEheWRIbpoUL
I4aDemR3ZlFHgvbNlvpUB3rIdbiaPEhtXb79ks5u3vhlKF7AI0TRCXLk7hjmM8N1zJL6pLru4ICI
l6U0+tWNEy4t8n3uJ7hxo1kESv02fdCiYmG8nLzQlyOkHIaeaGWSDLxboPBmTi/A3n/X8IsSGrUz
9ib0M9BUxHVt944cjw6h02nnGDh+0NpsSmfWfFhcmDI/rB4igDPD9RQBkF95n3XIPnriOjUyawaY
524EGimOHY2QfuyOyCb7boSMCeizNKkuFI9n3wgOCFQkKLs3Nhy8bV7OCLE1nKPquj3BUOyLkhw3
KNn+JxEXdgHdO1tNmHjsqcAfoBwFtrN7z1U3Qf/VKHma04YWcTdEZTr63YUP8Ww1baNAUY92ElYu
Wp4vH0cvZJVdCO2Hbz0957B26MZsnWC+n8EwaBLXK37kJRfR8zlECYSTFoR4nE0whHs5qImUQHuC
JbgxwScoj1ILzBJ24PN6YMFYXzJVOZOhomGGXc3d7M1hbAYY+OV46UxSKqM1hh6oXe9YO9fXuiLt
H3eBwWgJoR0z8O2dUkQ+d5LGpzRlnc19x6HDwe8h7rlwYzw7LHE44cqGnQ9lIIw7dgVnWzFEK4Bo
clxY9X1c1qMnneuwrv+r5+aW6eiL38e3rX+py3wOAWFc7Bko4qHE2VrbL+chGXyZdnWdYh4UIRmp
pZ8lrEpyM7jk1Bqa3pB0YDei8+ZHYhzvaxW04ae396+z6/L2I9DeAhcNRCvQMV/+CNpNQYCsqRSV
gmLuAbhIoksEFfnhqRXwTc4S2g0PDW2hhXp75PMvClATgCD4sm/9m71jBQJ2eqiQlvTYkF61Waji
BT3fNZz+l3GwWeLCDLMK+LLsnzDqYB85ptC26/hH3azm0fWH9kIJ+drToCYAZIi6Dn3R3Z6J/igj
A9bWsVNxfItGPILZBVuK988ZQAZ8OqhSsevtRkGhKhKvxt1oRc3ml1Y2xBYdme2lzuv5noCbHtTS
QCdxkUDe48tJm8MazYUZRT5uzSwHR07dpLHpCy76S17kr83clmwD5zUANqiqXg4VpI1jmGgqdGc0
+xpBc3kMm847vH/mIPbZcghhBArY9eUoctAV8uJodfSnZimZz92TcXh04ZQ4378xbf+Msps2Bb7P
gAtRdbQxkx/kGnbXigbeYWSOd4c+e1y+/VSvfb2b7zPqjk3avk9hR+BTOgMNQoVNInMVrcn3pp/m
HGwVaOmXa96BJ/P2iK+8rc3xZdMu/IVRdpsWNADwoSBtdazpMhwTV/OCzun6+PYoryw/qE0wUITu
AnC83ZoQfQU7GK6qo1MN9RH7X3qyLXVLrI5L4eevDoWGEMCazUl7b7xlR4uywTfVMW7Cz4ucgSzH
XKPmkeLCOfPq1IXgNW/MRYh8dkswcBp0NuANfkRQq86M5/ilG5jw/QsdFg9beQghDfbX3WkudBQt
NZfOMRWmj/IqqqvbwN8UQu9+RZurJYpE7KxbSuvLDwpHvJWppPUJFIz2g8Nbe8MdleaLGeS3t4d6
5atCkwTiLxTzIBTsZSK+UCsmdKQnIz33ZqyW5Eo6zvCUiGj8FsZaX8IKt8/0RQGMsGXUwH+fbwPQ
d4tc45yEJWlDT8hFnlVmez+hhadpALF85OifqGar5NDZkMrPfjPGOoMRwqB/mdhoWaKz7fY8U9XQ
foAWxLcPBqYfcAKDciDMpO6szGUcj3W2JmoKwHYy1fcK2VtjicN2Br4G6zxVDNyreeY2a5T8iPq4
2lTQxKX3lfWwwRA1mPFYj8L5mcKaIMHBpmV3IMNI05I3gwtFfw1xDXSvU+BmjbVOk/vjjF9gfTuY
vLY1/yphHo5k4tRl4pg4AjTut9/cK0seXGNwaCC03IRI25//A1JqUHMDeA2BCWxp9wQLVH6ATOd/
OBW30hwkIdwSUTTvlqKZ4g5MvQW+7B0NS6Arbd6vgDr+h2f5Z5Td3g75VOTj6kpPFeHfA2PmQgHH
KN4e5JXdCEAG7IxAjwDCEGyfwj8TBrtJTQHuY6k3k91E6Qrt1JaUtFvf6x4CMHKj4aJ1i80cONFu
KEQaLUErBALlkEFy4iHuGJPi5Lg17i5M3flToQeOSm/7C9Cz/YVSguUiWOSxE6c1K2PYv5TVnM4H
fwWv+b0TiLYtmIdb2+Kvx8XLCRQQf0eJgG8rzGL9fO7jsEzrOHwcg4Bd2AHPFzeGQhN347GAv3+m
1q/E4PchWLYU3cMMJ3SfEZNeYtS/Nnebxha6fYAm6H6/fKB+5JP0GTSnlWToGPLU5N7CvsAo6ZJu
/nykDcuAVexmqYVW++7QhTK1gZWg25362BKegw0CB08qiZ0Kt03dSzfq/XB4P9v5DrkNuvooAHff
E5rcjYxEWh3bZIHzSOIJrzmxWtSIyXQNXS/AQftSaRsO+j9ccdE2gRJst6eHyuvdWANNgyME2E0t
Uzdk8kUxdMwcdQK56eAK90Idsz+5/g6Kj/nvvIKstvvGHGB1cEqFr9awEPrRiaehXEIdXCkIGO5Q
5V7yj9ke4t+DC+P9FZJsIFGAR93thBXMFVYIwR00Bxk8pNTwW3rkWQz6wSYCjhZEHVpur4K2uXDJ
euVl4u6zgZQb8e/M7qPqQVWou7U+Uc8XKVIb6vZpAWF7KO0aqUtb8SvTuvGeUM0jegfF6K7G6U1Q
aTL69YnUyNSziURFzwaEQ9XNfLBTuswXNrD9p77NK4hPWDfghZy7hkcxpY6WGLDukzlLE42gT9Fe
itN9fZS/VpSAEnGTePmpJ0kvW5ig16dgQTwgksx0gWzH96o98Cx/aa14HCgGAMK8HIX4uNeFkrJT
hMxn6PcCqW8QQ1bf0ihsowypJuH7Zw+uW6hHIUPeuB+71+UuiEntgwEjjmP7AVmmBl6Y5JKJ2itL
cGt5AP2HohsQ/W72BEvnZIFH/ckRTVe6tA7vF8fzjp5pLoG+r+wlaFDiKom9Et2NvUDR0aDcNo2L
86xX/ROlIGsobJClT3UlsgWhyEcT9uEFxcD5x403B6cFtEW3Qnj/cYfLmnqdu/LTkrjddGTj5E03
QR0SdrBwDh+ubWTEz7FiyBFriDZxMY9Q1r7z1EOQNvhXG2YDJg/Q0N3yscyJyEjb5jSGrPtoabJ8
NGZUT28f4//ff325lQGsSUEVwXfgbrj3y2VqvNkPeh8XzWaWUt+voZiqQ+owNX1SiMD97QBScG7G
vuNXc6W99NSHSq5XfIWcEzeRsfZLZwQZ/9YOQdw/tmbxhM5wnENzz6JIRyVFiHx63IZR5cKZFShK
pvTn1MFGN/eksn0G4UTSH71B6yB3pxVO911T9/KrW41eUNQw64k+VqHFngAKfB8X4wrS51Xte5O+
JSuF/W9lVkqf4HwUNT9qiVT1rDYBcdpsah1vuPH8NabwQapAF4AnQbIc+ZA440eoHYhfhL2rYBtS
9aP7rfLqZSm1Z5ehpC2LBZg6cNXJG2giHqeUMKgvPcfAmBKcH1xaeNUFMQUYPxsPKklVkyWjQlt2
kl3cJ795rfypmCnR5BY2AWuYDyqaZGFbnw5biPjiHhvRte4jTZB4Uch0du0NlW4qjg3WX1xMsoPV
R+qErf+pidIuzSLKgyAHSl7TzI6IvDHZwBEIcL9ZEbm3IajtMKpIPSSXweFF/oDZeWs+NJNKvMzO
bhfmo9Tq9xwDBL8mq7O0jzpJ4O+BBguSPRyF2I0i5TNUaW0ENUAxN/Mal2PCGdZjUA3yrnfa2Bwc
J3K8E2pM235camDqV5WuInGl1ya0hd2MQz7OUI57tyBpCcRADU1D/oMBWmyhbQbxZbnHKHDockHv
1j8d9GOi7zB2rrAtT7WUJexVmMwQj9uJcoF7NqVZOqO2qsEsJsbeJyHaH6WCywUiGEVaI6pGYyOi
6MqHEX8g4+K7MOuLRhh9DMsCIasAd3Is7ECG+I4vIA9DxFIrr8BVtLEPIuzq9DdElXX62PeKqMfU
nyaRufHkN1G2ts7QnprICeKfA43GvpwTf9S/tBN2/pJVLZ05yZVPnO7jGI8pXkCiRjtfd6Pxh2vB
x4XcakgduqNwUlaXlTK8olcNTnXvGRpMz/tlZ5/H9xFy3X0EYBHPfJ49YHcH7XA4l1AxE/t1AXls
vBLo6zF8a66ZeblZYagr+JvPNF9ho8K9bKwpPqZsorxDo8HT3fwHEIP1ih5nyPCxc6rEPwBHlfTR
2VDDQzuABFdSdF55XqfWRwlsF8IP3TxOz1oR3ZVjamiUY81MOkOaKUfo36rwVqahG5pD0xtffgML
FynCKphj58pzxPi4RhLm4Fkg1qSymZcMU/ph7QaZPEkDY7QHt7ce9JeptC5bM70mEYAhyA5Q0LBJ
hvfuhNbYqYuo9Z7bUNil8OAPn2Yw7tv+TyOsIgrCOB2vZ4QwsIMKxtDNxngZkuPkszgtAZ5U8qPC
Uexlw+Czb6ozo4+oMDOM/gFGjPQHblWISlzJ0FSnlaxGlZOqZ/vVCUfKy8QVQQjmjzbBmLd0sm1J
jDfE0JbbRh0oeCf8Q+D1jk8ztGLqvoDBa8QzXySj/WERezRfeS3s1fIglhp3JDl5mhSMsY6UtoLE
DoYvyLF/nkxKxPdkcdmcTytNYVaHTm78m7QaCUXZ3CaWHSUbST75w1XoWXA2kn5JSj8c+gefg+WR
yzHq66KLoikteEPrIYcv59A/csRa3wAjsU3pwYllQk5kxNltteiVZasTNxykmdSMj8kKDWxmWzk5
UP1U9bcN5KIsi7TVaw5IrBr+cIdXnwzRbL5epamEAY0jmaQoYtbSIAfwMyU6q9FNHOH7ssyofzIz
sbFtMuxl3L0jTATLFQkEMkaixWPuZ12pGQugasW0FpFsHDjVphAATzIjQeNGD5hZb73qUmiEP8I1
ILQ/5t5EYyGnBLTTbBxobzJ4ksnoqNM28nNpRiuhxYlWPxZQP8AotPA7NvBbvlazgjZb6W379mQE
QQ+oi80DE5rRLO6l+AF/rKluoAvWoy5YPMIpdw0VftswtQoWe8PcR+SmrxxqrtZARJhFNWjpcizb
akyyGN56ybW7eh25Tpu2+5SC+DJdU7IMMmPpSq/bfnadE8eshgc1mz7KLMcwRSN98nVIg8bkM2Js
0KgLqGHFCqf76K7BoevcsxorYs56F5q4uyTQoXfd9+NUH2XMk/gHbyq+3iNieBpwYvWeHk4zXxIF
Q+oJtJnHKkor/QF6FO8p7RpcrOUajF+SKSA/K1jWIqoXJ1OVI+DG3g61ab+ihqAPajJBm2mF/sTJ
YW70FZKr6bmXcp5zIJhrcItElzi8RmdlYhmb5+kP79fwd2XniZ8CbvrmJJFojW1J0cHF5SkNYaxy
38TBvDxrMkHBAeJRnRySdq3xFfl0jWJMU1SZJxEuPrtJRsIQz9zjPG6RFKLm6A5srKn5JaDYDnzY
afq6fSbglrcgOusl7hBlJiNvyvDFre1RgfjWPlGXJmPWjNUaHA08trz1od/+4Vl0vIE7hSNUYCjW
LZgch1RqM+UujEV+yqgKERY2gWKc8YGPzp3T++MDGYBgXjsx6+utHAqbjPe1Z1BZSOkW/mrCH848
Mhj+cMbDnwHi1JocERdUPTlVqEQWRuCS3ZmKssErQoRt/CGWk0/4npzqWU66ZeVCPMb/NChO51yC
CvveXhQqTlxqgYHg9g7K2b6w7yfmem0X0NPcBuLbJGo9wHt1TtxiWV3nQuF5fotAIxRdAJz9UPMg
3fVl2elB5OivS0VPCUT/Dl6UX3/qUKUtuQLZ4RLX8bXRcH0AtzJBowMklZej9TA8DhkJ2MntB3MD
C5k1h/WXd88qGV8Axs4vl7ipYJOF9/VmSLeHYgcYXI2dF7PTLOdfKHH7okMX9HihbMfv3RXtoHZv
4Reb0BjozsvnccORO7rG88C1Uj44sYPjNpLr97dHOb/+gzcHtGEDHDbXm91NDxVBH4AsAHm7CtmD
K+r42Qm3FO+aEqT0efV64eb12oDgCIDHiWg+XEt2yFigo2b27dIAGQv5rSdqct2j1L1GwNx4kPHS
X739gK+8K6AAcKveTMrg5LJbFvUC2U3tjOKEK40+eNbQK48Re2EaXx0FHJ/N8wH8sj2biLsz8Vuk
CJ9UMuFOxFsUTa7Vzde3H+aVNZ6i0Y+mIQAppFNuf/4PpI0LgIt6dpEnD0VtoUInytEkAx9Q+FHx
9lCvPNGLoXbzRnxGFmCb8tRi77ubqZDf3MReamqc3/4BLsBzGqxGfLeAgF8+EAKFuZqXqT0x6Iiu
2tCg10PW8GlJZP/MotEt+NwEj+99NLSVNy8CfFibzmu35pVx9RRzKU+azJwWg2eq7cbmXpLhnb2t
jZYKunIEmAaOAXvmqFwVrnZEdac5xnFfO4n4gZPHh01mu358+5HOvipMIbA76Arhq7Kxo1/OY6Ng
OQ3caTyZCpVg4LhNzlL7DIt+WAX779ZowLcQGmFIaSPgJ0jK3aFQkWJ6tqmH4ZC+ntN5HTZLFdjP
h+DDvv1kZ5OIPR0bBeA1YIXwj9xhF+4ycKQphKAYNEtc4gYefUqtYNfdIsbf7x4KVyCw9HzA9nA1
3a2LFIqj2KwYakxxRjUmYZkRDTt2XF2yrX7lqTbMEBRzONSgLb97KmfuJkP7kZxIUCEfgaBkZZvo
aQrZJZusBK/+xTnio7uA3BxQkzbHz736mZA5riUaAiezBERfgUfsfZfuEKvMq2v+7FOveqQ1HrQU
a8fa8u05PdtGttHRJAAnAHQUGDu8XJgtqUfmU4xeA+E5AGaKUXZFl2hnr40CujIgS4yBDJ1tDv7Z
F3HPViFgEe/kCjQDYNhpCheuIBf2jf1HBjwURwh8uMEaxUGyJxFj31CbxjU5TZIkV53fr1ciML8N
ZPmHwMhLU7dfIxClbG0WLEYMBvu23UONcFCLZ9lWJ9BgukO3Jkvh+lofaUovucTt5w9DgaL6t7Xs
Aw3dO4yz2YAvtAB6Rf0b5gKM1CujNb0Ad57P32ZhgMJzcwzGTWF74H/eUgoT5NSZo+Q00+i/kZLb
oY26DPDIo43W+sJgZ4+E+PNt58VGhV0R//ByMCbht1x5q38Cs0DZYlw07lkdE/z72wv8/9HTfz+w
zX0Uek/U1RttHiY+L0fyRoHLRJrUV8KT2NoPuL9Zl1+5Ycs2OGnpk+lLGCizfhr6dQ6+zsqThGX4
N8y/Rze3CYsohGDwngm0/++gFqRzHlZzLa8QKbKSh5Zy0ZwMoB5gUSkSxMqOI+E4s2C2yZ+TAHEh
B8HZHT5Azknnq46iMVWSmPcsn7yeVgVAIup8Gj2VIElSLV1TLpXvTGWHEoBHWSpc+8egZA6KTngt
rspNn4SnySLiNe9qn1jYC5iB362zkOy2Uz0Mkrowxd6fNKtPc7WA8QMxYKPq+7iGAWAZmsrqjAnX
X25CAWkDfJQZOpEf4iFO2g90aP3owUMSJHLjal21ObFLDb5zgtv7DW1l7zwtYcqCa6yZuLsJOK/b
bPX95Ttu4Mot6RTL+Z7AqT65Qp8T5JKMaGhUTyEE9vpPs86AIgBrBnDAl3Gl86ppmvZAoQXmxYqr
FSlrucW0UJHEf0Cow1Nb2LiaK5e3vTms7SLSHMEx1Q8qBEz/fIrAk2xJnFBkdokQlsSMZ5PjUHnk
O5a8bBGPzKQ+uWuIKHsI6JCp3Q9idJ9st0SfHDst4mEUVeiUrGq671BNuX/Y6NVPC3c1DNdgRQp0
2dmy/MJmtgNcN0b2mQEPTYs4ivonHq/zg+4cA6FaODu34zKG9iCREknhcYLjK/OmpVd53EooZ0WI
sO+89SaR3jYiDn+6LVDqEpWpIF+AtATLba3S6gfME3lVkC5gY542KV0pTFLiNcmbKRw+yUhBsA1z
f61zV7dpXxBiLbBZSM7YdETeRQrfaJe66hN100XewETTIr+5XtrpaHso+G5oFfjfrA5W8SOqadKe
AK0p5xQGiy+ephQbG2IzXM/Jhj5OH3S0Tv6aT8Sh5DPEn96ntl0CfhAwypF11mFbrL4lqk/4byCq
7WfOKDdHt2ts+GGp0Soq3EChKy1XjleyrHDrfpKaD3XeOiECeiY2kxV3UbeD14OjHLSXPDEmd5LK
xtx33HG/tSuYIyePdgmfcnj9xeYhnXWsftpU8ucAyT/1h2mW/UebLIR8lFCdazQymwVQE5/X6CrR
vYKA2Y2teA7TZgmLZUgJgviAw/6Z0XKbssUziJFDSrjvZqnruPNtFwxtf9vEE/sEexeXobGNlZ/5
fKmiT7Nt0/EP8yrwRudFuDTTUyWfbcDUeF+PE4kOkWtc95j0TRRedz34pregFsrgkXeVvvMDFcJ6
MYIe+a6r6MAKMkB9BkCoB/7mo4uwPijoHptPAPjxNQqgyyTD8qIxTgKUnHdhnagPcEZHcyOEc4DO
qV+RNCPwAG5L4TRQciOwDLZQgKO7K1sjirX0KqCxZexCtZezQLZ+Nvou7wtg6EDpacySn64Trs0N
gDkaHhYcrjQf29R7hAuTCIuVtqOAEYI3wns9SUYASrYedO7bjScG2CX5MAcCHYwoXqIJwXKLAvfb
+N2UM29AfygwzjBl4dgCJ1J1pP0iAekXoSxx0vAr6/VtskksYJPXR9F4ipOKiZxRB7kepmEhvFxi
j9Nco+3xy7NIYcg0BONoCQJx43nI6/Ujw9lFS9/X7oea4AZY+oT195AuY3anZtRXSGjqf0YDuIRl
4LPgAfrwroGr+NqKfJnd9We/UjQiQ/jHXHk+jOBKOqYJ4COytpmzIDOjjLlSJazJ1y+1qYV34y9e
5R9jYNa/G0e3MBKZuinEXuxXUeHQOf4yg8fc5wuOJZKJrhnvUOa1/xnlIXWHenwCDOv1jwTtsF/w
S19/jHKiX70R+H6uU9r7+RCPEWaONKItrIfjATe1GAApc8OfjWb1f7xJbJqPI6TIyKzxJps5K3SY
BTCLhN7YSiy/sXn6KgNrxZKsC2aCDhp0a6Zgk6u+hGZNUsSlrCv0AJJ+SWKnags2w3Oj5CbhYPdN
iN+GxVILXIIG/WPQt+l36+vOy+dQtTcDOoYrWP60v2apZ0gxCxi/I13BW4eMpJVlZcq19wPWRXDx
xyUI80lTpyZZw9N0yUIN4BOERDTSjxYIf4WCOPZt6WmWpDk6Iys6+F40qUKAIn5TIbHhZ2vXCXdV
xqcMswr1yoL82l+CuW1w1UTENPkYdWAjdiihPoQNCNSlLyA1yxmLk1+xp7zPcbC4TlZjCaOR5uHC
a9Z20ODsTBM24J454BOmVRgWrLLTkI1IUEZuLTbvb5WJYx+wsdv8Tkfr/VdZxM6UYhjNl2nSaKJO
Kk4/i3qJP8bSCITPTqu4rVYDslPSG6NzyKn5fE2HDp0dByyN/5Bz5eFvLQyqi3VAtFTR12S+g2B0
FIUBvfvkdClmBgo2nL9JrPEb4aYhWWHqEAcGQMOB4Dzr5iTDCnEf+yBSv4YaZzfYD9xr80ri8Cn7
xFke8ebsl3GQoZMRrtVHDwkzfaZj4LCZ1rV/x+s5nsu0H7gsXJBSTNaBG4u4HWjNvnRIlpsybqGx
3LZWtGXROOmxMUxciRJMOXqv7QjTzZVq+uQGfKRHCMrCKw+Huw8RatyH2WCriB6i1siPQukYvtOL
APo/ecgvhb/WiI1m5kAon3TbtiUIAZUoRCLDj32MrmA26sEX+WyX8IkNjv0/zs5jR24kbddXFAC9
2ZJpillGUkkqSbMh5Jreu2Bc/XnY/6Yzs1CJOgNoFi10R0YwzGdegxQw4sreQQmrcVFMLc3vQnFC
mPrUZqE3aM1LuToj0nIoV/5p1sbrQ0jHMw2MWEE60Ce6sPf9sFY/BTJkNodF9zm3sZdp+9UdTFZY
yPWnWWl6HKRO08R7MKCFdqQViRyClAZ9uSJL+yLAT4xnuWutakKaw1FFqHd1e6JTsBZBv5QpaiQz
ZZwQEbrhGXHwlQY1cNxHJJunguK03XkBPjRasRtU52VhO7n2cFQTa7YvlJX3oW9h4hdKMa7/II9t
f+3RlPte0QL+WFv+PNDvmvsx6H1HNUHdzCuv7Vx0f6ntTH816gM+d/ZgvrQdAIGTptWacUznuX0w
BwU8F34Ur6bqLVpBTuxk9HHbuvpM4NV+rYp6+GHHBrQeUy/nTzh+dvWBbN39XHaL/s1DXN0N5oUy
SABxgDA3r1bx2QUy8DxjkIzEcV8gUaBLLcU7LTWl2FOxNh9UZrnDrrIVkuPNrOqRnpRikfq+owER
204st55mdyqIj6cPmV77CYYRZfGca6OH4rSsDP1ONeVS7eZFyI7jwdsXmrNj/DFWrsBd26vlh+P3
8RfkW/2GO52YKhiVgReqhdraHOiD3hlHNfiLSENH2mt1l5vemB0nUXMawZ5m010728Xye0LNZH0k
ALfELjfTWf8SrxKxV2bbx3ddV0zqwCqV1VFWicMHxTsP+PJk9fEPIBrp+oHAIW++Wbboxb72pNWH
k9/n8qEFDzR8gtvpdDtHm/U46gyrtJoAQ0cu72Bq8tHbN5qRVWHaD2nyTbZ5R0Oc9+S3E/sqfoFL
vNB2qWNR70dNW+AzzEU/QgLjGXkEtmR1u8ToXe8l3kS3DmZrjPW+8sauOE2Jkxr7BdkAdXDiwvAe
LJp040979Aax17zC8A+4qA3ObwhDE0ugi5Uqdd1OJb68/RjFOXDwH3aN5diTnyRCRWpdFyPCNHH9
1rN/+q+Wq/Q2CQqoHO1jBTnQeQLZYX0hzTbEnkXKnTRIZFxPoeix3YoQQfaHe2foyHRQrK6nqF/0
urhfhF566AEutffQ2zgfhu6c284hK2jT8lw3hJug25M81PKplXcEEe5CAaZt651OarX8oiIvzBck
iVYAEEacew8uAejXrgGHv3Uqax7LRif7yK2mJmkTOOl+x6e1TL5MYvOFCQXpSxNWTTM0LzYsUT2k
ytrxxiW4kM5ofY7Tsm/lLJqfazVBucNRpvXvLbJV8wlnP1Ee29VIJZ01qxZPiPPgWsdWtAy2fOpp
ib+XWSPLqOa6nJ90WRH6maJbvHsckRdf7bwKkOvXBT+vddfhNVYGRmw39j2YmKw/5JVvqzvoEjaa
k+Tg9Z/KyLAbxvx6UkFiz7EeAuW3qkMNKDffeQsp7OfSaocV3Y3VdZ6KonWnnZIj3nSgEdT6t+0k
LZ5A1iuyX3KorXQPwsvzTvUs827fJFr/3A+iMY90FFsyGa8Y8IFvU6BWT5TWdH6oqnv/IMw1T5cA
GwO/PTl14zc3yg9XtY6NwsyCQycCrQ+u+bwoMKOBpGuTKiKVdsYXg7z/ha5f+8sTU/4ZC81bbsHX
5Q4K/dom4EjJw4e1cj5eG3e9GdPmiJZBmKHTut7ntq7rG8WOq5IUQlsabxCISgqJvL3nozh13Cia
2WWUgdrinVhx+AvMsU0BESGBe0v04HpStCo3bUgQ1C7kyotFlJ30AbCUWWTGCiu71J/6/3kovr2X
tUvBHGEHkHgbr3Gj055Py2qp0dBQzlFzQns2SQd2o0FBtOqLW0D3630BSwBbOhSO2BQA68+HauN4
HHWsYCJRNd2usPzpi653w252MvMl9r1bEMPrL/av+PI2N6rkwKfPxxud1RpVMuWR03MdlGpZaqQA
a+1hrGrx4+1S2KtjoR9HJREM11V3KqWs58eOnkf92id0wfOmCjf6z5d0Tu3P7x2LdiVleqrLMF6p
wJ3Py/amyqlaq4zQozRPA13lJwIocb8Q8t04ylv97ry+t3VG0QKEDUO1XrvY9IWxLgX7ooy6scr0
/VxkhvMr62IAbIoK1se+RSHjgzHHRf4wp035rI3tPN+9e76blj0kEwrq3CcX31FtVMuEjDAyhzbF
1DGdXvQRoliQ2zybb491fexwoEcCHZEEYPYAq87XFkQOmgsp5cdWzclBDo69c2XmHN4e5UrgmjY9
QSV0eDxSN77lxTAxP8ExKqOKmgVcEtUzmhS7tdLmPARX530ZfZziI/KwrAuapZfrg4fsm/pAaplb
BGWJ0u7U6jlf9SUdETstcK7djegcZbuYF1WeiNa97iUW+aKhSpQUfrHzU7eUX2q3dbu93cm1uWul
NkqEwqdu+YJ1iT0/+ARi8d7qm/dar/7fhKGfsLI6UJrt/Py3/m1CZEX7qYqyqZ72dRLHIcHcV4r/
Q/T22l6fRKTruV84GdAgOSbnI5mZp03U4Kto0Zv0UXfVD+VmzKxfv71/IOS5uFjo8CB9e9HNzyyv
0TXC9ghYzBLGsebta966MIVKeGO/bL/5/BhyXboG86J5wBV6cXNKWVA5qcsm8mvffoRi5YdFObwg
8ywjokxzD3jvn7dnd30Q4GBs1zSaJDziVxAMkuyG4mUVIfTj7iYzmYgmZ/PdH4v6GQ1pCiH0yEDK
nH+sQhPI3+RuHWHDkWF2tIzlKeVIrDsTOY4bl9n1Km7NKxitFtEUMcrFHkxs+FVJTYVuu7S8nXAa
1E96fRruEjUklAJ7Wy8RvfLX91pUba5hSPnyB7w7e/KiIWP1TKyQUxO5xLh5UPU0Y4Kx8wx54/q6
2vwb3ogzho7bdtKuZBh0y1EayMdojdc1sGLgeV7s16Hghr4x1NVrzgUJS3Kz3QALdNVkslfQLK6j
rdEqG+MfKSsnrKbGwWlQ74iS2/nTOzck40D9hKmD2gdp38VWScwe6QsxqWiysmWv+bXYuVZl3dgj
V9t+407Dd+dYo76gXwoip9RIMl0jgZpRRPzdxsX6HaWayb3R2b/aiojQwsAASIAYD5K7F3eHLevM
WBpbi+IFrkw++l00lXBcg6ouVJDT9EqCJUvU3/eu4SZfwZHjOQeeYV/sQ7+gzoGZQh+to98fNvfb
sG3L7N1farsyWEEgTmBMLteQb2hOJZhP4n/k2wdJYXgQxS1wxPWX2p4SFpBdDoDm8jTXGXWZwquH
yLLEtFun0Q0BFAy7t1fs+kNtx4hhgLzR1rnMZaqyKyh9d0Ok9dIN8x5J06W4T5Li3gNAHpa9deuW
uj5XLNkWR+qbqyHb5PxKdDKL7pjkWRT5tD5XfTce/UT2h8aNzWgsmuXGFXy9ji5hDiixbduT4Vy8
LZDcRl1p+hzlg5+ELt7WAXDZ6d3rSBhONghQgTuDCOB8ViyeieaCO0aoVyT/uJlJ+IZyS9KF04zx
8x2tRP+TXjfWLYXk7T989nRud/12XfDIQDm6lNqfh3hqZllCVlTN+o9mzu1+TGt1r616dbcSBaKz
W+T2i06afHx771yv7DY0GpTseGhO/waB/4l5xqbKczVkS6T5PKFlPa2RkdMVeHuU6yufUfx/XV/J
Fukmn69sWqS9MVbzEmW9TssdfbYHs6NL7A/qVk762lBo0wD8BAOFeeTF1tQ9XCRINJbIaE0r0KTs
96uXuWEfe7ci5KvEg89Gvs2GhFjOBt1OyX/WDuGOhpgnh1Sgl/kPuIRJS/vWETJEZwq3m7hT8Qfd
neyfcyrnMtSSsbmhX3Z9EMl3QEQBIGJ5gYmc/4Sxx6twQU45WlJ4LwdjRlD7Z6lRr3Yre1w/LHQu
uxv819e2jPd/Vw0sbeCv52OaY2aME52wyLOoC2oTZEcMNtx3H3mAKOi7QydGdP2qlLFS8ounklEE
DJB90/T07Mvx89v78kr+jQAEnDVR3fYSWFD8zufi0v+u0a2Yo9RNIWbXYuAWi+11UU9Uaa0pqMxR
/4g8y6pzsWplHKyOg9Zd6SZiOOg0gPpjXPagSdOmXcZglH1a7OED6PktoQ5+yeUdgZk9RQIMh9D4
u9jXSmSdBXVljtjIy3OqO8PfspmzG6v+ypbmlHIZgFYEAHwZBGLFVzgpLn0IOtm184EtnThhockq
26GY7WR3naXW34uBLsQBO5JBCxvbi2+lR6/sMNBgNvewRf2AC+P8q+h5J92RViNxfe0dCkfr7pEt
7W8Eh9fP5ubwjJgQaYtFznLxqCS4eWJvksmIeKMa+LBapoeyLw0/SDvUPB7TWIj8EbRGsb47gkMJ
zWSOpH/En5cE/SIG+bTGhYxcvx/vqb5/8vOqf/85JbqhlGVtKSZ1x/NVrE0jWZac+ZXDirB/qlf7
TnDzvn2Eru9bVGR5nLkCt9rmVZVAghJJmhU26kgwuINc5uaBi+a/vXexnn+vUi4CXYCDqX1sGOsN
vHs+KQsva1lgQxHp9Vyj2FaSM2SrYZ1iCLC3dM6u3mUGAwlPGsYWQUDkYgWLOsb2NjHdKO+89p+M
fkt9nMbBE3fazGW/g3Yn3Oex0YsXE9E8M0xRyS/DCieFlkatXfxIAetTRlyTtPrAc+C2H9e5aL8K
w+rHsKuK9BkvJ18GK0iQDprgOLfjvTEWRR1m5LM/ZrVk3o5eRPWHPnhZRaVflt/M1KYlu+CgIHaI
YsFusc11aaIeqRUbVIdWZF9oIFk4YtAErQ+9I/3ku4Lc9tdSY2n8xgmwKqOpXpP5k1F7vPcdRO8J
x0+RWc8K18zufiLLAEplEL7uJxUPY2jp9BKCWbrzLT+Zq6PIQlvE45uJ91Z5uTiK1TQtaZ6ZdiRG
7Ss6nBbX6XwURQu1scTW1W37Gxfd1bZlRG5SSi983o1Ff76P7Mz21Dx2TkRnfdUPg1sgJJ7ADMtC
UyXzu8MsUOaEiIhIg0w1OZbnw2XW0pcrwKaotD0EHFpgLGMV/377KF4FAwxCFInRC1f39mqeD8LD
MKYzntmRwF8ynGp9yOg3G+ODVaTdR60qnBtn/+qeZkBrW0ZyNc7ipXYU+g1+66UzGaKPjYQVAzhB
k9u48aleHQXqCxyYrWVjXXyqJS18CJe+FnlzMX+UYCK/rktyi3n12ihoDSBXTf3WpgRzvnh0uNPG
hBkdpabR3eVarQIALLfaC9fbDq4QDw5+z1uwfak/avjJwn5L7Qg+ubEXtFnDUq8BBFjmreftekI6
grFbMYmiDjDliy3nAkng8Bt21MutMSih++UI9954ya4nRGWMUimJIKnnVf9iE/tMjFF5kRXLrPyi
+QW2a7aet8UfhHWs57d3+PWcuPxtzqzNA8Brc7EVZpoai+w7L9rE0r8B5s1eymK9Jbny6ihk1KZp
uvy5VJ6sp25o23jxokn3ppduTqd7XWTy5e25/HvmzyI6igKU0LmSUfTFWvHi0sPiVrNg3/sRZV/o
hHDtx+ywQs3qQuiIpnlyzdX7O0q9+F8sujk/pok2/qoziGcH0D5KB5Zcxvrh7Z/1ygeFCLAJYm4S
w/w5PwdLVSZeF1d4ABZ66nyUi5qHu8quCvV1BTn19+3RXllqkNloS3EtUiK54sUMydx2i2Q0J7ND
zot9cNC52b09ymtzggWDlR0Fd1hg29//J1Gb0qnRinjwowUnXiCRuRZJVA0Auk5j8PZQ1y8ZhhvU
pKAf4ORNGno+1BYvAEfho9pWXh09ArBAoZdyynqtDkRia3/N7OYhfGUVLYpM1JcQndkIAueDNm3Z
aBCy4mgCahq2WlmF2rTcEi+9fl6wwNpM3wDrIFJyiaNPwSCOuhnHUQqF+anJsuI38uwIZM/oIXbU
f248Z68sJeHkpv+t01aAC3Y+q3aRsWUjFxKNyeQHQkN+Qkuc/ItGzXHn671x3yxzf8v28LW1RHcR
82tcLCDQXXxAzR7mNF7yOKpLXmrPW7Sjb6hbpJ9XR4Epj4KUS2vtUnN2RRfEstYhjkxV/kZTZtmn
nffuFBpPZnxReGx4AmjIbD/iP9u+0nq3IDYX0Sw9Y6csQxzK0iluRMmvHC4iKHThN8ItvOWLBUs7
+Mo8aiKSlpGFvWFXh8pR8DlV/evdZ+tspIsXTbMRCUliRvJbxMxcFC3uE83mCE+NVwE2G/ArLWMx
7N8e9tUJsuPRGaUeQcHzfBmNGrfZVGcZyzmLf1Es0IdwmfpOhc7S9T/fPRiUM1xathYkjeSLMIQo
GGs7yvGRRQjy0cQHLdDrtdpNg2bfqB29sgfp8xBZUCvjtr9k7qnMVCCH3DjKZB8jC9OhqSCd9+r4
845S+KbKwmMKU/CyopD52GAN0hIR4vVgZrUcBLozybt3L5vPTFB0J7zaypnn32gUReMka5acYnMo
N6dcf181vfnQ0LD4+PZQ19cgaAPuWBII2Prs+/OhpimbAdGqNZpk+j9Lxn/93HxWWoO5SVkc3x7r
eusxFp4Omx6stkEpzscyOty9knlZIxh8Js1oNOPRhveQPfKX3dtDXe8GhtoUsEmr4UlfdjnXzMm8
wjaoJJbOEvZgAXeZGt+rjvlv10qjuoQEAAXayxZ70jZEVutiRZXQx13jpr9H5TvgH2Vz4yG+ng9V
HUqiLv+jWnalW7Y0kFZ0chPkaNRHjPeKU+EP8kaN5foD8c7TgSM1oYKEusH5ByrcOEvxQzOieEyt
QzvgH+srrw5KXd1ykn1lQviuQeflA9Hzdre//89tTmO7dqtemhESEpt0jQeAWBbuu+N5OIAbk5el
I5pwL3LI0plnPC0dJ8JyFdTT5P1MS+dR5dZ841a9ng6xL2kQXGhYc/SCz6eDpJMyGzd3oyHV/xnt
JLuzCmndCGavQwgG2aYBy5BQ/rJPFScLajLt4Eao69RzYLYCAlThqG+kyQKQN1IoSIiA8XyvDOAm
vY71Kq10qIdkRRexyzIKveh7oAiyH7q71J2etamNb8zueglBWBGhU+SjpgAI6nwJY69E0qAdCVVa
coZeyjgQnTbduINeGYWEdRPpBdvuUlo7H4WbKa0oL8WRtdr1brabOkwGKBRvXz+UKfjvnKdDG6mb
KxyQNZVE4+IoaRCCurTN4qgcpevvRD67+t0w6+kvJAjGl6ST1p/aajRxMNNx436j2t95m5OZvwI1
sUGnh24xG+WjkVE4eu7LVsxftma9OMR5PJmPBh3fel+4ZR1/Iln1nP2ixfp4SBCDEjCPNHN6BI3X
2gePHlgKg7KiqKYbDQSLpC6G5R7O2rIekbiZ4B76lV/sVZu41k4bext8etZMwwmtzlJ/sFd7dMog
b9qh2EMfnNbjhDyNunNmvYz3OFRa1ldLiOUlW/rKhq6HhNynFsE46642Rbrs3D4GGa6tZlXK3SRn
R92VSi/tyJQUXUJ7qHpaW2vaDc8rZtImrK1u+Kev5NA/Nk1Oz9Dox+TrIlDJ3s1arJIP42LicFBB
PO13iptYQVkAPbxzu97+wrlvkzvHFAZlf+TKwoKY0trXLkyCD9I16k+DwYwfk8Uwi4ODRHR3N7mW
WvZ+VkokhYzS8qPZQugs36GbX65BUwuEofR8RWPIrcbp65zN6//ydkQnSqiptMM51+3yWZo0eTAU
NRd4c9JxACeWYG5wtULaVWLqafIQ8XIBy3QzhTkjdLC5g5CGVlv1CaJi6j+m0F0ruhG6kE+ULlP3
z9oJrfw5tFKm9/qIEujRwrlK+264Cu7XiF2dOK2G43YBrGGYZfBL7Tw9LEu2yDs6vt2poz76zR6a
IT/VnY2oIGRDUYEKtaS3U+OiT4e8xrsElb2+lEfdmuCqVB2tk1Nu4zR7chtgzDsbfaQubCY5ijsr
Q7Vhl4LRrY95SbB3EoYueQEtPssDqff6d1rtyXhypQ4pToAb/dlrdu9RH7Cd/k61fT3u3XpIkKky
8nZGYMRUn7I4drwQIHyaPVkzBYcHWw36dCImn/Kjk6OStUvBmqKHtWCUakNPlMgZrK1VI264Ctmi
f9cVw72sZBGHa2WN6EY0hqrCfopFEkyDmcuddHIbypMtxjlQ3YAsU+vgY7vpY03laYjFLIOsLcz+
zuzBJ+8KZJWHPW9KubJXWq0LCdpH+CMC79j52fUlnzcBiyTDNfM8ee/3zmoeJk0lFsqA0zLul3RO
5mOT2PCLgtofjPmjT0MIc6Il1sQe4e/W/R5jdjo8+HPhfU/HXPuM1KDvh1ncpvVDMqOvEGgleqXB
aMISDAvVs5823cQq9JxZxIFKIOqEc5PqXSjI2mKKwI7Mw4xqyBo6JTQZghUrkwHAWR+jRooyH+pV
5J8NvRWfDXRR8o8JZmL6135Rlfyos18Ql8aEfT05XSHdoC66ofoBF32YdjNgcLGzlhJYe+ck3jTB
LrbLtQ8lds9NkFUG/tapuXjfbTdemmMmrc6ElEXH+9eYYu8JrwDKYk/dcLGeyzEt/zfZrd4e595c
S5gE2vwCLD8vnlcXlPkHF87McjdQ9Oi/IPLF988Gv3npxJzoO3hzPrQKfcGPuMPl4EM+4px78JEN
/DnYaxk/6rhHpvuccyx/rbO+YMxWc9zvZzRj4XVDjB0epnGdoDiA12tCeC/lfNxcSp39ONj6EnBK
WEK4aqn/g2s4Lo4wMqc+GDfDyLvVja3xLk5dfzj4Jd7yYediVP4PnY3WC8dlSgz0ORWiqGLxdWQY
KQSqB3fE0PdT1jlQIJt16Y1PjlgSdZySWVsOZmEM31TsjsuHBLJZt8+0tmx3M58Sy/Vu1ft9NbdK
PmVFEkO97QXu1KiUjYOGn8gkrN20iBplSrtvrAee2hg6V0Vb8pDaSyFPWClY7X0ph3GJKkTmxAd/
agsr6NPFNR6KaYHmNZi+HCJPxcb6QNBtm79jw5YvpTRn89nuOt/9WrSeqL/F1DS1z3qZTkVUTlo2
BKmStjpWRj085QqpgoOTQxT/itHbYHfh2K222DnxvC68+TKGq882QdcShVQPEh5KM+1OgzRXwdjx
erHJtk3JoW5RJj5UXVwsoRzEaDxhbKLUwVvatgnHNlnZWAoO79FrJwe/y3IdnO/cWGPzSyHbJdyw
0coa9l0b1/OBrtj4xRWrtYZT68XuaRC0C7geEpVGHHD9k6OcRttPsh+NO7/HhPknXLqyP6Q5NcgD
XYVSN4OlEEn6MVvR2IXw0doljSZLqIO0ybSRVCTpR2gvUT9SG7mAITDWWBQ7u+fehEtTN90Hn/7t
cHK4CT/Au2rrX5rsk3gHG4/ENiOO+Ev7irRpLDzV3AEI6/AbGzOQlVBPa/uPlSU039DfaPpdyd1M
yxRlB3tgnZVZ/uX16eZHX3jCD9a+wlBCVLmehYjOjuJ+yHOHf3mlv7K3G+QdA2R3xzig/2dTFMGU
khDTFsoN/WY1vrR21aNvODSQHZXy3KdEG5w8Wl2V53tVWgJx9kob2r3G26kdHX8lrskbDVPthK+0
RNB4TTvkX/LKjwL9r/XgSUqaO6dLfYzrVNpykqQ+Ha18ES99hjHGR3ctdC1YM2V+H5NkzD7lwus4
lgphFm4z0ZnDz06gbZcG7JF6/qxm4fqffRDtsOnoHpp7r+xpViAjj6Ygsq5Oc1Swnr9hBmVBL+RH
xjz3qWvi2ZgIjMTXVWweX3Upv6L1CACH+1c9oJBladHa5pnYjbAohz/ZkjWYY/dz/ROOYIwsFzCs
XxIC4K8F/pbaq3wDCS3uZHAfJ7DjoMMafXHIkAv/g79oJvcGJLP82U79rH6okqozCA7n1miCcoGp
tNuSP7wl6rXJXnKZF/1LjUQstHFjBosu0aVBHmAxl4/0GvEDr1epxOfVMWAdBSnv2FcbQG73LEn4
u11FjzaHOtqvT4WbjuV+KtaheVzmOZkeXaHN8g5ar/YAuhv3ttQd85JlFv3zoE0WHeIcWtyxGYbY
DT2QBVoIdx2yFNElvwgRhfpTgqBo80nDRtk5epa0fyNhzm6bhrROP8RpI3FsE2h1PVAKm9U90bHq
79rYyORT6eV9HaKbvbrHWJv06ZeLQuPHSm1arNglOcuxUXo2fzTnsfrHG7xBj3pr1F/E7FvTbz+O
O2NfY++yfvb4R12w9HmyflsrgfQF/uXZsSM4jXRUTuwQKoa9ELvl3JXt1E7yMFYKZP5gNBRJgm5s
e7x/Wg8l2JOJcC3gig7aVwgfKeaxNeMm2w+aML8kHvXFg8SpHeiA6ixMbhAe9dygEhYM58nycq5s
XzRjaHrJmP4w08UzP3upPbYvw8hmgNGyuRnZ/HOxS4ZN8yQA4zJXD05fVi3imXlFbZLNan9KrMnV
nxo2XPfFS1pj2ndxLaxjzW0PDMNZ7QNZoYnkRgEF4L6uIG3jYWNl831h9YX3AJVubu42vl37t3S6
uNwPoycc9nMJk3h2K7S6S6RjxyPkVKCXOD/IMhgmw6gPIHtd44MhOhHv6yyNUcREQlSbHlp00LQi
kFpSIeYik0z8U3pxMR6qUSqaQwIK8SEHDG4hJ50pTk+ibQqetJhQwOq40ppQ5jJ+mtrO+px0A4xQ
u8/k8Ijvbe1EicD1N0w0UX1Dlo4NV/Z+ox3iGMpwMIN7b45LG0/yQ5kmboX+KxU9yCuzNZSfbFfC
Gw1GR26K7zXQ7Qe/Knr1abWdke0mpDF/q7Qa5dQc3m8axkmu/AAiaqEFTeNizJXyFDqbb2jys12W
uA6J24APx8pPd4vJNRSs+kjYxePm3LLM2eqz54mlT0Gf9JXcknz5svce11VuV7HvU4E0k2PmIxUs
R8d8XE2kadAG+dR0KWIuoloH5JSt99rc0CqBHUdNhWLKxva4KHQk4zg3rdnHEZCRKmg8kT2BtMcy
D7f0p7eT6H9rjxdTRd+IhgkdZhSjLuVDhZcvbif8OOpRa84D6cnxVwLR8XMDYd0NRqMtfjZFqpag
4o159otE80NViOz32z/klSWnJqZTQ3LsreF2MWd0W7UGYKCIkFNuAukW3YGPPh4g9PQH5ASmyE8r
vB+yId3BiH5+e/Ttv36xCqCTKcGgFodD3SVdEGnvjoe1TE6cMNUdxl65MJEJab4ptHNhL1VQVG7V
Ly7HJJ0BE70xGkAoXGHyNbFIi3s3jtBWIONz4+6gvNF6slbETkZNX29UZbbaztkcGY/KOqAkHAs1
sBf8/X+rgaT/nHZ2VZ3RmdDt1vo9llyouZTDDtu6+JEAff6RO+Mt9tlVyXMb2dPp7G8Sg1TAz0fO
seAaKJhQp8mbIixSsX5A3AGxcqTdfrz9Ia/Kd9tQ9Choo9IIpCF3PtRAz3ipFzqAIDLX7+hUVIe5
d7pDhZDQMR1J3wCIoY/z9qivLS1fkEYqZXeaCRebtydUGj1JmynRi2+lT38pT+W9Pk2/zYZkFvJ4
UDhIxLw96ivLCrGVijh+TohRXpbZhkkrBZmViDp31Pdj3BIHlq4MYuRR/3+GoodEXXTTUrxsFy85
rPbWXkTktrG3R6VpDFZEB6gnJLckNq+Kei5oUsrJvgZig+v3onjoCNcqhZjQoO9mFNpn/A1MpdU3
DsNro1BMpjIOxYc60MU+EY1W1RwTvhglkV0NzToEi3Sro/DKbtyMIEGn4Yu8+eOc70YUv3JpeDj4
ZrXIv44QWZ8lK2meegvvWLEsHiUZVKqNu7d3xiv7caOp0DTxwPFwqZ2Pq6tWAeJL8pOG+Rucuq48
5ZNEZci2EMCsx3yfSH15LtKxu3H+rvckteUN14ORDSXmyw4huAWnX6mDnBBul2FfpPLrRO4dUjC6
BfK6RsNwxukIOTYALHO72s5nGYsV9q4s6pPZ+diiYmFayJ+JHJLsqdD6karrOOr2KQXnbt/p1Iq/
rCQ8w6Hz4hEVG8dERYWNqI0vb6/+K2tguBxMdhUnE0DM+e9yzK1ThXD6qddQQaarNSfBQCuSPJew
8fD2YNdbjIsOtAMdqw33cHVchsXU6KcXJ7WYCCMNc+8HE1o/9xLKP6JEppZWT21exeuNPXZ9ggwq
nZDl6NCC2rvc2ynpct9jm3iq205smjbkBUQt7754GMWnZGnQEIaPt03/P4+WWeRIDHl5eUI6RHwt
6izem6uacBWJb10814dmw/Fx6K2Ngs75OR9qwDwYciZFSbtptVNe59axRYmJG0J16GFlcJBLGKqU
MN59FzEwJUIMyeg6sZMvBi6NAZZtVZ6MXEx7VNyWoC3X+L19R5dRoJsDJyXswF/8fBR3tpGyQYDr
hISK88esYPJ7puq+x940vhfk+e9QSDBshC8iWON8KI28hYPLULHfGwQ1dBo8r/jz9sbfVuU8nOFi
RQjUQ5EDee5LyJ2Hwlrfe4rPVZTeR1SEDbUDuEBZuCiA5LZeY98SlXhty5MMAI4Bt8LFuv39fzbj
MOjOsC5leaqkqn4sU6nu3RzJqPdPDBzH1oOkhe9fRks0tPSuqbPy1M6ae8Buh9RnXfm/gcjbmgvt
/eOxJ0BjUsUCXHR5kNfea70qS6tTluFiqFT5MtDrDMZijnw9/+ftyb1yyACcaex1HsXNa/p8Ce3J
mUZEJdka3q5yZXNsrPKzkZLmtKYR72evXamqdTdukVc+HKBtgK20n6ADmBcvxeonY12gKXYqROV9
b2cuQ3alvBUGXl/8W84GNwg2DEiPywi704e82FQAT2YBB3amln9Ia7O4H1x1k9C7PSIX258YmZjC
2zAs3iWJQinKOtoat6cOESkVVCh1jIFmo61Ohd/FiWehzfBF68vhIxjM/ufStbOMtDjBlYSbOx92
UEDWz3WBqF6QLYlv3q2Tb5b3fTGYxp1nK4F/ElGn2GGyUk17NxuLZTcp2gon3tF2EwnniB0KEmjX
CzR0lNWR12iz8p6ncfyVev6Yo7DBBwkLsCLrnroCoq7/j7Pz6o3baP/2JyLAXk6XW0RK7pblJyeE
EyfsZdjJT/9eo/fEy12I0B9GkAABPDvDKXf5ldwQdRzWVR87Pu3BEovCVEuWE7R88myUjJHIpJoe
5Q8KyBPNt2D2umA8VwIKpNTa+hEicL2TB9/ZIR63g0rCjfQIEhbX+zJyO5M9klWhRZ/mJ8qY8xcs
mfbcSl+z6c1Xo79P310ijuDry+Pxxw2isfPcYuirEJU2o3mEv+56L1jy0J3NV0rtB1VHlDekIUib
rk/E1D/pqRGXRxRllvRY26PxL5qt7XRxo7YR1GeXOTmtcVP+rcCktQKRAen/Xz+qSe8PFGDj4O3z
e2eLI6gDe0e+IgDcNue3RKM3ovZWhYqSKz8L9uAIpk3VToutWO+m/UPiI60CncI/uCNuniwM2+xF
I1sNMWAcHvo5i0+pYzRnOmLKzrxuvz/XEQIp5G6kjaDorj+M06F1ZVCI44ZYbeOEcMlgINdVTsn5
7QW8fbaoLFHdYTAS1BuYh5N5meamXEUrcXHvN0WBUUtqGIc8wo6M2icNjLdHvP1kXO/E4wQ2r0/l
JhytkdBs88Uuwppz5qNgVnPsaKRhF675bw91e7tLaDbwM4AfYPe2q4h4ctlG5lKGmijbo758qJrK
x1CK4qAsJ2NFWkqZ3Gjner+3pp7kxamAnIhJ5Qr8caoKHIli7DLKME7z7JCM7jG1C9PXhPkycs/v
vJd3tooO/B4pcocE8kYTqZKI4ip1y5BQITmWnZE8mknxbtoHxUfblkMQZUPQ2Ry0FbE6DX2+JkRI
BI81nWor8BaUhfmcO1/tzoSkNpCEoMPLI/u+Xr5hjJEIV4YmHMt5/ozvWvwQ5fiQvL037nwk8I/8
7cDR8LjeAqtctI6gl5VN2DXnXhtZtCqbDuZMW8dQdjbEnRnxyquOxDlJmN0ma5gTQrUaGcowphp0
FuAtzslSLN/entFt6iWpU6RcLBsB1JaNMRm8q1Fms24LGS6hfU4rSyvgvlk1bn6zOjV+jifXurOS
dw40xH/eQeCDMFq2OLjOEUOFrnITtkWrnmdgwQerVLwjpgLvBp3zVEE7As0is0sQ7tdbw8jUeHC7
qA6TbFqPjSX6YybGvWDmzoQ4twS8JJMUYbfV1zUBbrG2ehOuPRikMhbutxIA/cUYMvvdWRAPrwa6
j8QcPtDWa31EoBrvkUaEiL53JyIazy9FZvqLhn3o29vjziZE2osiADJ0KIdsa2YSQz1kYy1CA8lP
E4S7p3inxRDDXpXp3kA8jlJqCFcONFCuP9I8p2OGoL8IcTnNkLqYoIkpyl4mfm8UDxQz7xYMeKC4
16MUxWKOXo+2IkrJ6qdEWXUX3VMgbTvLdntPwA+EZAk+Ud5JW35P3ZUIG8/6EHpRFjsPxryghJ6q
fTydFsVDeTJdHLEX1txOjqCPFwSpOzSvSLuuJ4dFLd3VpR7CrvOKcCRWoNFT12m+E2bc7nRpWYWh
Dxk40Pbt0W3dvu3KWR1CBOPFmSL9cIBT1vmQx/eqw/emRHxsOx5/wEXIn/LHo9jp9kAl3B4AOSTZ
eTT0Ga0VZY/7cndCtnzvIYvwUG0WDjaaA/wxHsNCm8oPigPSAEVmy0B+TYHb/faJur1wyeEsab2E
ZB5KPJvbaDSsrGsBE4Wj3VX5cYonzzkbnULyYDnFkIaU33XvshRl/Pn9I5MZwLynG8gjKTftH4u5
mjY2NGJVHnJhVLZfoc9cXczaA8eyLGCdntoer8Ojbs9jdX576NuYSpZR2HA0F1B62ao4aGafuG6a
twHCE+3BqYz1WUsshKZXNX5YadB/bm2j9cH7RTvLfbuDeDlNWvKAZ6DBbVksrSE6MZd5FwyKMC9Z
0/Gy6eke7vn2vLOm3FzySZM5+uZemWet6UF2dkGupt/GrMSbuWx+ukn9r2110cPbi3m7XWGUSBCq
9KmndrQZTEtN4EyqjSpQmyJNv8bLOSevQMVD28P5v5LNrnM9OZbExVNPhLG12TNxqleRaSZI9Ii4
c44iARNyRDV9UI9zk5q5hHqCGZCQnvWI2aj6RANiHL5Jj0ssboEQav3BTGYjwh927nsE5oHWnVNl
okE6xob0h53ECC4rc+Jfb6/T64W3/fHgBygok6JQy96c6ynWs0kTTRN0RbYmYE3b0vhsGggonIqi
cpv0QLm9SPxprgsnjGB+Zn7RGWN3TMWcA6vORgLvtVm68YxBXxyf8p6qSXGY41JzHxu1NczmS4ky
u/5iJiAdLkrrZn9bfJ31kCfcnsg7koEfsyLRtANIp8z6CBACq9KJanbxRceIZTzGcHuRFAPvlmGM
ExfNz7fX4d5+Ici3+JAqPbati1I3VirgEjOHqQbMRV2KF6IF6+A0zftjIEfW3/A1JOqnSLV5xNGU
To0JgHMwyuJNP5njBRPtCdvXeD29Panbc+2gXoBcGsKEzG1bUxed5/G2RVVQ8xB/AB1UHgvdKd59
exDSyZY+wnbkS1viNclK1zgu3uLDrBZHdBejB70ptZ3a+Z0PBIWVrj3lS9KXrShbqQCuspJBBMJK
ip+tpq/ZEV3V/GLpdV3sBN53Fo6OpOyyyIYE6mLXr8C4apWxaIlA1tH9KSGUwcgrv/N1bu9DGE/y
jSGloLe7rdODIq8tUCdtgHbs9IDI57oiY9/1aaDGufk7spVB7ND6bhcR6WceF6JiIuMbwh0MSYTS
G56YpMiS73NrTkhAK96AWT2R5bTzye5MUL4qaHYgFUhGuNnpxiQEsaNUggNVMh5yyxYtuEEcBs5Y
eyYm2POFVvbbe/7eFF1a5IA8CIpuSNa6sniix7opaKqm+QxxY/xa1K54yvC32YkVbncJpDreGHgv
VLi5Nq53SWGWDd43ax+YmMFrh7bMXShybbvk57fndDsQLooQqwFWoEZ1AxNSNEzeSvyJ4Tz02mE2
ctCnsfFuDjf8bYI7ikdEIdQ9Ni+BW8YUmC2zD7BT+hVb4qKV88ep6eHbDOr7C/UyLiYIp+JB6Lq9
NASW0KqVKD1csr74OYCtPoENnnYS99vNwCg0qWnII+NIjfH6C6HvBCRVFUMwVXP1iB6ac3Bje5aQ
xL1c/c43olDKnIjDOc3bLpWjYoxFnWAKpiZXfOAZGNlLMP67dwJdcC50gBPUI7bgqVmp6H2Y1PfR
O8NWCK/QT4q2rjvB081cZDtPXk4IhMhPtFm2DCqTMyaA12s8Mz72ap4ctK52dy6jm+sBYiqHBpgQ
bQpJML3+OGaReqk+TFOQGw71k0FTT3jw4fCjFOllMmP98Pba3R0P3QVSCjpgxja+VlVEvQzUYgLs
+byvVNinUz3Nze9RT/KLokWwZt4e8CagZ4JYC0rCmgwQnc391yoFDh6eMQWWWMxTGicP85r+nCft
Qgr6SYv0p7U098KL+4NysnS2ohz8elXxYxBqs9p8O1X96TmrT4OxPXQNpklJklYHp+8+TeWeh7Im
53IVRsq5UjQgewA9RCRwPSymglmnt/UctDHg/VFTj+sItrMr9fwx6hXlK6ZB4/e5qlKQnWVrfrWF
af6eI+v57TW/yRz5HWSN/7/CL80Urn9HkS0CbLY9B3Fl2gjsDqL8otBejv0+0ipJcaqUL9ByyT7e
Hvje7kLc45WYT5HQ2ZwZbR4oD+neHAzDuOBUZ/8tAN+2SOof+jr+6+3Bbu41ZukRO1Jz4v4kcbue
JTV3expSpB0TyvCfBpxXwPUr9s8osn6/eyRyUQBUMFa5d7b6sVPUI/S+ovw542sS4jUFlW3QimAe
dfv09lC3tw4joZDC24NQMvWn60mtyMUWTQ553gPY/uIMTv4rb4W1c4PeWTq6qJTkuKKlgvBm6RJN
z8RSZWqAXWr2uWoK57EsleizPnblTnxwO5RO5gnWFoosfbRttZPEszCqTp0DN3OmUxa103HWYRgl
af1uxjTF21cBG/IJHvBtFkd5WnNm+ENBPYrxm1NE4wuhXroT0N0eLh5TvhG1GXQJKbhff6FmUtNU
5PESaKtYfF242XOcStm30VDO2pCC4gYCtfMY3VtFsJ5cpGBZKeRuwhL4fO4ym+USpDHgRw8m0o+R
VT8odbw+v3cH0hFEeFF29ME7bYs/cb60nQYHLkhpgT8UPZhZLDjm49uj3J2QS7BAzIgI7VZWVxte
xXq0JUD++fuC/N8JVBukV5x0dka6PVEgHlFJBZ5GnM3NfP29Ur1wnGQxliCf2xVnOi86GD2ssLfn
c3vz8WlA52EJQYx/A/pdsc2Yba9aA1re3+q+CXo6n4dqEf81aBn+Xwbj6ErUL9Pa8trbQqvdCGJa
4A3ugtiFszrfTSDA8J3gioYewZ6+00m4Oz+eUhmruFKf/noVJZvSrsZpDWYXip/f2O3sCxWqi/D0
DihXtezM8XaDmBrNLCDjfDTG2wyIzYy7LKA9Ajeq2kBDJ/w8eB6mfK237AC47g4FRgxgFWqWFPuv
5zZ1+BO762IFksZ/IXP5D6PN+cQN1e5M6nYvMinUXhzJeZBNjOuRunqJIlcg46g7SnpOq8FEu4kK
69t78c58JHxA1glo1aFtdD1KulSjNpi1S4KLK9hYtsovs4R3hBGs9fL2ULfbgkUj+wNv5NI122ob
5cXQWWWFul1jWmDRhhLieGEY8UnDVQ3nVk95fnvAOyuIaIQ0dUEQjZbzJsJojRXvHlprwapkzod4
BcPQr+a0s9vvjeJyaXC7O6/f63oFrRZqISZrTmD0bsUt61XVX2qeFzu3+p1hKJbKTSfXjr7q9TBp
6+ZEo6YbLEUan5ShwOWFXvT7N528aKXoGhUj0BHXo2SV1+PwmkeBlmJen5fCOw2EcDub7s5cuF+l
zwgFdMbZfJi60hLpGemS+i3Jb6tc3U9qHuc7R/X+KGxunXuPZ2NzgESWtFpv5S4W4Uv/wSlq7xij
g73z+e8cIBlCgB8hcabMtnlt4znrHTiZbqAioIYcntA+IEiK+e+c7wm7vj501zkD5TWeQcoOKsHl
VlbIrrJGiUuEITQyobh7Qvzy0AsHCAl47cHVfhQOpOjyoOIdPWb1kXXx0XvABCtDgHP5luD+qCw/
Fve7unR+mXzoFfgfdvk9UV4ikT04HsaOwpj/apXfbx/F27NP4CgvTSoIpK/bV2hw4mzAWSHiW4Ck
NIomDadGj32jMdECj8Y9T4Xbb8947K3XahrHfxN4kaYq45LBIKoNd8b+paqPdKb2QD1yn15/D0D2
FAapK1BBo2R8fVowUuuh76xIBXbNGBCR0XFI4bUfYDp7n8Ge5aHRt+IJw8jqhSxr2lGLu7OqjMxh
pfQq2VmbHQ7stbaxAohDugtJgL4GRt5Ykx6J11KepGxP5/eWEkfV2mL/wdiQjZutYLTapbqDJlwc
5m6yzP9pLnbdT3EFKta3MCIdLrlELDysvDTKcYGp+duySglsSczCPb17SwELl3Vgskfe/s3k0yGD
Y10XSYhbsHoczUkPtUyBNYLSLD6h3vHt4W5DeUIo2Wmk/07jeQslaFHIo3OTtAGc+/TUa60ZzPOk
P3oiEw8AQ7MH116nH28PevuB0TOHekeyQgOEsvD1BsOE08l62+sDHHpbjn2KGDFERCd1AiyGULLL
67Xba1xzE9/sa3IwQ3JkJGLtxoowSqQ2Ml3UIO4GV/FTxLJHv227qTu9khGexrFen13NEI5fTqrI
fq5eP9gnG57gp36kbo0alIq3bpVgtJBzHyVRXnIDAXOheNXAPc5TVKp9qHal9ZyuTVQfhpiA56Om
j0Z7sAd4Q4HoBjP/0i5FrfysFFoX9LJna5D+9DUOVWWVtcfJSof6n2IeYodmQNLFZHTNUNbHJIJV
+23RFSvBRVihHusU3Vie1MlNBmyXUeI+W7CnnpWpd9ufVprk+QknAsc72WJQ3Ys9SyUP5ATa3y30
3fQsYgiLj3k0jhk/04FJpo6eA90rmnXcSg3tBToIdqIo3gxf03waBow86w5X6TErtNwH37PWFz3t
VfV/iqlNyoPWrGuHpKnSjD90k0wxP0Rx4amnpoty7SWbPHf+mAjyiN9YnufIB5TxMuf/TUbUJk96
h1LMY7wOyKIWWtFOvp7ayHSkYxH/yPIs0S55uZaJ7xYCeBKVHDtXHxO1dumYztmSzYydo+DknGa3
SI2zkztOEwyjMyffcrWO4wQjYTfHswDb4BYyOcHTAeydNn3yvELnKHhzLvx5TGEQtlRz9YuXNY7z
wLTzwTd6NW0+R2uf61JmtOpeBlEoHlIU+to84BcU/SuUfi1foOzH/9pokuD1h4J7/KFpNDdqfKOK
4HpPXQGxvxhqtCw6ClVIQw11Jw5jOljqKaIZjGl73Rsmiiidqj53BLn9d+AksfZtobacfgUt3I+B
YS0dwkqIXUfIwddIwCRZ6QynFGyo+DwW+fjXaqAh/YE3bPT8BFWg+JiphbfS0J3QusJOOmqPQ4EY
x6mzqiy9YEQ7zI8L2gQWug/V0pz51OwxQ+fuezDWurWPbT7bSZg7WT6dVdbeOaTwxp2/aGV78b9i
1obsqE2WJ6C3FC0c0Eot60+iS5P6uLqTKB9E43T5k5qo+v/SJLPzj62Od3lQ97OAPdIlONUPCeLI
H0Ui4O0jF1P0fh0p2tfRXNz2Kc1QHvGLSR+tjzqfnTZgjxrDk6Nn9gf0oXBlF5jcdk8xvU/tjITg
6HxdoOElz2kdlcWn1APkcgQbJPqfIl7KjyiwI1ZSslD9pXa0WAmTMYPrjaqKrf2o3Nb9K0duBE3l
Eomzj4oKTOKc0BhZLnlrL2iq6G6kq4cqM8rpZJi8nlowYLxrPLdDm6TfJ0tZtE9W1CBCmsMCxKO4
QagvVQ54Ii06Xr1Y0Zxnb6YlTllKROHsIBrlryla2R9qZRIvKTWqyDhERpl9aHKte5qnekQgvMTD
+uK0vWEpBxeq309a+dFcwyEpvLE4IFnGlXdEXymJv5KAxSke2WneeEczVpzu3OE+3NXS0Vdh1kqc
R2cDlJn6cSm4nQ9RVA5RsFAbfwEt76bIUnnWDwJtVP4BPE7oDiWjbvvwjBXqnIlwveNMvVIcZwUp
LbRQynbhOObDjC2KV6PI5iy4hGn4QmOY7lqY0fdicgIXG2vvcVKT5l8jYZs/5qiP1b8EJTw3UAzc
in9aS5791hMzzX7C+4nax06bx39gxLn4iiMc5R0mtVFdX3Hj0TyuVry4l5FHXwnTGRujj6o3x0aQ
CL7tV2vE7+CiZIZTHiotFslLPFtU5vA/bOdjiyaGQCjH6M1Azd3IAGrnVOUHlQdzwQtkslZILH2K
JmpS95M/NXGzHp1hds1PyZpO/4ChHF/Gqe/Uj2Pp5i5SbEg0Hqq0Wsb/3n5S78QwqN/L0jKbFtDQ
FnwoMrZ5Uq8GrPlMPcHHmo/KalYf8AZKAgN11QsaUib+QmP7YTQF0i8uEm1v/4hXac7ryBE6hQWm
nsuFWtA2kgdF14o6MY0g72N89OY1zssT8QzcqWnEf3vhc9qPYuig/0wlGdR3QxNO80MrleUzl1El
jlW6Dkh8GGs7WQcl0nLc6oXuVFlywk69MJwDB7MaQtftBmQkQMJ0v/WcszrNlTuco64blRNImhmj
eshb5pkd4P1YhNHyqDsZYK7DPHR97TcD0m3nFlaDXqFsRR+tPeizOS3lwY5H559y0qL1k0lrftoJ
8W5iLsAEJDuytA1SiEj3OvyZRrzyTKc2iUN0iwcMCgdO4HrxZGVKFxJzeQGfas+25yZ3eB1V4tlQ
wKdnuMnoRo+0GqkpMxDomNWI32AVcoAnMO9kwfdmB0GPKi0dNgr4mxwlN6h4YCliBeAYhvHEczCk
X0dMTA1fb+oFeIhR9OPjKAyl3wlmb+JKdAAQP2SKpA3sns0ULYHIFrEUSiZr+s9QTk9tO/7t5c5/
SRLt2fbdH0tWFSAooWAh//8fAEFRLVYz0DsNWmhXaABFUXdJV9XDQMGAwE6h9efbh+vO98O1A7gQ
U6RzucULoWm2WLrC5Kayb3xP2tmjnCd2jrB5ZxhJCcD1iKMs+VHX85ra1InqSveC2oaYeoKvZOqH
SgcX5VsWWmv+gqxg+2ghFlkc3bpbeZKKBUYZnlDKo0hTPXnoUis2j0mRWCnsLw/D+ZO1ink8Rk5b
LY+mLVIUmjJndANLWnjZvh6V6IEpReemP3qEAuyzjtLiM9plE6xVNe5Wn8fW6J41VKH6Zy+d4+jS
0OEcgigb4y6w6jztUeeznfxYAo0k4CNvQUYFAxeU/drYVX0QQ2XP7ymUJWy0Fc5oMQulebCiNFtP
SL9FL42tFOPBG7w5fW8JCriSxDnQ6wa/AfDmel2zJDGzpFBRv0SzJ/Vt5M0go6MYudNNv/1+jEPq
LKtdYCu3YJR41vRB6IiDa3aXBV5vFY8IhtV724Rfe3XRy9nQy6ZqxzOO6Pn1bAwiWPDz6OWgMDo/
FImb+qYx7J1nmevejIJCrixDUh/aeseLtk1IWdmLAGqqF4HG7MlMo/5LbXhJ8N7TJZ9NSa2kGClx
kNcTmlmzHvGxJGyMqnjW9VHMZydFRHbn7pcLcz0lxoHfDtlHyspuC+0KgqnpOlZpWGE3YfjyumoP
xG6Je1n6BtXLwZ4L9f8wOUnOho7D3GjNX08uBlq9osCXhl2sjadVEQtmeUSt719CF8Q0/GxOKB3C
61FEs1Tr6hhp6BTJ9OS2tLFyq7N25iLPyWYB2deoF6GDooLukvv/j3t3MadBryclC1e6NPglapAt
joSN0Ii71lyXQwvXDZcsRxnsQ5GX/Q5v9PYDvlL2JQCR00Wb8Hp8w8L5uGop+eEKOPso56J37KQP
rjE8u8W4t6a3JwDDbCokKlEVlZJteRxSaFcNFRI+kRC/NLWYzhUsocNqgUZ/79eTLpFsS9ruUoxq
8/XsGItgOrlE+UVKqa0s/7Wq6d2wJf5mGLcU++lPAGTbPNCOXad6myoKRb2UtGacCaDF+G56G6O8
VpNxWbEppG2u2iFzXOEUSxzG1Vz8DZygDmer2NM4ur1oKfZTDHI8dKgpgWxGycBZkLA7cajmBXXq
qo68IOnsPSfNOztA6pNzn9NeIqTeDBMv7dDlS5mESpWYX6zVMALMtubQHVP9+PYWuDcUSlxUXqkG
SmDE9dbO+mJYq85NQuRFJ1+lxX5GyDb7iORMs7PbXjfu9TF2JXPelAcZYtQrjuiPY9waHTqOGqzY
KavN8Th4ZjMe2qrhzSqsgeI2cOW2+NVWWqbZB01DkfEwFz3EQStZUPNdLTcpnnpQB8WjWONUO9tr
Bde8wgNGD4wpH5OdqvSd783P5TRKryzym01gBNC47vtGy8LBpIb4oFGXNh6GtSXtfPsz3A4kwzwA
DjowG57yzRe3zXJt2zwuwtbtat6JMv9seemegdXtPSaXn44bTxGNl+2bkOcmrhtoMYRDocYfEYyU
fsndiLCtBrMWDdNI7Dx99+YFmhApDXCyNEs2h9/ERDXDQhXS7rAiy4UEb3pKo8x8/yXjgb2UOGM2
MWj3zfq1Gd6zRurA7Kc+H1L9C6AViJ1n4Pas0BeBvkLCQa5DjHJ9VlpPOFptDnWozyTXfuvOGZJf
gz58UcHP7vm0yZN3fVqkqgp3DLG/Q3tLvx4td9ZlSHu4wW69mB8b2AgrlfJBKVELaRFc1EBTF38n
U1nNoPtmSlHc52gbvHtjyoyVJAs7aQlpuv4VjhJ1JF0U7J3Ojg/WWihPaGwq3989Ci8R6ADwUjIN
kSv/x80w16koI9uKAhHn2gdIJ/0BZ4Fy5/vJ0/rnispeI5I0ENd5kIAjbFY0chu1jCYY5AhbDOLi
wataHuJSHfMDirPr9JC4yKIeaivCq/ftCcpl2gwtdw6FGtIrqAybraPasYNtmgPF1slcZGJnjZq7
pk89avxO0h4SHivtMKWDSpZCv3Vn+O0xZOYWZGwogoSDEPg299jsTuNSlmUd9mWt+L0+zb6uLvFO
l/rO+nKDqfJiecXxyV/xx1ekuhBjpbLWYbFozf9QSK4qv+q78TRb5IHoO2v+kqX2/967tKCeJXaQ
2IyrZitWMS8ITWta1YZQzf/N2qX5qpXlfFJlFzhanewCOGjy+852v7098O2ioiEJipAthcYHva3r
6U4qhg6oZ7Rhani4/kAc/Cj6Wt/ZtNs7W06LJh3mhh51HIoO16M0yrw6ldl0IU5ufZC4NOaGXpvO
mV5M/mIa2eW9szJol3kkRCBAEPDZzGookC8DGV6FnUp53epHEPOUY3dmdXseIODChZLhJzPbgjPQ
qHbdRHVFGHd91B90iyKuL2x7ro9Oofmj+pCuS9sG7aDuOWm9vnLXZ1Hyz2kGkpMDndqK6jSNlQ0I
gLRhNKx6/MR//e3ERXw2paD8UQOXjQhYJ2Rxt6307mDn3tI8ZH0822G2Nn3uU1nQ9ANQDHwpmCEZ
ZOZB8Dspi7tmZ89ehuLDKqvQ8QH+5picywGVm49a2iz/rf1i/kP0P9YU8N0Mnd84mrOgNQrL8VVL
oZCLAGzbnVpsRwuo5FoaXaJZDFg3xL363FMjp7jelGgrgdXs5wOi1fXkK6obxYcZa2LHn6LSsB+X
qPCiD+vU29WZG3Wx/M6aluLAJZV1D0PWWxoq8JWOsjO87/b7jBq399GLMN85pINOZ69v0/8MY3aS
f2tj7dcfhmIm2QO4sUbQrMOLEsW0ZPzWlEZbhbOCKPyxjBvPfJzqWY2OhojnKFDNEQMBF6/p8YlW
hPE8Rx7rVpeUeI5ILxh0MpQCJVilsa2fIF2rLpy7avxpdkbzWxdqah1b5KtLP++WZXlMChcsd2ZR
JwgroHTvlVXkBcKvifAUhx4gXtu3yK47L9YiQbW58JYwz7HktbteexZrrwZ4DdSfRQuE4kDJe8+4
ZxtgkEJLy0vGlAcDTO/1Wc+dmut7WNqQsDZzWbN2+aU3diN4GrxlXPeIOLd3C5ESInFk7zTmiQuv
x+tdOrt2JLpQoEVmX5pJsdonYy3t3E+FsL8lVT70O6XiO3NEWAAxQR5Bae+5mWMMVgonuxVyvMZT
hGxje1AMsrXcWN+rscZyMjsQhxpXGkSgzaOrR/XCgw45vrB4H2Q/TDwIpJRe6sZrcGHw8uH89uV5
Z0FRWbaA6yAMKZHz1wtaQm9dV+otYaICRAQpCuXOt5K2Mk5RbHYeT29t7WkA3FnRV6Ua1hNxHAhp
14MuNFL1pHPGMHOxcT+kmhqd1L5HQimHZLeTEd3O0H59jNgu0ql4K/BiVYlLGjdPIXFv8YU0GENy
mA8XuHDT5yHP9iKXO+NJrSaIn4i4srab+DPKZ0TQdH0NR1MX8SEtMfI5DCqc9cOalCNNo66M9vCq
tyuKLya8Pv4Qk8Lqul5RuogKzj+jGk6WXX8s5qq4VHac/Gq5pXcSv3tDkZSh3QQYB9bV5nnXO703
MWfQQ/Tk079qpZsRVKeBH7ZWNewELLdjOZI9K1VK6BaCdb+eViK0caBGY4SrMQ0BYY32mIxYOU0O
UmPvPQiEKwQ/FHyIjlB8uR7KFAsKI2liI4tSRKQNw/JUtXr+ddX75ISMXf/u8UCScpNJAQOp2bjJ
M+slQcfcVOwQW5PsoCQIbZS5fm50/Ss4lm7nDnvVtrwOIWTsQE5EkU6S2DaZxGBNiaYAUQmzEe09
H12BsfCLqCmUr9FYRDOYoKhTKfjndBZmLUYnejbNOr4oKi56P5JZreczxXPn77eXXS7r5nfpKOtA
X6DaT79vs3EpweXaUKE6MPfYEpQ41Jx1xYl32g30u27Hoa9BV5H6JEykrcAjCgsdb1WfsGsT0E21
FCN8sLFBML4NIusob7e9jXNHhQN4f1kiQFfHDqrdQpvIFs2vyTGK9ZQ3zeAcEU8w1C9972KUmFTu
9L1eC1d/zt28MI7sLYH7i6rN1nmyC5c2Ly0exacBZzePzVBFUBrmtBJ/9VOnNh8KI4niM3dUXh9j
vXc/4wmceadIGiU923Sin+gKc3foqJWr+DYgTv5Eg6rGqg2Bvukx90xRPBKg1GENlIt+MoG/4uNH
5T6XzjT/TXIGlmZpaOcfc92dzAOF8dT2wWbExgEzElw82tmwfndFJNwHkLMl2KlqnXCGiFvop61b
KOsxwa6z+F2YGEz8zuNxHYIxMfLoSGPcMMMyAgx4XoeEO1wdsnL9t27wM/oEgxFocYJcY3k2wFKI
v7siKdPLoJYl70zE5Yy2fYQ5V09HI+XJg5wzBgVc7xiXd73JpviAIFnRP5DUm80x00rzk1NnQ/9p
Sj37xXCqdjnjNU4jP0eUQDlbs4fwSgKWw0WqoIlo4tpOFB1bo0y+YINXeY+gd3DlES0a2DgbxTP5
1+r8oAJVNH5BqNOdSD6dMnCivDNxIpxqcYqGSVOf+kKNrBP8ZqBnCQoUMDscUWKT6XSGg1akSPro
XHlq9xEbP+QHga4p2nmErfUPGqfK5AsiWvWJrosVQx31cO+qugWnHNVV1vWkJDQaj9IZ5G9rEpq4
qHohfizY7XhhSR3yp5fkpiD3z/TkYpReoZ1sLKja53WGdrRzaO4cTdowRFqIiVGn2tbenKVfY8uq
69BIyxKMT9V+svFu2smr7hxMmriWRNeT6gOxvr53tS4ac7uNm7A3Ac/aa5ucoka0F6PaZeO85mib
ywY+giwb2wA/uAeux4q1uda1lRwuSw0kcko9rX+lmrRTt9Bz/j27SEafYqxM/tGTbHw0UvarwHbG
Pi4x/T/fsPLaPY+D6n01cyPOgAoQ5/tmYWo/nEGhvt5ECLwEbjVx+tHe6aOL12nLnobFvTXjy8gk
XtZGthl2UToJVN2lCa1lqrCmcubPa65pvz3FdncqJHc2gfOqd0WAKEt7m/tZZC3xhu2JsPUm8wOa
JNq5m2rn4b2vAO0JRPjQxYOMy0N7/WG4x0bMAAsRmk5UPc1uXV5SYtV3Ry5yFPYZ8a6sqcll/bPa
o5hWtxiZCJs5XT7FcasAqyzAEKIVe3z/hAwqS7KGxb1kbJatjHvF0pOkDZtBK09uaXdHQsK9UOz2
49ACJuUzQEdT69x69noKSkG5NotwnWuHV5teyxiZyU7scBvQMopLz5T2Dttty3RVKECabZdSNaJx
+YRi8XJZNIiTS6uPjwk13Z3I6N6suHCo+dNV4N+btYssYClA6Nows/HdKurYODXq2O7M6u4oCBUb
lipJqNuN3S9FNQC7kF8ozU5iKEF5Ns5eH/j2pErDATTi2XYqyYD8FX9sOZ4SoOtl1vI2D/ZRdQbv
ofK00R/WOtqZ0G2BiqGomHItUDzlMr0eyugNop904jPRs/fLMXlxx+yyTppxUFd1JiSpDOzXtK9v
7/R7M0SCkfqUpPCjIXc9bF/YeRXZektdLMt8RE5VHCrxZiWs3duI94aisUW6ynCS2Hs9lDKsIz4C
uJlaioUjGiLOtIeOTjlPx7fndG/Hy3tVZlSw4K3NRWF7iWLOU9mGeF9/cNCyAoyXDoholiU3RrSX
Dt+0GUkWeQPR+IW3LlWFN9df2WdK2qmMN8V59qSl/4+z89qR2+ja9RURYA6n7DgczUijNJZOCFm2
mGOxmK7+fzgb2HCzG03MBxuWj1RdZLFq1bve0OUfI9eRZ8UjI9icSm+fS8pMhVvz6wAt/3mIK/I2
Saj9K4y64ighhuwiAwGc12TSt8JI2dig3zKLL49O2lWYUy51OpSrNRtwFKOeKynZhGHRVfPRszJq
Ui9TvWTHNbGErK62aXi0Gtjsvtu0sbJvW8v7Foth+uXOmT34seK0lp8OZjUcgL/t0Xcij40x0S3M
skomYvtCm4fRH5HEd75NbuRL0nGD3TtDaqW4/nRVvPGqlzWznpe3wP9QQQCP11nNlIdhp0KmDRr8
nHZuPMhDVxDK+O4FtbDVcDHC3pM1tcIEkthVnMqqRDCFerc3yjj53GDFQ2hDW/3A5pQr9PsHZMNx
GZPECICdy08FMu9sidEVQUSCA/RigifTejRfdNK8/9XSMNyoFa8+TY1+DZEi3GuYJ1jg5XgNt0o4
XVMfWC7Cd9/Qa7buuSWOcmf3jvHl/uzeTD0v3hqjLPgf3nxvCqzVB1pVIrQbknJx4NZa9bmh/Tyg
JWgKD4KcWdaaHw+T7u4S9OTOobMbq/ib6McKj/ZwsrUHDtXReZw6N9UOTZxm9l99hYmbP1VNgZex
sFtSkRrNCed91YW9F8xxSDAdVwE70WFRwORvHnuRj2h1O3yzn7RWGbjPRINGaKKMpXeqi0KTD5SR
XbwXU+SBrE/QhNVP41iH4nescGX8pyRU0vtWGhWXIVPFh/iDHtuZfBnazvnH0qLyJ5D80v+CJo/b
XJJn8kfKuUmefWNknp8TtRseUjt3nkcYKvkXIzHTv5EAuF/NRRT0yZtmy/og5y4fP9QjsON7d3+0
NnBXaLjy9vmOls/rP+fbiH4F3k+vBQ1cgYPndb2fJ5Ah8ePf0oBdLzGGwvMXw5Q3n83VkkY05RIw
bGtBkebp16ZUxB4ID5WBNNJ8o+q9OgAWKJ0KEbcn9ItcFi6nFY0T4dRlpwXKaFp/vKGLkXh2rvkF
j8P4VGq1ubWi+QsvFzSHDYR0rO8Wb961+YZidgr0xNkIEraP5jBOs0gO8yzSTyIutPca2LPbUYog
I+QORKd+jT2VCUujqYQVZEmk7nELdf1W7WPfUMe/73+pkBOvZ8aDJL/G5YTDBXi19bnx6HkYQs8B
FaQS/9K70etfbHUa5gOgGJqMcOqNeCe0rhFfWuQ2rzMGn31QJOiDdgMLHP0DqBZBpTLxPojS7EEL
SlfU7bMOU8tzfaGU/fxJQ88y+xGWIOUL4ZZJtSvHxv7QgN9nsPHxHtzP2pDavuJoE4LNOUMqkQ0d
AUFRgm2CX5tRPSJLyaP0CPFlyvaCh1Ie2WIm/fM8VbGzd7XJdV+k2dS4N2SdZaBXKFxo+n1OMGzH
FyY+8H9lfhwVexxf2PPDeddLC22Q2rQi/BEbbvwTZ0LaV1E8W+kx9PpBPekYqNs/CzXxDMggXqV8
JvfQtQ4KYa/R0bJmuL9EUWberqFjT3bwTJ78hyp37V9FL4twNwyjl/npPCJLsLiX/lE72nrsE2Vn
n0gJKoe9l1iJ9qAZUd9BJZhSaogCGqi2T50iT0lO6xa2b1LrSvgvIgfN9JPKGu29KPG4OhZGmiTE
X0/xV4LRCVNG3+b9aYZZmZ/yqs6fa1xFP1PFkAdczFMeH3KpOD970D/kfyF2Jf5g9dxOZLd0qJI4
cX9nszqBnch0Tvx5Umv9KFj6RPeGSvwbX6yw8Bu4R6RZV0mi/YiUoa8OepxL+5S2cnZ3Xpeo8a5y
8xwxNrEjqK1HW32l/Oi8j7mO6efTMMmsOrp5KtMHF3+g/KjG+LwTGc9FcfD1XhP2RyvW4+5gKqVH
ZnPClQql55QiC7n/OawZMsuHR4OPfyCU0S9bgx0IzGskiDaXjtqbOUjcjoBhI3ZVOAB5adPo4e4z
kVrR6clpNEhh2PXN1G5xD9/un6v9BmMLi9BFdjj21NUPQflGVwlJZaBZ0nBfCFWPvXM2U0vsTGmo
9UmB/6E9unWfVBSfLRGcQEFWj8F2FKWHLi3H/iPJ625xyq0yLE6NohKqvFjStHuacFbs93pdY6nl
lcqPIqwnA9Czz7xjTehrv8vdrnhNZN+/cjiTeuZIUZj7vvSycaf2iqq/NFXd6C9dkRm/7Ah346My
xaW1q/J66M58tUbyZNYcPwTZT2JS/a4sJbT1SmvSjdrm+qXRVFV1GhCQkvlzdfC4RY9LUZuTVVxl
TuZPVpk5XzyajuHDiDplJlaHjvc+KVQlIzS9xVDGl7Kwur/uL56rUpXjFdU3RAf4dihjVjVWjU4v
SszOC0YSC3YdgB0dXXPLzmX5Wy5XBtX9m9YaPz3o2Kujb/RIpauE4gV91uvTEfooSZGzSsStK6zs
g2GWRnGI+lA4GyXr9WPmCknBSlm36LzX0rCS5v/Ylmr22DZ9T1c+OXaaIxDXdg8MOhOuLsp9pSYn
q+5e7z/Ztxbu5aSXscHMqNDdhTx2ed578ehKyIXZoyrDHsRX75vfiqtmn+00wuIhSlTxLa2U5BU+
Qd2fRzeO652i4DVBdFFlfZjomv5An+GV0IXLQd+70HnFAaPNcXiKpdolx/u/+Hot0MRYPHAWahSk
29WahPycE1Ac54+45EoC1pvxlIHPb2xX12uB+4pHqx17WUhua/ormIU5R0pTPM5CCcfAQ8f4TQNz
So52ohI2XR28cZw+3Z/ade0FRMsVH8IL0nvajJfvwq47tR70MnskK8A5VKOt/+UYpcI+2KTfTbuu
3uuFSZQPfXcDQeAiSzSumG6ZZSQD8uRHDaua2jfZoUloVbb0dDde2Zt/yGKavujqVqUyF+G4nNwh
e6wtTNYmCZ+visYtssL1KwOuB0EAR8CdgeL18ul5+eRGMxyFBbyezlodTR974dSfJiHFS5Yn/d+W
2o3f3vvKeIA0g8GdIAtiyn45KLi5KfUwKh7dPGtPSR1pry6+V789pdH2VV9rG+X59aPEpA5Dam3h
BKM3WK4K/7l1dFRPQtJMf4TxVfvJDPhJmVns7s9q+VsuN4XLUZaF+p9RMs2kNwQJ8VFNzPijDccd
a3Ry0QWcr4/3h7qSpEI/JPSV/2AcB8a6RoDiIe2y2Z7yx6EQ7R87lR5HatzVFv21WWbnlrj48GjX
dKgOc2rGzcG2RaJ8AVjK3F1Y6iykMvFG8pryAip6ETn9N8uu659J5+X/sqUb2EdMtAMNYYr2UKqy
mSCxYRnwDH42QKXpNaXdTXkjI78TZpHvijKMHMht9Jb2laYI40DGdvVLqeUsXmQ/pNHviAT10A+V
XH4jCG1MnwHtN1Pyrt4DwKK1WPiBo+M7feU1og0mFLI4DlpKkr0V43shZKsf6tpO3/vK34Z6SzhE
zUKL6PKV0/styFuL4kDYiYPLqkn9Gca/Curn0/03fnUtWkbiMIc1RecIdPhypCyxUtOrEEwIEo58
uLzxq+1E1tlMdW0/NpNEDDIMj+7ktRv769XH8zYyMD5oDVWEvZpjgWe9O9Q8ztHq3DNfmHrq4Plu
nOa3RqFhgIkVyRRLt+1yfkTmodmdC+XBjZruuXbH/imsUue9xyBzAVzHAHg5Dfn3cpQZ/qMC+1h5
wG86eW6qsX7MO2uLlXVjLhYdAvaZ5RSE8HY5ChIqyuNM4vRDbIBzSqqm/qTD57HP99fE1d4NMRdN
PC0qjZYaGqfLcfDOGHDkSKNAsdX+J9b77g+SDToyDeQ4OV+GqhD9abaycOucv/GFwbJhTCSr/LHm
l3IjXUQ9oYKCsV1oZklcEzNftEACreclG5vdrcepA0pSW/Ixc1ldTTPjHjvCMg1E53j9kVaZXu2t
ymbLuf88bw0EuIFdGw5F6pWKsQ6zuMjDkIE8wrQxPhFnOrPpt/ePAnj8plFZ4JTVdNDL4hhcDFEg
HeVfr9HTQ6aHW0qkG9sFPcv/P4i7+pzY31Hgwc5lu7CnH4UnANqsUPZndOPxrybpjF2j2RlbpMlN
/v0TXEhWFBSoQq+6zSqdiV66FZThWnhHhxPRb0gH37hl3Vr8bBjIKXAxQhWz2hAjrD36Jm7jQHMm
caz6Su6b+rPVPONbbx5zCuGNad1Y9DYOhItml6AXFCuXy5D2EoGXlpoEemiavzyjJXd1HO1ZP9Dg
mLYCIW68QOpZYOuFpw4ev6zV/xQT7RghzPLcJJgSkK9hxvqDHMx63+ce/Rs11c4hsO33NI3TaGOi
Nz4DNi18Ysl6gf1/pc0rlUZoGV5diByGM0peri5WFW181TceJ3FOFJz0vFEvrFv4DTaMXZogPENY
qZ1Ua/xtQBw71G3ivn8+UPWwiEUQA5SyZow0sSYHOTlpMHqyec7qUv0JHynd2IzffvBF+UeO8yL7
W5rfkLbW5+TYsVdOVZqiZnIU8iDQmw3xQVhLZ2N0HZyS2MNpfM2RoVjRru+UaaRygvZO73NURjLO
m0HspW4Dvc3xgO2mkboASzq+Yuq+NWtPe6zquOv2oezoAKnwfr5Xrlf+kUXTI7nxEvPbDDnKfEpb
JTH9mRjiud1FfWrZXzADoAosst7Sj7Zntd3ZLoy8+VRms/EaRyq0/vvbwNW9jAMWDQIUaBoMRAas
ymFo/ZzE0UDEKnmkeOWIaS/IGfQnRX1OZLGlL7xeT5QehC9RPIBHIK6//GDqmI5Jiq1KIEq0AmqK
Lw2hhrmP6cEWL+T6A2Eo3NboKpLAxJ3zciiEjGHT1qiserxaj62VR6e6Kv+5//iu9zeaFx6WGPAc
WbtrA9bWrOwwV3BBnQo3OZjeIH4Mupt/qIpK2+MDOzxncb/l/PgW5nS5iFm/wHsLM4CDcC0y7sxs
asA10DqILLdtPxuUSDzrCz3lQUlKkcZ+Zg6e96yNelx8wiGrNqEaWgILilJVw/grSaW9+l1J9Wz+
UVa98tRmc6n7I6s32QF3t19Ns58+VCPaQsRSLo5dkShL4Q91qONsZJao/dRKZH9lFTa3vsCRuD/F
kVJsXX2vt1h8ERYfBtAxmERr4KBuB4pEu20Dq3dqy4/dqnuc9Fh9kVE3fVf7Wp66Lp2HxyKehLGx
XVwTbKlE+TQInAOz0Ng7LheRpmdTbqQ9LV4TM7b94JiCdpExK/bnOvVk9k0meS0+NFnjVp959FP0
oMms/BdCd2y82o2Y9J2aAMF+vr/urhf3kvSFxJz6B/RyXZ54VKxe54oikAZ4jT6J+aOGMcaf+6Nc
f62oyjyY0zSc6Zyto0sSp0/gb6HldCYo/H4NZTTZjRGX2jPy03krq+J6L1q4GXhNo9FdlHurh41h
jm7MIR8T0cF1eTBdhXaPBX223s2xPb5amWH9vj/Dm0PyWm0WF7vSmnPn1nk7enhABy2pXrtuUO1D
I9z+WJW1e2jSbCv86OZ4i00F3CEO1bVI0CYqocAOjE1pHML6mA5x+F3PyuKFxi9HTNLSRtk4WG8M
CXZDdjvKej6gdZFZtarGPSepAxjS4qzEbbvTjTY+E6fe7jNcizbq8xuLBoU6pkTUDbBf12YzGJnV
onHjOjCnrD1qWj49DVnrPAqM7LY+z+UmeLkRLmJWNnc+BYrLdW4xnTlzVG0Jw1CPYJik0pocVAWu
/W3CPFUGqajdT505VJ+g5dPzyAqW7c7qOrM4JoaBx6LliG4i+E4M5eH+0ro+GngGdIZgHAEHIPO7
3DoKIbIMqLUM3KaQ2PIaB1Gkzb8AXMVubAFj9nIQ9Ua9fevh/3fQZd/4T0GKM6yYuxAVnEq21VHk
hbfXygjnTVWr/of3TPHpvjmpAhEuP+U/Q00Y6xtoZZC6m6V2LDkvAl0t5J749C3fkzdIev2eqekB
c8FVkDusp0WzC3aLVgYh7uqJ76gKtpGREQ7PfL883JbIncrXpRf+mfrKHT/o8xT9AL80Wz/M8/S9
Xsje4ohBp48CZmnZrItVJR68RguR+dd4RfpKB4o2d8l785AZBZbQYmiHUhyu5qqC6RRjiLELL4NZ
ZASNWqaArOk0p/vr9MaSoYRQl8dLAcMuePke7cGclUFpIIRHQjnjcz2z8ZVzIEP23ftD3Ti1FkSC
kpKaRaXsvByKrvDcx6aN/Ju2PjSFmkjuOrfeaRWwPDbUvOA6eB0tDMbLURBHCYGLBYYFQ4MJv1Ib
z3LOxP7+XFDR8fesFiXgOC0tmCu0u9f4eOH1TggleAgIp8rnHwmM8PmngdxBfDCKqMyr3axwfP+V
i0wp6PgmdSMObj/r/a6ciAT9os4aAWqE2oz9wU7iVqHTStDkQzsok/6nyGrjOySAKj2BtpEwr6eZ
qu0MaTXRbk5j46tq5txaBEwS94nLfIqbqz02mntorQYyUUemgn2Oy1FrH1uLu70PYFKKHdaYWfPR
Vtq5Snwr1RIn8kUD3TP1RZkq8Wly9Ejb5xPeqvvK7c0KIUuZz77TW20OD1B0Xf9TrfrJOUurK8og
UXI12ek4Ztcn0xp6ttiw7yRivLgpdlMfwYEIcyirda9r8ee+LJzq0FFIer6hCSt61jib5K5M0yn/
HEVQtEq/HxM98VNVH/sj3rJ2T3ZIaJbnsskd+3dZ65NENeZO9QMOmqX5ucCtDbY0jV7nd2qpkR04
aaUWB3QYSfgPs22tnSHc0IYvEhoqCHzZY7SdSA/PtRmr3GPN23oyp0hEf7mNXf8Ih1kASmcNJqQt
sHlzIjZ1+DkB7dZ7y5O26Y9DSz65k5hKc45NRSYvzoSTK5aO5EG2vkEkX37CDlJ/jfoRlbVvJ3U6
yT3GuZ3+DzJidi2M7bBkFX3ufJVy9iw8d1s4LGWLP0qWlOTRuYV0yMKIbUECO/FvefE0d9zZT6Ea
FrqvVfPYHI1QbZR9JsPE+T4OnO3+YBtifoH72Tg8KQycdrA5J+1HY4Di+r1pJT9nIyl1xEG9WR+w
4HGd10kv5edczfGX6bJWzE+eGov81OH9MR5IX+Wk9B3Zop32x6ZLu4c0qpTuPGp1j7Wz47FTIfdk
0fk1dILCN6jlhiNRd/o/g2HP0ff7X+ECw62+wSXKF/yDXChuYisETes0r7XNCfKwWeuL0zMWPmnk
0tKxIBIrmYqZZ2HDH1FjAxmSpdj/3P8Bb/eP9S/g/gernaoV7uJqt7Egtk+La3yALN+29uPs1R9D
oaSFn7chqbkyzjx1N+m19cG1lXR+lOVct3ujn3TNr7KC5o7jKq3B5Skq052tdKE8FGYq7B0uY018
kmGb/JTNOH8soAtvubvc2MRsA99UdmWcASFEXG6WuUqy0dBTrY1wRvym6vcVllC7SLQfqFasjbPm
Rk0E2M4GjeBAY9zVWZPhrqphlouzkDO3vgUrYl/jQT4DvZvz/AiyvNEWWa4M67fDCQ13FYoOoMMy
/f8UKVR3cZXIrA5wGFOfdEOWaM1Eh0153pxJi1KDKZtdmE2d/XB/Ydw464hlwTIDg3vaf2vYX+nt
CLOxvGaq4EU5doL7Juy29A43Dm+bjjDRkrja049ZNRea0hhxgg7rwKjKfqcIMv7mslX2rpqO/vsn
RFYBwCphMwCrq0cppBmB3zJU5IZD4xtpqJ3KzOw33tit54a9CI2Spel8xcsxOYiKMlN4Y0lK5oaY
e7zbo6rxNqZz88kt1iKLfoNO3Wrhe3hjlwTONkE+ZngcYMiP6fkkkf/5oJ71Flf8xrTgIYB5odOF
JraGMdDCDTrJpk2A+LTZq3ETftORpG2o4q+StPm0wNkBarnykZm51r+YdWiPsY2TLwQsL3yB8db9
QDCifc6hyne/Inrs80c2sWI+T3VJhmuVeg2HUF9K13qojdTKnqbJTZudV0MRCVrq226ndI7+irOp
Lp67aZjSXdSSfr23E7NogDfC8N8k6nPyBhrFSL9a3azGHznDjO4pnWdbPrQJFGx/tHqk5arS4XKM
9Yeb7CtUR8XGd3djQ+MuiHEJTkMGgNyqcTMixcWxzaoDGYdPCDTKv6Tp/mvgafZgjlm0f+9HgTgG
8EDnG+eKvYYs3LROceBzBPf5Nn/I4ao+jbqYNurm6zktXQbgcVhMNNjWypUmMiHm4boSlGMW/r3Y
lEOhsfP6WQvNUN0ZoSd/3p/X9bm67M5s04g4gb7WuGav4RI+ZKMM1L5oxoM0Gzmcy7YvzEOf5VHk
wxdwmnPlOByxlnANucsUGYZf7/+M6/MCmJ45cy2BFmWtE3pbVZ/USG27oC9T0kRz1XyGXazvwOLe
3OmSH3FoT+9eQTbkKL4HCII4Iqx51JGn92EktQ7xyJBOQZOqEp6alyqRT17rEJ1hkNZbwcdv+83l
SbWo5RfJPJlXMMZXcEEDjUlmiGgCvrtY+ewlslW+YUgh5SeERH30tfLmeIKCVoJRoUgm3X7WpKJ2
yFvgZO5yzZQzKENR/4T47KV/JXoLYbkl3TX6NMjOdk9cJ82fathFCaodQOFvidkr3t4a6nx8VsIp
aTfwmetNj+WDfg2bSiIGQUMuT9+wUby5J7cicC2iLewhnz+VoBcb3+D1Gb9ATbDrIUexUt7Q8v+c
8R0SbRKDpAwarl77kv2l2YVsk72vCiN5tYoxP0YYPT3K2Mne30ZlcC6BpL2BrmHFcDnF3h46OSpC
BjNE+FMJ6OPbDh5S97+DGw+S7imUCOgr3DnXZcycKLSKYkaxc8UMjFErXtVamhunx/WRuEDpi7Mt
Ll8QiFdbpzt6UVXGFg+yTKfvht2PT9wO9bNRkQ/xP0zI5vN6o8twYb98bDF7xaALUwY9elNsDRCc
NUauH/+HUYAgF+gTHe0aihQ42sWFEfcBh1a/j2pjwL222kICbr4cuJTweOF+g9dczkVn8elpXPcB
/uXeMdUmcSJrYP5xfy63Xs7SpHM52SAYrc2b61Zr07hz+2AuWvHS9XpCzedUsMcsZQNAuR4KuAlF
G/1A+H+oMi8nFMrKEXM6sPlLrXwoTDf7HQodyQTtu41q7+ZQsIPJmlo6jWvnX9SlUe8JeFEUEf84
tID92GrABnplKyH0+i2h+QRKe1txUGxXbwni1NRVZrIYBuHMMSlV7nt4lBzuv6Xrk/r/Mb8glHOh
unJXiPQxTMlQGQIpdTnvCxorJ3QWlfqSRLxaqqrGTPf3x7w+JLmRoaheOrgL1Xl1B4Zvj+ggZ0xX
CPvTZPeTL8tmCU7Rs8A27OSouNXWp3VjorCmcAzChp0bwbqPTooHbh4o/APV6KAzxpj25qR6vMSu
3XwIK30r3/DGQqF4xpd2Mc3Eing1SduZEHT07hAoEgWLtMlW8sIqOqZt77371KJOp47GTwb4nh3x
cvlnuI4gtCrGQLh6dUbDMD6gIN3i/tx6gEg1bLrueAWpa5TSMnv0D1k8Bk3V2RV5IRnpOZXUkylI
dEd+K+Zcfz/HYtG+gWQit6OYXHffy552r502GDhnMGxD1JSY1mS5mW0cV7deFuQbPmt8npjc6mWN
ZpUSANCNQWhUbZBFtn4qDcIAcAxqNhb/jcdI1cSlylxMq2g4Xb4se6LhEdaeGohas87x1Gf7WLj1
LmFzPPZGKTfGuzG1xR4Wm8+lu8UF/3I8aVWq3WL0GagEVfyZSMHCQjC0ykcuANbGeXxrblhkWeai
KwKaX37LfwobUYmoYVVowdhUysEtye4uzLz4WM1EEDThpkny9UZCA4D7MIwwVH36muyTx3nXKAVt
Mz1zrWcVzHOvUW/8VWZF9RBCOv2cT/gH3d+9rvflpRlKPAVYibnYs19OshrhvhEHNQQU3epBS1XF
jwgBOb57FACghfZKHU2tuKpEkb+kc1YQVGs2czud6Q5hPYFhSNNvwArX04ENggMYY0AIAYy9nE5n
E01StHzWrSHRgGl2+GlWlPa99jqwpHhqNP5pLKo0Wy9HIZfLTAuC0oLapaYBATL3IUbNflWZ7zVm
50yBwg6oAK8YAeO6hgLT1GJ0xmPQQV/3UUWWBPdo+c6x4/p/eHZwPFy238Wpe93NzSsQ6LFTx2BG
Xe7LUMnwgnC2jsvrL3hBfBiEwp2Ces0QLIWqzWLCxZ7lrpBvOWi+kvTjySaC43B/1d0aCrU+cnZq
D+Cs1aobXCs3nbqZg9px6fpSecTSR7wxZKce/uM/7x7NhKqBF/BiZ4lU5HJReDrxYTwuFazTw2ps
sou9GAb3SFzje+3UWRTQqnCIZ7uAH7IWiIs6a8SQDWrQtpG314mN3OFuVb3/8UFc5hvinORmtSbf
dJhFjzW5RlAcy3pHnx1v3CKcT0ambNk7Xn229HK5HyxIDrcFfa3U1g1EIWSXOYELqPX3OCbdvh6S
7PP9N3Q9CioQtlZYxRz4HPuXbygazCyuWxwy21G0J1DC+cntatSH94e5WnYGiXRspciZF/L3uqge
ZO7mg5IBJSx8liLxyAY1GlKGrGlrIVwdUXxKDjdvGuH8HyypyxlJoxjb3vL6QKYi/Gr3mdx3+ayd
JjXvjkJUW2T666nx6WIvSvMd3hOeMZfjoe3HfiLXhoAGs3I2Jj31B1nHx1ETG1/TrZlxH+Fasvhq
811djjQ1yAAzSx2ClDDqAy0t2oTJWB1rrapfzbjauhG/IQUXANCyK1EsLdbztOPXU3OkOkcOzYIg
7OJoF6MGf3QKjOpkFVYfXLhePzI5WY942nmoqnXvRCd0OM1Q5oJUJ0NwMkrzg6FOW1/hVVXAUyYp
A0dLjXdtOStgKk4cWUlDGYPcqSZ/No15P1Zd9RzXxbBrsY774mTdljr3WjoFEsYJasAfIhWE3t7l
4x9rq2kQg+mBpLfjfQ5TORVfcwNp7peqQgL1I3JnMz/CrDb1J3CLCYeXrnHF4xDj/3wQYWeFRPC0
FNVea2ofPbzbzB18K3Omm12QKTvodRT+7oBbXR+UM1f+tZXIyjMiRUcVKX2RFu0uHkTinbskc5uD
JCO4/CAJZvFep7Cq0z01cCV8rnu58neNdXXsJw1f2x6HnzjySZyYjH7fgE6FuwqQtH0vJMDTga8B
P2/5Eq4kVPRoip5yxghcLEBVyAM696GE6ODRKFOxsalcLwMGgwmOYIvbOteWyxcS5o4wstlZvK49
+5fRuU30uWkHs9zrkWWUp9a0wjygxzFtCXWu8D2myT0JJgcVCPDXqsRvrNKL0ok4jbR1Td/wMnEm
KRcqm5Ttk5B4YO6sphaHKrPDz/d30usNm4nCs+VqjaaLqV9OGiPgYnTN2ggqLEN2qGb7h8Kupg3h
4/VWwyi4RZGGAs+e0S5H0et5zPUwMYM40qfU9yo7a7+CeNYeo6FTx7qmGMaNEvLG+yQDCdIv4R6A
FWtI0VLwI50GBuUqOMndbOP5RbNaKc1drY9Kt8sxs4lg7bH/PNx/qtfzZfcm7Bxo6S3LY/VCa8gs
szWYZgBfyzb2bZVWEx1ycgUOcRkXoW+2UdPu7w96fXJACVoUh4DES/rP6lV6roSYgQwcXpPnPojI
ZBg0/Q9p4W4ZOV4v2KUHx32Gm7YJS391SBnWmLQN3QwMKUk9NvTwY5PX34YZD3+zj78JhSTnqjc3
VtH1WgVmX9wfKAC5xq3T1BcLjyE14L1MNlSPlIyjfS8T8V6CIYAI3cXF3HMxCVrr+ck0U1GtYTEx
OK7YjbURnTozsvwaq9KNN3at3+cWRRlDLNRbUbumuQtTh/1Wt25QqFHR/Okm7ge7DMoVlBW4Es4J
8nMYHouoSJx92EaGhsc57Qg8WazCOo1pJOsn2wh1ssglKMu5NEIqVXZxUeVYq9REgHVWW2Zb0oNl
LV0e5Quyw34JggSNed09G1Mvzoum9AJ4XmIMMnWw0FagDs32+WBryWPp1lq7IzGXLBtXIXjqIGQZ
fbu/4q8XBDsmDq84EC16zfWrGjA4cpB0hUGqVvJ7lNV4+KFI+Xp/lGuK/MJMhAQJB4Elz2F9uXtp
7hAuFO0wwIWVjwrqGJHblpWTTFT0wKFn8iMwxM2spVk8lAR/fnKlgXvPBMOrf1Bk2z/obaZsIUM3
pu8C9xLHZEHOQytx+buqgtyPGXuHoJgiGC3cmb3aH5pieHdrf9FgLNYGMJEXuHz1uXdTlUQ10YqP
eNtmO20U8qQ0GL3cf85XmybfALqlhakDNAPCcDmdaMgrokpqgAVawR+9JhbnGgHzs+YU3SNp991W
KMPVLsaAeJPAw6ATxH1iNS3qXGUuFeBIc5DeU9yR6XPCtaqu/CnpcLuunDL7Y7bzhA8Qi2tjn7l6
e7TUoaxz4vP+FkXf5XQx4M1CpYKfQ9g75XdJVxaPFi8rN8qaG4+Vk4i6drGCwah2dfZWZZHRXc3B
87p4Vo65bobC19O+esJvLjaOlhGPW+fDNZ3ZBLLk0sT2uXTz1jgsfqFEdk/4+o9DOva7tkyb7FD2
sffiaqOj+a4roz85mXvQ9ODc7aFF1q5PBHX6GtOPD/f3l9aNZ70ov4hMJhZUI2bu8llnoo6dgkoz
MGyBBsHq44cwturz/VGW9XKxKTJpPFkXpjF7MPFyl6OMSo8OU5RaIEKRnbsa8482Cb1AY/ltLJ4b
SxdQfVGtwMrlDFl9+mE5i4JOvRYMo9rvEzt1MFOxcHBWxmJnlo6xDzV1+tja0ZZA/tYk4RShBkXd
wdCrKiO1ByPy2haLOWyVnqD9Th8XFdrv0h769573CKK4LFLOQHZZHGMun2fRTQKGr6YFLRzWM/wB
56znZb4hAL2xNuis0yUCfl6E7CtQScEypeEaw/eR1vUpafW/LREaGwvwxvti1bHPLPgLDbrV+0pE
5FSJwmUvsnv9EAm9foTZCnfS6GzhT5nufMlJDDqUkRg3ttWbQ1MCLx4AS1DBau0TO1MooRHpC0Ew
/1QXWLrbWaF9m6Xdv6qkIxFu5IUwh+0t58MbOw/5T4tnDMw9EPDV9xC2VpcM4awFZWj2T1Ei4mPf
dckPDKjJdp2b96YGcjpzjYdpAQqOVHGdJwSJUNMW33qc+R3tpVAauVfnJiV5sYdrev9bv7VqFhSc
FUNHEruIy7XZdJEK9EqaSERoyT4tsvhYxVQ/90d5c4RZbSngdQb4KvpATvnVESWm0IbKbOqBHVaP
IyYqea08GLHyQVWjb4ViHdTe+bcxzE8y9n5presTkHGQloG8tdSdXWxv8VtvzRseGDginUpuVesf
pI2ko5WpTsemK3d2F2aPBVLe8/1539hkOBYXYISbODDfqhRQ6jSWc91gK5kWxReZRVkQpYl1mNt5
i95ya5EuUjxY8zzoqxQ2VW1kkzoMpaLi/xuEqg+MeLa/hXGYPmSh1733akgnDxoPxST7J1vO6nPM
Q0U1ZzczA1HI4iMAfbb3cCDcVYoaHlW7cd6/iS7gFrAWPqPIz1f7tZa2WkS0nR6Q3DyT/mro++T/
ODuTJbltpW1fESM4D1vW1F2lltRSy2p5w7AkH84zCQ5X/z3oxf+rWIxitH0cPgs7hAIIJBKZ76Ca
7xagYVYAREAp0TDk7bv4YI3dzzGcBwo1jtKibKol+1lHFxlNpy2R65UdiDg9qFaVv+V5vz55lW4E
0Mzw1onaov4yOGH4ULlDuRE1NXm5LE4eTQ0QXcRM3mc3nQ1RD2YWqsY5nDvvRD8igDxZBJ+mfJI+
4mbdNcjfGJGvlPA3UtEHh0HHh+P+QVjZnRwA8gluXKLXUtVubqiZYiZugOHlKUSltA3OCiwOYD6D
hzOpmWzJsa8tL4q4JjEHzfKbbtg4GY1WIjEKKjCY9lbi6rui6ubj/XnJ5Ha5umBVZJGbt9uN+rpw
miox9NA8W9bw266Ul3qynuhJPHPdf3Xj6fn+cG/v0cV4bygOHjKA5XnMXW8aJ891YworCywCcpUn
BKdE/Mj7aR72HcWMaJ/NCVrzzphWj7zcQvU0hPj27dK5qYpfVpTk9qPi9s1zFQrL/ArgLnb3wShi
ZadViuGeHGVwPnVwnmQWG4+4TRR2pp87Rc30v0WWIFREstzHT+0Upx6ei4b3YtnzVO2qKCNzanF+
7R6DWVfT0xS1FmBiRbj5A7x/0flQ12PxatSTif9NKxSFOB/M5T4aW/O1GrLMPYy62rl7o1FMYJMw
mmDDIj7u7vWGp4GfKKjE+qYT6WhsjU7wF1+++6Xl2Rju0zpPooMRJKgzktiipjVU1K2OGYibzJ+C
NP/qOoH+e6IGPeyEbk75fsSghqeDGiivdgU99ZOlVqH+VEZ5e9ZDpyp2fW02f0VTEFQ7I1J710ez
18geat4pPypFpSJhd7kZ+RNxEv6TpqS/M1WI9DTEo/5LBHDGdjCGGo/ANaC+mude+neYebA8az3P
1T0WbL2zcdxWNr8NR4RkBXAsiK3F7UbPFmubHDnjToAsLSoH4M9gz/v7u3FtFIlgZ42pid4kg2VB
dd8b2Pyholu+OkGLVsxpSydmbRRuajIv3uw8TBYhWQCfcGagROem7aO9IUbnMAZiy9tgbRRwhzyq
yC6liMr1wRq4WTxXCZiLpYqXWU2H11yk4eH+ir1plS7Pr2QfYTPIZ7mJFyPlxQaPIWqbhYm88iSb
Y08lrxQK1wiZ6Hs8zwDGtHZEKjv3qFjuE7wOf2Og2Rp7LXGy9ptT6f1vlRpNsvXrVu4K+JFETdnH
VQHpXC9CNJVAqgJwqzbatN8Lq9G+TIniOKiNWAZ+pkmr+lKo6OfUDOmRntx0ptWw9dBf+xRIwIGj
l7piNxTizs7JZRC7PetNrn2EfB/9jdaAtVFOkB908SXoTaJoh1YEhYslint2TYWSCQkgYefXlATh
SXD2d1kv+o1lXZkPAipUnOAWSVTcInOBdADApA70czQO0Feswt3litNu3ERro7icRM4J5DAOy/W3
E5aVFgRc/Rz3GjjCHKbMUBKu7m/glfsOWOv/G+UW3Deg/NsM+jkvB/FUpbn9FT6K7udDPF+0uq1e
MlFuPTpXp2ZC3SNf8sggFm+UPkznPGpzpla6va+03vhQF461sYArGwIgKFAxmTFQ9FjEmVCJOlMv
R+OcBJa+H0LvVVUnYx+XabSxiPIYLbYeapMUBByblzq77/pT4dKW2A3ANdjigDGVOrOnQze5aXsU
bZF+smvlaxHNzSVpAvP7/e+3spQMzezY8eyR5S4xXB6zGV3Ac8MD+pARwg/YJWwVJG+plrI4wOQQ
6iADoyZ5PcNamZKx9DLznIXN58DS/idyV4Fm2R9dxfrpxfE+Ub47tfKRYPh1ph2Kko3+7IIW8Umy
9jRgSz/shy9xOz13jT3vtHnr/K+tBBckaAiUCiQr9PonGrRCHH1iJWhn4U08ze4xTLAfu7/eawVE
6vn8UZYUzGIW18OQM9J+8nrzHECnByxgljX6xWI2P8UDxtBHZD3D/kNuD0X2pM8ptVNNR8jmaNJr
1EiGUmfr4bY2cZ5PECGI9EDUZar+B1YRbD0yyXC+znmP8TMuHvlBTdwtMaDVUaT8JFVE/AGXcJOR
SlTH/MxzbY3dsdSFeYxF3fyH7UwhHzAkIpe8e2W4+mMu8TxMEaoRJuXZTBxq1S5ONubuG+f1NjJA
5pAIe6A6zGf51B1ETQ+prMyz2avhUbiw8LxY645V2b1/2eRQQEsohdKqWDKaJmTyM6MtuYHV0IJU
38TDqxNtcmHWZgQ6B6wW1W1J8r1eNyGyPlYMYp1hmQkqHQkVmTC1PPLXoNx4s6yNBRGVFgGYGY3a
z/VYkJTBn9vsN5S8ww9jbbQ7c3CV89SU3sZpu72dyBPJ31w6kSZl8sVh63tU+0fFss7lgP+6FZrl
p8LsihMAJfdnDIrar0WnbuzBt8rDdThnVGgYqCFRM6CTfD3BOO8KzWlVi9SRl9mnmRL9v0nsFZW9
L6MKF/Kah0PE+0yvnnVEGuZDkDXt6wBMWOymVheNr+Kc8xygDpGA8h4GFAEwd4ClKCQjnkdUXx2t
quw/B15U/pM0SEfsetPM5l0KS2j2jdwLn5uyjJ+tyNK+UURtGl9vk+Cl6vH29HVFJMppI7LJxVxO
Gx8Fvit8ENnKXkwbaYrYaj37DEs08OnjGg8NcX+XBkQUs9N4kCX2l1YkxkMWYOeDZwXWGGMc5x8w
ziv393/ObbzhV5AhyMsN2PAynVOwirT7YrRxp2nCPf6kDsyyyd14V61tMHJGKAc0zjVvWcbUexxD
0ka3z2asjD/GQW93OGPkD0Ebx+cZarovROVtMDxXpkZ3jcYwlADgH8tOhdD03rD6GLmkNvyhYQPy
3IjCfr2/fitXNsEaYjp4R5mkLqGIVitMd25FcC7C0Gp+qI6iI9PgIT+f+JmDLcA8CgTswjB29RNX
thmemwzDWx9R3Kxtd3Wup7HvhfSYX7BRLz+7Za2nj04SZAOiDraVnON4LsJz0heZ4yO/mBsbW3Il
0nAFUBWBh8qVs0QhjONQ8FfoIFk4lHuk5/Ak6eAolehovP9KYLmk1ZZsx920BOa5mFNOoUO2ndnH
OvDavZKXyimt+m5jqJXPD06dSQG8J04t7S9qkQmsECZmBeoL9ZmG5m7pbKVsa6NQUZL1OeZDWnB9
mjtVeHo4Fu5ZmS2QMAaeL0Kfg40AvTIKlStuSx5E9KreipV/3Nd63mZVF0n8FI2qY2fH4wnc1hYr
bm0UuiY6Agh0imhkXs9lqjwzTmJQS4XbYwOLTOlDVY5bFhC3WbyEW3JT81m4Rpd+j5OZUtzl4FJm
zymkquk3M5oeHGOGTBbF+ziwD/Sp/3f/mMqgugi6IKPo04AjRChjCYmvHBs5eS+1zg6RneOpRM8p
Z/nVbQoNXZKIz3Z/wJW1JD8A2wNvB5rEkjIpRA4+KRHKGbX0eFeZRrKPWzvfOLm3oyBZK9EDUOfB
TCyVrSCUgOjuZ+dsIGhw9MI+hzpL4ey9c4EeYVHdIAuhebH8Yo3VOh3JtXcOKZ4+B+WoH2NIE+8f
BTomiZNk3EFPW9yLohGjPgXU+xxZn+zBP/5jpzRH3z0XeLJ8GQAXgH2XoMA4QdOsBYFyBg4QPo+9
Mx6zOU2//YdRsIWXoEo5o0VUGBprQu8pCc5d21cPs4utUMRD9d2tHbouRDYKxzzISOWvzysZQVgh
ox2cZ6jV/jiDWx7CYstm5PbogDGANg2IBBYavJXrUeyp67y6dzyIlrEZn9WhMT5XYWg8TaBrtKM5
ed7Xd68eqAb5wKfKxDt48QpGcgUrNSqxZ3Br7mOgpmJv18bWrr699QCo0BqDSQBKVF2ip7CI6kWc
5cE5mkuFlHFKjmKq0vOgJ1sukyvHlCyLJxAMaskaXHYfPKMuXTMNzgH2br9pN8Yfq7J2N/Cuq6PQ
JIamxs7mcXf9obzAK+fBqQNECusO54uoflARN3m5/3FWl41amaxb0+JedvoSN8IVtGIUnOyCg6qH
0dGK5+xpkPXX9w8FgAD0nTxKhIXrCUW6l5dG1wV8krrdabpwd0XgYK3cZVtQhbW1IyzwcHwrAi5L
S1bXDl2l0lwr8Kz/6M5DfJz1eEtLZW3t6HlRKuck8c/FPkhrrYsGhVwxCpzqISw97p7IxqhsKPrH
+2u3NiFiAwAFUi10bRebQVi6Akl2Cs4p4nwA2GPr6GSif3/MxqyH61rSzXFgWEQgNcSS0Y0NepLR
nP6VFuM30M36Roq9FoCQS5K3D8vGa+V6GwjFzOOsjoNzXRnKiT5d+lEro9iPhZp/ddS5eHj/0lF4
4QZjf9MvlEv7R7IVITpYtYDzUBhKyq/CiYwnwsSWS8/aB4LfA7IUjrkEll6PYoPlFQkuqGfKGeNh
xrHnbJqz9+X+XNZ2nENvhmY5apEAtq5HwcObvmQ7BGdDaPE+xOH6KTQRwawxnj3eH2p1QsigyKbx
W8P6eiizKVHC9RgKYLj+T1k20yUG17S1bqsz+mOYRVBosKlK8m4mKJSd/qTG1iel9KJTpWAlfX9C
a/uOAyQbgeQl7PHrCYVagOxRqwfnvu2+CcNJTqEyDn5Tiu6AGGvm3x9ubWJIhnKIaAqigrHYENOE
h4qVm9zmqem8tH1afy/h+GT7AEesjanJRbpOh6WNKgqvvCbQIFsysToE+6CZifAyO1ZzmKho/mqt
PviZJ2NhyhnyMB2Fgwzn/Tmu7BGE1SBUEtKBoywRfWKYoR8JgXIl2mSHguD1uRsd49e7R6GKzp0B
shbK9RLxaildnmkgos9RNOOLRkHiEHel/v65yGIZVFupD0zt8Xp7DHUTUJlhLho6VTIYDU9hrcYb
QM+VFQN84oAaxMqH0qZxPYozhpXbYtlzDuZEYHs6qge7cbr3n13sc0AoEiPQT1hKxVlTVacltYEz
umnjxY2wwwhQNt1QXVmbC10iYJZQK/jfYsXiOQnjTqudcz6bwi8HNzh01iaq+/YcIRbIO4IDy4Kp
yzeRhzicrWGNDVp/xo+xKL0n+rPuIYs69d2XLH8+HGvQQWSqfKfrj4PDS5YpaoUtqjMae7VFsoPb
v9xYtrUJwZQlsqJowS24SIfbSrcyz2AUXHZdP0INZecJnENLzKo39vRtXGAqMqnj4LwJZl5PSBmV
Qdcj9vTUu9/7VDmLqP4dOv1TPnGS8qndKNGtTk2Kn9GhpE6z3N1KhxHJPDK1qFD13egO4qtb69aH
zOic/f2gsDWU3Jx/3OqVhq5YmsqDpKjTy6gPGK/nbnFqsyjemNXtxcHmxn4FygSAuxtkv1bXc56n
jo3Kv/VsOc1vdKdfw9ZtfcBEv+9P6/ZMybFAeEgWNJf8Ij7kduZ4jazdxYpX+yCKmkPfzltxe2Xx
6BPJLAI0DsnrYgv2/egpnjk65xIS/LxDL9jaiWEs9T1VTHfjVK0NRkwmSyCjxG9rkbMgKOwmbWg7
5zAcM18B3ORn2fwLp2rj3WGPPjIbnu/Efqe2cb0n0FP2miHS3fNESXqnZo44NvSuNw7VyicCJSxX
jgIUr/RFlGhqrIvqaHbPoPa93YSW215pyn/fvQ9oSHEZScEHHrWLfcBlP8SZTi1AazrF78ouf8hK
fcv54I0Tfp048OqTiuB0bajiLhP+AedyZcCc7IxL9Nyci0EkXxog7C8DJnm2X+sTSjie0ycflZST
tU/nbIx2FQL60ISN2tY5dDn/iZZh7P1qDnOl7xonmFvfHjrdObMDq2fN6+f5n5C4G/zKELtTOl+N
DaUMfLwbo/g1Khut3YEsR27q/irKrXVveoscDEkkKeTl8oQmF8/Po2jLQ2yM4nGY7Pk5zYNvEOxG
yvJx+qlt4+zn/eFXdj6UJArJsjIKJnkRo8zCDXrTanFs9qDvNXWVHCMEuS9hZv96/0iy8QbODfIe
b97rnS/cwJgi+XBTTVwyXaEqB6rWDpVRaN33h1rZ/iRiNBaRGgCGssyTAjfpTDUulLMS5uEhwDzs
xBq8WyaYcgQIeXQM5PqBrbueUNDos1IVsXI2qmY6un0FT60Of5iduiXGuDYf7iqqrTadbTLZ65GE
kedZPtnKmWqruxdoaFgghiDfb6zb2mbgw0g1VIiHFHivx6EjE1VdGYUXxynL/Zy3xV+OG5YP8+wM
p/ufaAVtwZajJ8ljl4SZ0v/1WEatzNRkG8RiUEQk9n5pjPLbVOmYqWbwtW0nUn27KL4oRXdCUfNb
NE5btZH138A8aURxAHhGXv8GMo660cC2nI3Mbv9nBV39o5/Uee+iDHvMAtvztaANTmneOPvB1Ztn
t++0XUIE33j/v/U8F1GAZqXkrFBskNfq9S9xOitRkbKvLzPCH9nORBPA+wZ9M4mO06gm5j9qNgY/
K3NS5seuDdEGqchwsJ7UkkIJ9iSFCFdhKayj0jmJTHlp40lBVjaCgbOfoY5oZ8CZyjdoMV73Cefa
Ov462L3S7+3OhCKe1mpZ77Iud1rLdyan7gEAN+q5Am6gf4RiTyxVg7g5WF7sZa+DWY3fksZokl3n
YqTga90Y1HsjiPGGtnnGGkdlVN8aU7YzP6p9MyovsF2pA/i1UjfzBwxVo/wlzqtCfK6GOXwuRBda
Zy0P7Gg35YX3EiXZqO0CPUy9i4HvVvVXNk1qsQPKpAx+ZkRelfstj870mwWbqTgJcoZyz8Mlwi8l
SKtuF5SRBw5VG4f+WLpdoTwZg5NlJ7dq7fQ8OVY3+qOVa5pvKTqvAtPtccxFbMGY/IHeifMAmaIL
XZ8aYPM7UbXcO9I67DzSKm0M+HWjNibFrnRzuqWZWrTTZ2fK0vpZb8qi+EsZm9FA0KFzpl+pmYTZ
IdP0Rvs0Qnxy/AQkfaXtp8QJigMQj6j03TB2xlNr5XhT7u0qtMwL+lt59uTGXlztQ322eMjOdqZt
KXevhBhs0insk5hQ3F9mQGGRYzoRaMFZ2hpfMJ4JgSqE/Ub287aPF/scrCn0LCp4CG4uBQMgtipZ
1FYK+EBdu+iZ2X1LIm3YxYGEeIOWEI/IVGrP8TR7n+ZK7V8wg0w/3489a3NF3x0Iobz00Ga9PmzV
aNSYBnrB2UGSbadRFj8kej1sBNO1UXitg0XGTEGqTF+PYmq1rc0eN6udRO7XMA8i2rR1udGQWQnZ
EoJEPQB4ByVy/XoUQy8QUdbT8JIHAcQCr9S/yu72U6SF6hZvaWVGoDbokdBzdoCLLcJl0TX5PAeK
cg5UQvROD8QLqu7Nlp3hWw682CQArpHt4D0NRGQpUZU4XTq5BuPEYn5Cl2an2GHiJ0X0gej42I7e
Q6K6e148H8Yh/jgZ4WPrYijZ9uGnzM72DTCWTptOCPoeizz/u8vqI6ZjhzSHBBEq5W5Sx73VTqUf
G+bGtbbymgWuKVlPgBpYocVNjUxtOiKoHV6Aa772hHyfKrKyN9rmKTf4/9J+PyuQAysb9VTxqB0v
8Zs5zC78xJvwYlhR55u5Nj2SaYmNgsDaVckA8qK25MN52fjz6tgeg7EIL6qLW02QJ6coyyCPgRW0
7I92IAZsZdyfTVvgbGh/Hnpn44pc23ysKRckZQnQ2YuVzarQyONoCi9wTLTfsZb2ml83QLneHRvA
wMomBuVQMHeLU0t9HKu1mQ8YoVGzT9JGw08k3NLyXJ0Mx4iHDbpUN62SSSiDNpdBeMkGM6QuVUI7
8XX8bvf3Z3O7Hang8BeispL6t4RalQjK20I144taCzs7UH8pMEKdU5QAQ713ks/Z4EVfjAJxk411
vI1LqJlA/kdjn8oY9Z3ruASgNIMYX6YX3TIeSRHSExKfDrnrlvzbbeVDsqglhAh47m09B6eATnUB
dl1ibn+xq1StyX2zduLPjjZOWHMKaEYbp3xtTHYJBx1MLunyYpPMgdpacx0Wl4rP+DxlWhPverND
tqrOeuuTfGk+3/+QtxuGL/gm3oUQIcW/Reh1EtcAXlwgh2Fq/Y/ArtXHVCuyLT3n269GuYD3PK1w
Thn6UNdfjdxO60RsFwiiDR7Wy8Lm2eyNp1Kt3l8IgekIx1gaanDUlrl3kaSGNlUMhaVGUD5OWhyM
p6FL840jsDIlIBco81LIVGXn63pKSdGkgBZ0Lq1wUnzDquJDqWU9mDN9C7Zw+5FoQ4FhArNPaREd
2+uhYFco2oyk+EXAkftJ1cU7uSAytuQQbioGlI1AdRE5gLDSpF4crQp9XLCq03DRlBlrQAfZMOOp
jvQh9QsrLH9A3IuSp7nOc3HqhybANqQqmi1vhZvJSvwmuROlH+k7tLSdSyzs32aYCZcMK2sNrlyn
IfkGM//d+D0JrmYITrgt2+WLhq+Dm0IVcrFe1LQa9v2YTF/bfq4v0awr3++fsptzDSJZWunRJkKc
EJTG9Qc0vbnW+8wQFzO3w+9N5onQB4eEBXVv9dSOUMR/twGQBEGDaoDHhdrNTU6FpULZFbUuLo2e
VB8xtS38VK3G9wpOYHRiE4xRx6Rvzke4nljgYmZmN6a4CLqI1YOazfmXGLWwLd3hlQV0wPQSn+ib
S7rh9Tg1hjCaOhvDxTRaeiCK6MxT1GR96Ced203In21RDuUnucoVmRkfixoPZgQIPixC8VDlldL0
csTa6//NtLZ4EEIbT5kVItVlaNGPgnfcLtYnER/u75abyCKH5unr0EHlDl/i7WqnxB2YO/ti4cnx
YOpN/FeD8dbJauotMuL6UER+YjJxbPlsUmens6dIDJc+sPGkr9TSyA9zlqkftHjeKtStnGz07oFe
kZoAj1tiYMI45GjX7XBJS9v4Ry8689KT8O/fv3qQQfAdlSgvQA/XW4USi00ZQ8FiOtcTfPgiveA9
bQ5O9aFUEA96ff9wqA5S7IEx5qEYcD1cpo9VNJoBhc1Qcomdrj5WwfA6zN2WsuLaGUDum5K1JKla
S50yGMdIpyXpeFHncf4JGqz6R4STNjyg5ZvFR71KCm1jJ64OCYhRyoyDjVnqtdNaF0NhZeMlpEz/
kBlqY/uFl1h/d9WUZxjQhaTn/2E935zSpcqRs2x5ZlqsJraTjBe7EPlPW5umI7UYtMCGsN26AW4v
PEqRAE55TFNrpaVx/e0YxalJqcZLp/fJLlGI0b7SFNFDz3v3eSwc8THrimbnJkZ5Kqtqq1W9FmNo
d5E+SzzQTb1As+ZcdJRbL+FQC6zggvzU5WX62Ew/zZ7mpd+6NHsBF+rzxirf1ksks5ZPijCCrJIu
p14NOYpgE9t2rOuxO2McH9W70kCBYleIMPhfqIYi9s2wKT6HbSueNcX0KwoOxe7dn5u3Jb+BzAaI
pbe4Gada+nbiy8MlnFTHWszYbSrxL2EF/cP9kVYWW6afOBnqpNZAMa8/dhzp0GCceLzgMjM9KrFp
/Ijqtjzmzah9LALRw91R9AO53hZKfCXuIcgujd/JAnjFL7ZZ6SWqQRV25CVRicNodMmxT4Nmw39g
JZSThaKOQhSSfZDF/PBjzysu/fFSV111KLSy+NQ5/XAgp4s3bv2V3SN1Vl1QHLJAZC47tUqCyZlS
hMArGnscv+hZWzo+eLfkacxTZdi1QdQUvhFN8BeNER+0nWJAkTpmIZ3djR10+12JvpJMT1EHIP7y
t1RYBWhuFLKT1eZn4fV/9a792A7j9wYGgE9x2Q/M/tv9vXT7Ra/HlP/+jwY8vry5RwVOXBTBAa3A
JSIGUccbO/b2i/K2ptJBXxd89w27ym3DGEdheTk7ufNXVbfG32aa1LEfuMH47/0ZrY4FYlTawOvs
n8Ue1cKGvAadmAu2ZsNONYfxQOVa2Q2R9/4IL1kzdLYMWkLc0ouc0YidrAh1ppUFnfIwxUn2YKt5
cRxdd2tvrHwnOquyQIEwKYWXxZkgr5/GPBp40cRRemypM56zrAw3cE1yba5TRSaEFgv9FQLLDTfd
nabWyNRxuHQOzIWsgBoafapUNfXHMiqRsNvU0lqfF3cXhxA/s6X3h63Una52LGE3cDPFCEh8KEWd
bICwV/cEMAxqjtTmOGTXu5yNgFcAsjKXpkevSijhCMe/ArhsFO+mmKDAJyV46a1SbKYecT1UGKhu
ZFIbuHR90yMdCTSsplN8uL/Jb9MZqg/ItsOhY9l4SVyPkvM8q4pSGy61KcDOWJ2P6Xi6a/G89vOe
F9J/GI56swusRcIl5M/5I0poxWD0NrTuSzwk7hMdvuFzO+rO/4SqKQ+Ul6aN8dZ2Bfpq3HGkofxT
vx7PKW0kxlIxXoKa9r5fIf6S+rHbt+9fRv58KDS0jQn+y9zBmBogXJUyXQyEVJ0PbgthcZ+59dAy
2jDHqFlpafl4fzFXJiefRUAh0fiHui436x+LSYOa4koq1AuFcDDGQf0aI+JwvD/Iyo4nL3LRM6MQ
wo2yKAnUQTtRvWzUi1lpeFPbkf2s8/x6NGu32vJ9uE0+oVNJlrKs9vHcW8SmOZ7pQIaNAFlsZ8fR
ThghdeP5gCuMLS2I4wG946HfJbES/5gaa8v8Zm2yf/6AxWnIil4LiqgXl7aGme8kSuIbQhk/K1o5
/oeP9+dQi49XihwMVNqJC1knHW8vMnwjxYv0/tdbyQQkDJhsGp10uoDLFZ1cZ9CaSVxS1x13FTvG
H0LcT/N2ynZFpP2T9Innt529sWvWtuaf4y4Wkvb+HDTDIC6aldBmNOr0CevwLSj/yi0jASGAG9if
aIYv1tBQuPXNiIKOiW3vniQ32ge2FsBfKsN/FVUEft/U7v79S8r9+bZDKZYti6kR0l6TcClceXmX
vU5ZX1zMRHSfE7rpRy75dhfbbfiZ5t27kaIS/wIJGetqJDrISa7Pu+riXt1kTFehWvwYhuLVFVXz
ENMP3Ugg39QuFvc36vYSeohgFh9ysW8GO08KM6bekpj5eNLjbgT+0GQo7Oaeu8/DWduJwsCsIjPb
U1wW3tF0I++UhJQXjLHtDlrouQfAXSppd+ccg7nZoua+ZbE3vxFqNphbcgx6VdfLUU0J5BozGhCP
7irf1fL8qTIpNbhpvfc6I8RqNrb26EdVx6zkwY5ZnH7GdENHe61TDrOdVi/3t8Za+IB6SFWAmhww
6EV2oLW5pTW9Ki5JZYUnxU2ib/qMGtTceFs8idWtL7tnhH6q4EspsylX3Rx95+HizJQwj/GY5yUo
hzBrfNfqjCfVVoJhl4zRlgrr2snmiuPtRk9fMpCuVx3OeGI6U8rrdLDb+mA12A751mjN5kZXa3Ug
Ci2yQAxkaVm0wgNcnXU3Hy6uiyBEglOf31Ap2wjDK/kP732pPMZbmyRhsYk6OLbx5JnDpYxtJLtG
cyaja7sy9omb2E7Zjdpu0arWton0A+GzsYo3GltWA8TGlUW/adC8b0IVE8csnj5oJEYbcXh1ei47
UfIkwDwtImRS5FrRZ4G4FF6hfjSSAZGWXLdzXxWR+qSP0VYLaPWrAeyVrFhp0Siv+D9ykkrYipaV
iSxezHFwEtOcpb7o03JLQ3ZtZuBUaVJDJsUvavHh4IwhgT10vHFBrui+lWrk4r0xja9IT5rVsVTa
aqOcsDokeQmJP2+1G05XNuPmpcQ8nbxIi07N0Bcvca26F3TPjS8t/aCNE7A6niRSgBWlQPymHvzH
WjaiScto5AWQN+ZerZPpWGEk8ajYhb0z3eHr/eC1PhoEVgAHEp20uF30yvJCOwKOauTouONlPH+r
W6WFxmPjN9jO6sZ4azuFRol8RAGEotx1vVPCudDs2PX4gEj/a341FNQopsT8T8NwbVLZg6e/tPIs
+iKZvZgOXtN26ZdUa8dPKGyO/+VTgdMhhABBAkJ/PZkpssVcDbRGNKUL/1YiOznYrhP/yIahfB3S
dKt5vLp4Ep7KSxcs9hLgqwWNOQjiyKUdpjQ5KkGHW0U7qO1f9zfFWqiSwUO+49EYXvZdUr30hiiL
xgt3p3uwi7Q6IkzbnTG2snb3h1rdf/9/qOV7N8p0a7YKyq/oAsY7uj2VH2r9BzUwH+tuU9F47f5k
/Xg18ZBncyzCx+xhqlLV7D6k5eyHoaj6g9fiSipQyThMsJxCv6VEfnj/HHlD0a9mTM60cb1N9KKH
OZJwxlyMug5D24X7dmj0D3MErsJHSHLLNnTtRcUJk4JWNP4RMbkesLLKQBEz3w8Ij46FS8Hh90uh
Zd+7oM6+DvB+Dlk6Kc+Sm9j4lVK4//6HKUsFKPpbXEFLElXkWspYZTQvXDXCdEPknqrsnIESwAAu
1fHLRtqm3h9zbdeCDiC6SINR5I+uZ60UltJDMhkv/RDq0y5IU/uZBCn5WGZckxv7du0oQvMFDebh
lMN9dD1YGuTeGKh0LFRcOF4azoiyUxVn2Mr4VseRZssEDrLL5W1AW5KCvN1QzM40AK0FbpV9JJqN
QLb2YIS8SX+XlBrsw+IWSJrIqCvBKE44ic/uPJXHvsboBuOZZN5rnVE+DnNBfpnbwUYJfeWrQU9E
wwVvTtqhS33/KlWdmSSebgRACA6HZ+2w3An9WWnz928QCNMsIuBYLtclUEVpwsxw6PJcWIbwu2Pk
U+5nSu4ckkLvTu/ejPTTpKICcB/g/otIY00dvjtaTI4XzCGicuGQlkclU+forGui2SoKrQQ20JCw
wfGZk/ZBiwQsHNwJYBTs7MBsNHcXkEH9JFnQdL9Xzf639JeaT7abOeZGaXRlf3K8QaxyHWEEuWw6
qKqoXC3koKMZnD7U6Ow9hUWZbeTrq6NQHOKqxXEOdY/r00ZTqVHmjk0CtiJ/TDs93E1FvKVfvrIV
JScXyA/8GR0DzetRCiefi6Lpx0vZWPb3SS/apxYMwnelLRjw/v5Yufd4MlILpelIqF7SEVKzDRvF
9tj2vYMiedyZ1s4LLHS+hzhp9L1bW9r7DznjSUkwKr/0Oxd7xPXGGBtMnh306dsAz8fMnj/oRlbn
ux7YyA/B2yf2i7yK8h31sG5Lu2tteSWDG1UbKcD/5iT6R2KrQa+plWZCQSCr8i9DiT7oPqqxQd3Z
bTfWG3Fl5URQQ3+DCVNSR9Di+mNSfkjcCcz/JW08gaBj1Cr9DivQuTxoqT7Vj1WZVJ+cuNLC4/1P
u7JZ5UuIiE0dH8nmxdHPpXeh7U4qHB8j33eqk3xyWtt6LywdnVbOOlfQWyFgecMmeILSnLdU8IpN
dclVsztakVQcVIW7MdQtNJmxcFcnlPHlKA8t1lKYbYOJZqddYosCnz9HVEjBkYT4qIJF+oBKwzQe
8iHJzR0FIKTgi6BQJE2wi/xEaO2WqsLaChNYZV6PLQz0y+tvm0yTHVGRUi8NUoB+n6jioCvdlt/V
7Shob0kGM2gubCuXSPOmscY8S3r1MqCl97FXOvdBc1Dpv79bbgMB2F1SNFnc4w2x/I5eVIM7p0J7
mTyQBaOn5b/qchr/rmylw8zejH/fH29lVnBWZf0BSXNMneW//+MUljVunfSgzcs0ldP/0N6dpv3k
GdFWYn+bUnDtUV2h/AyL/gbSEbc6php6UVziMjaehN2HH+xCiR6zJKyfkyywDklk6Sejsap3nz+A
k7qUzuKrSXDH9QxF72h1YRbNJU+C5OBYMx14RFi8l/cupMRnomNOsonTzBKfkxrWBAMWp8rerpMj
kNHhaTacraeY3MrX5U4InXgSSYILsKMl+0Szm8ZTh76+WIrd7fPMyfxmsr4CxDKpfhQHB4U1v62L
Zz7Dr/sTXAE3MLYU6P8/0s5rSW6ba9dXxCrmcEqyJ7E1GsuyJPuEJSdmgjld/X4w/4mb3dWs+bZL
B65yQAMEFhbWegMpBQ1xdfdWt7rcHJtVbSNXmcF5p5IoUrlOF8IyHf1aDOODUQonpA7vhVapia8G
2lsf/5rgUskP6WdwKe8Ro8ZMIWhrlJ5LecsWv8vUsQjsrc+PjN6uD6LMnmTKxtua6vfuYGQO6LG+
Ugb6arrzHYrZsIZ2sroedqHmOoZ5orfb2/0lvr4SeWGTP1Fzp4Zw5WbbFOaimG0DHYxmyRtYK+H8
7Na8aMKlovV7EMevRyP9hYPME4lkDXbW5cGgK1RXRIX3zoV4NIZNfxsJ1aip1Id1+htjyboI4rPY
rEvR68uxrDbxzCQrROTOefpk2zms07oqn5RN1w5u+uuIRqYNPQd9NF6cSA9fDpURzmZWWERCbfvQ
apbh6zaW/Zf7n+p6ezAK0r5wAyS1ztttD1Vv6ziBwxkVjtaFtbCVc2K5U+RumfKl6nrtAEtxYzye
zQQWbh4sDvfmckW6xeuoZ01kdIOJ0H9mlKuvTAnu3oAEijxILJidDx+eJIPxfgA+JBPF3YmHPN5W
RmE3XA4OgrfDNr4MwCtOcTP256Kx44P9f/3p3qVjmKN0y4WscPnpyiIdKRXTVcN47UduDMpDsrbL
6f6krm8iWmFSZAzUtI3g3G5/2DW6IIMBKkXNey1IURj40qC18lgn6++OlpaJ3zi1e6Lj/O3+wNdn
gMyBFy0vPeq4cNkvZ1cnph4jvgIMoaqn7dXjYfRb3mrr9BmsrPHhU0CA5taDEyQxnPsDtzhzJqCc
U7NrkyIy1iwNWkrlB8/a6w/2f+JZ8m0LTnMvjFy2BSgtN92iel6SJYSS4+YBguaL9+GdCFkWhAOI
eoA3PCwv1y6L5wIvpFGP8mWpzpWbTkHvpO1bgQVpOHFXHrzHrr8VaAfw9DSVkSehOng5nmIluY0F
kRFVtqJ7WKkadRMscdd6T6Yw7V8+ujPwWuCYAYmhGIEkyuVoVgcIO+dcR07X68GGJMBDYi3p61Cq
ysFC3rjFSYVIlcF6cqivFLO7edBLb02HqJ7i8snNdUhURTr8Nejw1VEpzKZQDI4SSjDa52Jsshqq
ibEap/tTvrFzQBijQiyJlFRhdodB8fJU4Z+MIB8KEQ5DWSifbHSwuoOQcv0hkboCXUpCJqVm9q/M
TI/zurWKKUJtyKQJpdNGBAWvPKfDrB3cCddzAj9FsYBaEvQZ3mOXnxFIhVaNKEVHxpZ4oa4286kg
PfHvr9z1SxblOMkJpZchiWm7zYLxUq5P2NBG7SKUP+bUXdbPA+XAx6Kfk9+AvOUKIsvWemTXIX/9
ZeoJR416CNRCXgpw4y5nZ9it5nSiWaJtbrXHvhnnR9jBxakXRfFZQUvxw0cQYTcCF+x1cJ7cfZfj
DU7R9aR4RLB0rZBjyIeHuu/NMINHc5DaXn04hHtA1UMg4FTwsN3dc1O9WDMsHoMlRUZ80mbnoZ+y
4qNbXo7C+wMeGWkXl/jlhFKrsjswS0bEO+lfzW1dX5+aD99uDCIxgxJFSujal26pp7SodWY2RFeR
tr81ldNVSZA7aZU9aquw/6lG4S2vSTEU9VPRGKV7kKjcWEsk/YABUxqQT9hd5GxF3hVTWaiRR8/w
YVAVNzD0VDuoM15tRimRLl3+qHgYvLl2XyzhaEAz9NRooj30KTMXuHCa0vefzK7NTqs9J/NHtyNT
Ac1K9krhnf7o7nBn8dTgoGFqEe4N6e94+Li/VGrhvlZCL/64f8JvLCFvZPkJ2TD2leTcYPEQaGJX
i8YOe8Z4HUB+QtQ5uLtvLCHeXjSx4MJhJLbXuMnMKiZHcKyo6O3la5qpWrAIoYQ4AlYnZzbKh/uz
uorENGJ495Mm2CTlPMYvt388pKs3r70VIcpte6fCaDSqbm4D6l/bnCl/vj/c9SJyfQPooCjEU5Hi
xuVwntoaw5BrVuSRMeCi2OmYj8NWan//H8YhHtLzBYWJwsXlOGq2oKoJ4yoatXz6XGUdWWQj+oNr
7PpjUWgDckCjkrcG4eNylLiF6do0pR1x8J47tRpCxWqiVnOVMM/bH/endONLccPYJMfcy5IGczmY
Grtt5orJkvbVWWh4SomvpV4j298eMY1uDIULC2VZ4i9Xyx7NlsSD60326kSlAqDor8pwavwvGhXF
6WykLHWQaN1YRhqBQH2onNAW3MP2xil1Cgt5+Mimnv1C88vpfM0bykc7UYGnD51y1Kq4MUEWkayO
iMGf/ZOm8cigbLtxI1uM88Og5ONDXOJmNk/dhxFFspslKQrIcEER28M8B7u0GnWdGSob8PhAoc2Y
TmjaYMMpRKkexPlbEwN2J2EplK8Z93KTIA1RT+toe5Eeo6AzKu2vmZOVT72uHxzkGwMxMSlJx5UJ
93+XB2Ral9j5NMVRBUUhWjJ3sk5D13ffzCFRjuz0bg4G0pG/AFiCerycFdyyskrxK0SNwm5MP4vd
8Q+lL0FzgN/+88PHDAydrFJwifEo3E1sThM1JR2Po1y3lnARjXjqHCCySmeH90e6Shl5wlAyMySV
Trqt7aIHYP62cVotjuxO5D8o61tndNe1U90ua9jnw/bYJF76dH9QuVQX+aIcVGoVIrxPmWTfpNvq
0sZul0ErxdAfCof+bZa7R/rx1yea+CG9RFSJjQIXu/tgGdFpmixusa36Q8zbd+DUCKiKzvHXrP3r
/pSudweDubI+TyUbIsFuz+eJ2ypjRhROtDY+aa1VP1MQbp6MLU8PYGbXqyeHkugQkI/UleW8/1OX
tyZvGNdZsaBZZ5t6ivmXcyhjMuG+P6dbA4G2R+eRxZMth8uBmsRMu3gsHRjk5vpUppb1RIA5MjG5
3oH0USmUycocr5Z9nO9oTi2LWzmyElH62GAiwt/8uejqszV4b5DGvt+f1bt34OXug+cBGRhYIDBV
2FSX06qU1s6ydnaiTJtex7wL82ZFwR7i23T21PEhM3v0iShPi817deo5CVrHOCK6yP1w9SPIU98N
VQj+uxMORYyQBU01stG8w72jbMtApzr5VHUpcpgCIeawSJvVj51p/HJ/BW7sVTDiMl+Qpl+8oC4X
IC8U0xpi4ci92vlgYJQnaPWouXXFkd3ZraH4qFI1QmJ7rs6g6FKccDcnykHDv7h6YVNCowVYz7F2
EMlu7FZO1DurEcTbVczMm9rBNIYVFV3R/V3B9/m3c9oPyz+SzhFNuHGAS7F4u7XjcTTYAjOvqFjS
4k04c/ra5aNykIxcz4UxsDQkMeDkoZt5+YXKuNlKq1jzM9K+BmwrZqQGZirmI9nFGwORcMs4yUYE
crw74qB/22nuzPwMpEZFEkIpQwQAdf+jG47KNIRTBgFPhw3K5XQyZSULT6z8PCz9ckJTYQvGydQe
6Wh0/8NQ8hkByB7g6BUHwkjFipKdKM5p6WjFy2I78RTQVNiMp7qNqyNS+PUdQwjBjJaMQPLV9iqd
Y4V4LbdycUbZQtj+1htNoHSW8Zr0JYi9ijTow0FZjihFlsg1CGLq5VriVJAWRTsXZ5a5w2beW085
D6iDG/r63F6OsiuqxoUOPUYbijMICA9dXzsLYUsOftNm5cGEjobahWOhtKLL8A85q1YznN2t0z8b
7di/rc46frTyTcMCg2z8ZC0J7dr7d9ZOwyPMYKglQbEsyWfH78HjHgSim3uCa0Um22z4PYhTocia
i0EtzlOuKj6Wlo/L4CAOYn8au6H5cO2BKfFsoW8hW8v7SIHFnZX3jVGcZ3LswKum9RTHY/bi5vPR
h7o5L1sCKUg8rkFxYhFLRcgqzpmxvZZlHkJTfxlTzQq6KT6iIV/fjxS9ZfFBh3UqIQiX23yc1sqp
KR+exWal352+3wxfx8lE83Otnw1/qqWahrdM4xJupXMofHhrVyJkI+dKtAfafDl+o0IYMKqyOHet
YrDv7aELCnByQzBR5Tk4AjeisGyjkZXgTgchWv7z/2R0A44bZZdzpgcUVF9JuMUjxfX48X4UvjkK
UGa61rg3g3u9HMVOXXsZcTs7Z/PiYdBtZk/LMB1VGW8sHOrIZPaQLhwqwrury1hVndqKRgAWKHtl
sbMhMh27KN05hyy0W2NJxIjEMFDZVHebJBVmVSblWp6ndvX0k1Y1yZ9OHPebv06eWIKxEdybtWPD
P2uR3/23ho2kBVrlqHTpkQT9JBRr+3fsau9V5K6n+NztqvnhfB0oN2JnhAKiDn2qy3XfRlUblTIu
zgUlrp+AmtvTPCvjn/e/7o3TCc6J+iOVT7CT++JqvihthupjcV4V+7fCyJ5c8JzhhudhUuhHH/nW
VqIGRPMXbAB4pN3Ct2labaKry3Oqu+KhHYWUjVgBexzc5jfHkZuVXFUyOXevU5uNqhVuW55bJS7D
FDllP3UyM7y/dLe2EXpOctnAPAD4vfxAbTo32TA25TlrjNfFVBScfrrNn9bk4y8qHvVgHGTrHNTZ
nk0mLK9T5sksz8pWzGHlOevDWqXLw/353Fo16VMudVtklrCbT1k36UD9szzXXl+F1VpOiLMa5s//
YRSuF4Kj7I7sDzo3qJGiG1KeAUqKh9ktupM5gvv5/xplr5ZG8Vdt9EQpzzC8s2CeerLUYT3S17i1
YrKpKz1juEP3tR0nYYppwygDErGBmAqdSIDu9v253NhnPG8BF/CH1tW+CThbtWKOolhf1irpsH3D
+WD6pBZG9XVdEuNI3/nmaDLoyPaUCiLlclc7aZaZNiqtL/0M39l3a9MOYq0wwj4z1d8/PjNbAkEo
aPLU2+uTpFYZ53RB1he9dYdHUMNF6eus5+9amU4H15j83ZcvZ9lH5T0C+loWQHaxp1HntZ4aa3tJ
c6DeQAqGYjhP7qw2p8KOM/NUKGWrBi5+r0dJyfU2kT4rticRKHRG9mFvKzdhgmLXX0yc0r9bMxqI
uQXj4f5iXo8CywkZVfaKByh4X6wtuqVjPTHZ0BN7e9DjVTyr2tR8FOIF6FjmAnisSGmPfS6saHW3
JeaIkSOaF28Cy/XnUWm0B1TSj+7p6y8m38pSwO79GbhnbiX4Ka6LIx38ysoJjMau/tSV1vw8mokb
aqui/WVPxodBeswPGz86jTR4qC/tsh0dsvW6FMyPPma2+fbojaG+8vmCKQNB70zTlB6c75vzhP1J
KZWJUt+8PHFuE0PYlV7gRjarfrI4KYRMzBs6DDMfqOmufm7bXz+8Wcgt0L9FTccwr5q61Rhbejdj
R5Et9nxW5mH8zEX8YRsyyvhQ4QA7yjI7SJvLmXn05ZyqUhklVcBv25n+ZMRq+3h/Lu9h4vJoo66G
ZwAXpKRX7PELnpvVaqIgoF72Zj//WqRGWSPaLbr+awWELnuW7bzZrzIxTH4MvXGcgy03UX2zWhVZ
cjLzKg56bZX/WU+n+dXLwN5Gato6s294dVeeTKMcOh9cv2ehOphVYwCwvzi6tq6DLzNhI8hWN6zq
/RW8IUQlTIeZ9K2BcRvGBea/+CjjY9oXmzhUab8RMuRLCRC6VFRCv3T3feKx9lKrTqPNWmz1NCJq
1j55atK6j3bca9p5mlHOjibNHL1vKOfVyTO/sKICs2VU91HGrWswyZbSBsaKAW/lW/G6JQgkKvNX
fXRGJXBXI64/ZWOnD69DEc950PXqov6R2VUVP9tmK2akBRD5/zYPwps+3FKSgn+8jyhcarTYd0Hf
WrutVXu1iIqm4h09rNlD7SXla08Z7XR/F14n0lyaEJUoeIOkJrG5XEt8TpB0ybsyGjxzgfW1laeu
c1UwBOyeWGwftq4BtQ8xA/Qf9RyIe7uz5TZeocb6VkZT3HVVuFlx6YYD1hVfdD231IN86t1Q4fKM
wfZENB6ANJ7EyMhfTi+m4UiHguEqTDCG2t/G1hh/uID0nHAsKHTXPtrWngPhxkQCzO/z3kqC2VLd
5g3LdlAOuTZmP43ORryWTn1vPxR5ohnndGlRj8Euw6u/eVmuL2GTOPo/+NDGFZRqq4ZznxhKerIH
arW/lTqPsQfF2OBlLClP+1ernrx/qDe1ua/ze7xoG1e1fyxRcJ4OvvHVeUFXgZ6XhCZy0cJ7vVwE
SKZ1voo6j6ZlMP3VUfKw8MojpOA1oA6kF/uVsoxk89J/vRymb4atMEwobx3+KKe10xBOtmrrIe/i
yp+SVPcxu8EPqbYQ4KG7+NivW3YAh7meKtRe/KDfoTCUGHa/Ie1FTXoLNB8xBv1Zm+P+Vy1N+1/v
H5qreEdZDYkpiVDkfQOd+HKmo4esA2IVHbKgcROu7toEeRXrj5aaHnVObkwIZiY3O0hF6cy6e90I
YfRYX9hd1JT6z8EqTCRc8Ii5Px/5P7k4JcyHVyelaJjYssB2OZ+iShs32bYu4igU5qnZOKJhbGaW
ESptP1vPKpUD+zRT6vibFl+x+n1vKEe3iPw2+1+BtgnDw09jpruoh6BW3zo2cttVK8SrlU3545JX
8yO2jBag3dFJHuvFLf8pZls9ABpdRUFeqVKXD6oBoCYaEZcLsFJDNTuM2aI4Hb9PhTl+jsf+m9W6
xouap+VBVJLnbTdR6fHNjckrTNrNX46GnmlsKlk2RIro7KdYNaCdN7lAUz8TVdwH61xPvJc7dzuK
h9fzhMYp++xo6YEh3ktEoZ1nYWGEAErVodD5PDsF0211LX2Y2qkpX7pYtO1B9Ln+rIwp2yFkxBIH
tz8sFc5uQx4vUb9NZC1lPSvqp7rD4yoLe7V1+09TPKzic9OkxTch+m19uL+7r08reQIvdvI2RLEo
nl0ut1Ts0ObFljpEmvW9KD312VQ3aFe42x1c3NenFSl1Qi3ay2SptHkvhyIy6k0SIwdU6tn81Rzz
9fMKdOjgMXNjRWWxA1AolF8oa7sJ0cNSOrUkitprYSkBIl/q4CsOLJZTLaa1i7COcuJfOh6Jk69S
aa0Oouz1NiLxAknMDoYIiLDN5TTHUTP7UsBYhUuqyEJIYfeBSOwq+wSBCJHODtLQEQfj+jPKRwZP
G0Rl0arYJ5keyoHgbfstSopJhMk4e76nAguE7/HtoxuG6EMRHNYTVkBXzvXJtoyosGhQSDPLfkIU
oj8ZrZY8as1iHrx+r0MBXpm07tignEhe25crCc7NrIu11SKntGJ0uka9h8yy6l9IDbMvhjbVr7Oi
pQdH8sZScg6RVoWCD6Zij/6y0EBatwHQqDf37hPiH/HqL1nb/ZIK9BPvL+b1ZgWtxHJKu1ZC3T7k
OFIErWwtPdoqCun4RGgpz/wUDeKHVrqLB0lajONnW6vm35NZaEcdxBtz5WUiOfL/B03cHUkn1gvI
u2oSmdLiy1zpxOMhtDzXGEIenEvAvXyuy8j+XmeQZpO8jMkxLj+nNg1rvSVLFUFBmurPQpny0U96
K9003x5QYHtJumnLw0TT+v6ZcKk6gd6npvJbWWd58rUdoaBGJuiBr1OPIGETzPamomU2m3Xeh4Mb
b9nJ8aRWbeblU/nNjm36rlPp9zUP1JRd9I1nZRfIZDfYlsR0/NFUigf0MaqXgsvdfSiWtv8VFIQS
FDZSwdWU/OGa6eQXGcIPWHs7pYaEO4oQvjm1YyBKqxz8vugqEVSz7YS9vf7dFpb4RCvTKd40M9MM
TKem/LUenOXJs0rzuR+sOA/jRn1wFG/rT9jk5bDMt6H3gOAhh+vbXUy1Vm0MLW/58Z371pXN1AWV
1yZz6hsgcN2gVzznxcK8E8rOsJ4rQ5/XYBxX5d9umMjTE8jJP6U3eRwsmea91u7wkM2gkpCCb313
1Mpfu8Hgfedu02YEDheqn2xt+mggMzkGvGdd20fe7Gcda4Y/6AjyxvZsnVxSxsXfmlpdgaPhvLHG
xgbCyWrCzEk4Ji5KRn4c20sw4woyBoOwH4y1RDvSrNXQ5RpVAkhwQM3rHJ/av0b+g5/m2mLU2Xdr
Yfqjpxd1YORpmp+KbuzHFxcdqzlAQLFp/KnYPOep1AdI5XYVW8NjlmxVFxoFciQnXDsS7YkqU/zD
VJe0C/k4Iye4HseFn5puW+WnPYoQQW+qyvA8akm9PqhrtfUH0ev6ugNS897IAw7AU1yevf908toi
i/t8TES09lMRPxSmg9lNv7lz+MEYQr+XCj9cezjTAOp3UXI069Sd4nyNqlqLsbc3Wj+fp7+9pvC+
OsYKyVbE5i9JPX+4hg2GFNITNV5kFWH67m7abbSWBjdLqBe9m9JbA1jxq573uenPjtp/vT/Lq9Uk
YYBFBgjYRK6HYHm5ml7aaPpsjmakUJY9Wfn4vayrI6n5q1Qf7g8MRork9JkQX9ol2Ym95iqbzuXC
yRCmNKg9JcFmbj1T2kr3F3V1RRy45tSxmRulqN+UulHTgwxYTuUiTspfgZssPwAM3JVQgXCFodCd
daPFdGnhJypNTa/rP1lNjh27h43m/aW9ugSIxUAgyHhxviY27xKWeR4HNHJHxOm0HglUJ1myv9I6
9pqQTkL7y/3Brr8jKG5Z5qChLhV1djeO2g6tmlKiiia9LgIH/ly41OIIMH41Cnh+KWErLWgAcO/P
HsVyK0mIiFEvciw9zTbpU9gKce0dfKurtUPlgacuZGWHEXkIXW5LQ5RTHFfCihTcxuygNIvk2zQZ
3T+DtWQH6P4bYwHY5qaWWDOO+y6grJaY0ilzDTyJ+nYLUHzr7ec1L3UtxKr0UGzm/VNc7EMwYNRy
EC8kXScf2p0GZZaFsWqkZpo000jNdPJiXy2qcf7sxSmermteeV/A0GTZk97qFPWtza2mF6uypiHs
MOWwP4mEpPRlw/syO1j5q+SQX0dDEycF+SxnYS5X3u2SoiOzgShCtfuEFVX6qevUBeiiIqhoLU7z
qeqgox1UA64OpyxssIEl4AoI0V4MbqE5mGBRZkfrkjqPVeeV849kaUvncWziSZwoVmwfBQ0gFk5C
SjWcHi6eXrtegpEXBTzdRommwbSjfpjzF4CrH649UqmBNguaGGEhEHq77Gy0MrfT4hykPn4vfGZr
+OaMbfy6eYdWPNefDgNHLLMhBUj2zR4J6lVjP9RO6/EQLMov4+i4j2k9uA+tO/ehM6jxP3ZxpEtx
/d3e3S24IOmlSc2wy+0yDkPWrHSIADCnxiuvpRJztFlzytDtV2V9TJWu8g4C61V2T3WVpjhYD/m4
54a+HLOmWVGb1uxFlqY134dtcZ6MrKsC4Dd4M9tJWT61RVn82dSD9tHk431o2kBSZx4Rwd3pqNqZ
QuxkelFcxPoJb2jj5BWL8b+MQkeNah8rCvH6coIQsrJe7S0vqihc+7MSm36PLs3BMl7HPez0COb0
mmRV3N3t/0WdhgIVZi9a9FgECE65YdfM3dkW1Mg/eDuxbAzA84TqKH+72yVOs3jTZgPp7atc+5Pa
YvOprqv03/uj3NoXKLUSuUClgk6Wach/MkMnFWLYPLn/qYFvPx2cPD4bW1/PP8s1dftAcch/H0x0
RdA8VLTq5/3h5Z10GdfplkO+pKZJokFouRx+bcSoijHxuEfiLOgrzErUbVwO4vNVLsVSElLgdjAG
NGT5K/4zyXJtthmdEjcq0ccwQzt1erBzxZaO/liqXu5nuGL9aTRDu9GrhOkISqCYj1A2N34FqBST
zIaqO0ocuyNIigpZkWdW1I+Ta530cak/j+q2qn5qzt7Z6MfU88tc37YQhfBU/25WKVbEH15wKc1L
s5SSEN6auz6Lpgiiw9h7kbdm9cmMY5TFvHo4GOVGhCO0kYRQ9IKStq9TK7EzN3rnchjdqfbxMP9d
xFrma4b4XVudj9+D9OCAvxMyZZtxn8etWaznK2qicOQm9RU6R/IESHd4NTrM1BwzPiJq3ggCstRP
Kiebz5AbL7dTUyQpZbc8jiaM75AigJyUz5nnO529HRTw3ldqd0De80aYIXhOAm+9HCtZVFRFcOs8
94u79WHBnSnlbvBD9ZOiNn5ZnCIuH2yEbf+dBHIEn20vdTNf6dFKLVN9moLUQNc/nLS5mb6Luujb
b+pWkIimKORWft24qxOqiZdYnxuWd/msCZzqHzfTWX6S9VjVYzXVYx5OiH+o57EaXBEWa0yLbsFT
fAxHG9OJp2pq0bE25h5TCH3iLPtT2w2v86AkZqA5W675hTcm+Zs51g64GKuzs8eGdsYSaDAxhnAC
M+mGZRUb5mnul/qv0kHD/3FLOmPikJqTCDxFs35MuEzX/uwNZhuqMFFA3ikib59Ww96E33p2MqIk
L4OzVmzL+jLXDrK8TsML+GCP38gc3umLRC9SYAAIl1+GjAyoZsMeh/i8nlDAmGsahGrxaRyz8VS4
xvamxYWbHCR9NyImaAJaH5BXZOVqt/mKGYnKOR2USO28rPum4ivCVph1pTpI9W7cDLzkIZ5KAQDa
srunGAS8OdW6KTmnbtx+qdopzkJrHtbyaehit0h9nc7h4Fu12zq/TC6UvYOC5I2Z8jaDDIS4N02m
PSEK70dnctoEDuA45t/EqponQ0z2QS3w1ijwJqWAuDzSe9bRUti4nnKgonk1k1OWLllgmv2HWxso
YPDApGhABkQvYJc3eF5LeaaHWthPXT37ulNuT6jdLEmgtPWRqdv1zuQiZT5IjULkAvl2uTPxQTTn
VlTJuU+W8TxhlhROC3uyrIz0mSqJ+IHH1ZGv6/U6wthCGZLmNdnKFTm/2xavFJObnDUePYE3dAnp
UfthTKxkQSNmSPlFKuvskbcFdf5uSu3knHWJ9mxWbv+bR4fBT/WZ4uf9q/LGMpIX0dKF5s2Lei+f
SPk3Ae9jJGez2AJhD3+hUIJLihiebUotoascHLjra4W50ToBgikFRPZKeZlbamkcF+nZm1018ZMy
KwN6deY3ryWZvT+36wuaC4XerTRI4lm93/VJIZStxYT2bA0OjYxt+YGu09+xrU4+XKgjf6J3UOfl
LUZ5BoMzwMxUIWkwXO7IxUGcqOliJZrdVsuDURYJI9uaEpWQnSnq73ExETlR2k6LIAE0hHAz0C7x
OCHMpPp9Wmrmo1ZY1nAa6Hz8jkgw7YFh1gVaSmJwlcA2V9H8fX+RbnwQKaXE76X3wyt0F2ptNM8d
o29tpN3Rd6fP/XcOhOkl08uDLPg61FLWgDFANEcpigrC5fKsHpfU5BV2NAAcgIpId+cLV/UyB6ni
Gp8xVBijpWrtt9ZM+7/uT/LW2NQZpcwlbMorEtzUqSOMKhjCbqKeZ2fSA7svDXoVGgYiObJpbxJf
+gkslvhw5EV4Ugr5Ivn8Xte5nLVrVoW9zAgN8PbNHvLBVv249ryDnX7jIyIYwlan1QOqZg8s2uhv
Ti0M6SjLHPtTtao0LWBgzz+gm8Tf76/ljRgo83uIizxmJN7yckbtUuqspu1QkFnrU1LX/UtjuEd3
yc1RKPnAyIFQCGNmN0q+1G29pG7UjPRqGkAIfCfzKL25ESGoWNKIxxdOKvjt5tIbYL96lO5xmJn/
UNrtl6WRQou8HXyjRUzz4yvHCSAkEeB5p+2SjTRvcmtLJjfCuNd9GkVunBrFOkI43NoLiITAnqLv
j87KbpRm0iu0MVtq6paz/LbSJXJ58PozshD/3p/PNcYKhBVKUKCY3zkVexdOr5oTWyi6G5l4XDQ+
4j91GXruODzXljMmodEV8w8x8c70SfxzAQht6LNAtZHHOt3/Lbf2Cz8Ddz/5/gWTe7lfZuHWQzlu
bpQqisZrL1kD0xbu0/1Rbq0tGQfNCuCQHvIJl6P0XerAt7GZ8JRPvmLPw2MZ16PvbPPR++vW1gQa
zhtWqg3Q+b8cKo+NpWkM6vZgIrvfKlcdIn0yx+8IW+q+K3Tvl/tTu5EISDdVng0meRVn7nK8UV9n
qywbDzeRYZslBaN9EpsGkiIVw680Z6sgHZsPC/BLuQbezlKFgAbCHiGX9ZrQlkWKo7g58kbxqHya
RSVOrt0m/0Pckk1wKvncBGgPX05whpkZpzGnb5tolyba4AT91hw50N3ah7QoAMziIyJLn5ejtFmS
zlbHPtSWfn5R6iI9QcM/ykNvbQ4paifPHbypfacgQfc2aaqF6Dix2+c6m96yVNSfFketn5Kkbv65
vzlu7XvexVL0wqNOtxd9a/TW4+3LQc9J657WRLO+rirCiHZqGg/3h3r/Drs0iuoRiMb3FhlTvFzB
1EVCKd5ULzKsBaM4fk75NnqDofnbNptDUDnOWL12ndBS31UMdBL1tt0UPxFK/oa6n/FtmOxae1mL
ovzqWXn5LTGt9UeDBMuPOhbrG6yV5PfcHHI1EL3ynVKo/lDFOaCD3pubxzlureXJHJqyOjV4QaO7
X5Sbc+IsaD/M0h3UsHfzAcedrKK2phWVeYD/eye97ZdAYn3oLSPFSHy9XAIngbk5xjyk9DJ1vdYv
y0Ud/bwzAPwilmFRZaKjtyQ/Xb20jT9SbNDd0BCWCYkyA+wQqWjC1txhADW+zOVstwFGZskTvIwG
86Ou3pqHuO/z+LlWhz59M0ul/Pf+Z7yRcSEHAd1KciOkIsDlFPTUqYEmEykXvdpAGOiJhsrjvDx1
YhWF32Sz+zwu63TSdBF/vHxgUO0lagI0pg64p0SpiFZtDaXlyBXQT7wcNQDy7Y8nDyQN9FRALJHV
An+7nGJRWLCFFujfS7FsFMYoAAOQ0MehCvM6a8hjx/Lj7U8udlSr0F0CJHrVyXGcqtvqJYFe2FPx
sfs6e8xFq/hLg+/Y/S94HWOATRNbaM4DpVb3jBoVw/RKxVL5nNPBAYG/9ieAk+OzKxYjFEW5HOz6
68gJChW0tMqoOAru0UpJEptev8rlLJfplFLrDPFYO8oTbsyKBgCqcHQyKfvsP5rQVrVYRVqerSJb
sc00H9eSqtlSxQ+KuzgHGd+t0cC2SVVQzjJ6QZdbZCZ5FZ4uwBNoxRi2apc/6LWGKrvW/mFXVvdw
/5O9c1gvAwcSzfA84NHK4sFeZrJYeHu12VydDWPQ80cqFcCdFFh1/VNsulV+xvleNC+LCZnAXzY4
AeG8Wp4ZpGpu/sQY2XVPsyr68mRvHXAfp1u71xlyBJDgIp//FKohOoqZVeZQnqyW6s+V27sL3Xns
f5oNJVwkAkbnq6VxXYTVIrzstxQgx/ZGZrF2IUSVQj3pBRpbJ6Ek45exs7XWb+dV7/xqKeDoGO2y
/Z2w0Sd/mwb3zQZKiu2j3k5fR9OEhGzxnsofbQF5NzxYPr7GbvV4OvEUIH2W7qq7m2dRUn0zscA+
01ZIA83YprAS1Xa6P8r1XQoAGLSsbPlSJtjri2nAMZrRautzoljWV11Z3G/xHIsfg5l9mCpO2Z5O
KH8o+5EoyCP3n5aQ7i0EpXasz2qiWz6iA/nJGtQjHZabE+KepulJo+BKSy9zRu//cXZevY0j6Rr+
RQSYwy2VbItyB3e+IbonMIciWUy//jz03owowYTPArs92BlMqVjpC2/IwU6WwYR2/RH9zORQAvM7
FnIzyr83FKzThRmAng2h/vWEFMVOkGRqyiBOwvmkYPSBaqvITjXMiI1lunMdkRkuTaQFMA4E5Hqo
uPQKJVaMMkA5VR4b2w2PJjXhjS13d0L/GWXVmaT8XKVVMZaBggj5HzkA+2h7RzuN+pRu3K/3hqLM
t6BeKfbcWJi0SdmqSHKzGdruM2aOmOp1Ubwbx37LNenep+NtwqkMMBBll1WknY3ZAO4vqoIo0rMz
4IBkl3uK9/T+c/TfUVYRRoMaimiB+wW1YSdfhsQMfTeb5wBHx24j7bs7IY4Q/EtSvxuiQmTEqlDw
iA8MjLJ9ck11ZyuJe3p7QvdGYQCwYbTBEDZaTUj0fWr3ulEFeW6HBwV/okPTlVvulHe2AYwWpkFY
RNth3bWkZBAnotTKoKDV5NMQHx4Kt/ksQiV/d2sDCRlAq8D66PCTEq1OkEZ9qJMu90I59gkNUi16
jDLpvn8fXA2z2m1h7Hau1apl0Nv531rq6A8kAYOPdteWQ+S9TwcegqoXLE8DcdnrCaF1WDWTVMog
lYl7hKJUd7vUiKyPIPBSdyN0uDMYBEiSPC5Vtvna5gxUVJLmjV0Hupv3pyRBRqWqRf6zFs6WRNgS
hazePSp6iFot7x67b9mY/3kmnDbyUk/EIlikOFAbHrUPXTfZZzFl2k4vEivI3cbcilXuDLpoey/a
qDoF/lVoVFXCidy+EwG2wEp/7OwolPu49fqXt0/VLSABHzUqNQt8+rUkdj25nKxIbya75F4YP46t
QGxT/Z3VFVTK9CmtjMSPpukFy+5vb4975zQv1bEFjQT6A7LP9bhuq0xjGrZVQNWq+C4mmXzEd6c8
bIyyXArXa0fIAn4GGbkFi7yGOiT2POQxJzpIpqTTP+vlbEe72uRNobZY1s3JVcNUfhpqIzYv0gI9
53dmH3U7j2dtDPAwTuNnfaZ98tQV+uhdyj7qm0+RLpPqModIkfnzOMct6vyy/wbsWvzleWkaPVXm
HBVnmyKtczIkHvLYh1o1EVPEkh88AT4RWDQUqLMKUFnbqUNLBjZINfwVD2Zh+6o7Rf84/YhXklb3
lXgZnHr+pFtF3h/n3FQ+55SqMJtt0+RfT9Rxv7fDVP+h1d0Q7xtnsOXGLX974viUYJAwMFqghuv+
jYI8Lz3pvAqmHNq4I+1uJy24DVlmVhuH+3ZzXA+1OnFxPjddYiZVEBtOdsDovDsI6L3vPmKMQlF7
QXPx4K8rKWIcEUz0BC9kGCknLTWMXY07zP9jFKravFxwmvG0tK83ujRlnGD0Jrgkptl56I14rFGW
mOx046Mt/6L1VufaWx4Vcl8S7+uBRrZaaDVs9TAT2q5xx3YvxgE3eFNp5CPuxLO2cbru7Qhu4IW5
S2mZJsH1iK2bJ31Hfh2Ycef+bTmp+GZUXaX6Fq2Ijc/42mm9mR5oU1x2iDpvWJ+OF2eG0jUCvQBh
Yd9nZW39aXTreDqSqTU/pBbK+os7oTRFRcrWyn3bmdN4skI3+S6SolZ9eMhquXdLkXrg5+0Z+eK5
iX/m0C+8nSt4e3eQM3SDtq5n9busm/Phi232ueN3fWe5x3gGdu/Lrpy8z1zc2XQykWvVd5GMOgjF
1MQm33QTyzx1kd1Iv+ISlXscmmdlF9WaM/lY/enVvsSALHJ9l2KIfFSdcc72ehmn2buffgiUsA4R
WgLzRhvien34CItj0cz6JEl9oEipHDIvzXweui0RhDubD7zB0kEkrwYCsEoHKjg4dlebImgmPD7y
tkcVujV6OlOzeprz6P3YcxQXkJZHeWux/F1LijmRHtM7HEVgpWX2Z0ZYTPp1VDe0zJVE2cIi37mP
mNqiDI0Q09JBvP6QCcpBdp0wmqrO7Q7iWLpz4lDbvf1Y3cYZzMkBHAu2dEFtrApmHjWdJiOUDkaa
NZ/ZpNW3TIphzy2V+YMRzZcm9vJ/3h70zhleUnoHiMhrHWb1DhvDnGlJwqBWPup+r+aSM+D+bRbD
vP9/jMQ2JJ5hkyDXcv0RS0+MYSVdEUTdBBwPHQthfUgKDJIOZsLTsrH5760ZAQbrhR46xfJVAEVp
LE1VtHyCWR3Cg4EJ0gfNm7cMIu+tGQ2oxal74Z+tOw1eaqahVdRN4Al1tv6yoKYNft4muIWmtVt5
AVbfpntQiMC24Bu3kRsAQ+Indj9cGRL+6++ZaTOOs4PTBL3el78y3ucx8hV4hoqvRJWW+XHZdggb
pWk2+0bkKI2fZEZsbzw79zYQhDIiAtpTiyjB9c9odK2K+zZvAkurzGPdmNWncDDFB2tOmse3d9C9
JaXBQupHKWVxE7oeqksQm8cGpglE5vXhKbJi3T6OIQoEh7cHunebYdS4IBMWWvG6j9lIDXFxy2JV
IW8+RbnSgUgRvXjy9Gn+ZgO33ID93BkQHTTas8vpXxr61zOzlXmGO9KKIHV64EVG8seLy8x3oywB
o7wFd7uzZFzSFK1psjO/denaCqMByAXvQqUY4lOcCXlI2tb9JM1xK2i8s2TLe0CzbxHdBFpyPbE6
xYRLH7hewCwCbM7U3B/L3nz/eiGOyPMD6oIga91/K/JEG+gr8vrwir9QVpnpACWV/mwNo/0VWbYt
evvynK2Ckf8OuO4+z2AiUGyyRdBVWk4sEn+q8vxlBswNovoCauxf4VkbHeh7n5JUhkyGBgdB+Oo1
l0nJJ3QcJjkrWrObptkrdkgrae8vgXCZLBA7sEhUQtY3p2aESdmR/wSNBy01rDvFD4VW7oZJbJWU
71yfDAU6EfoSfIq1uZSSTEoTjkUTyNqgl+6qwxR4YZY8FvWUPU2p3h0KNdyCgNwblcyTWgXwGZhT
q03phJYTpmPcBuXkRA8ya7VjZA7dUeqmDMy+FQ/2UGxFLPcHpVkEvgVFz3W5ZyiyyDPzsAlKmimP
jZh7X5ehuSjbNfuk5N3Nq80m1a3pNd8VXXMANdyaVElWj4Q2GSngtqoN+lmI5hgqWf3o8qk/oTcO
Ztiu2hIBirzcN6qRgal27SyAkIQXW2LBN3/7Wr1z7wCe0GB5QN9bAKLXl0EawR3hyebHlDZADTHu
O+DNuwjL2A1Y2Z2PjaYfYhew1KACr9/GsJ/zZkDwLhjaIf+dGGr0CyvG+gmWfvrRM5SGIKSKTm9P
784BpUVHMxdxZs7OWhLHFD2Rhll1gWLO2fNcls4TfPJyY5TXPPv67qGMgOTsUrFBtXc9N90bMOI0
+Yq2qJtDMWo54viNjVgDzqN4saaw1vN5n2dJ90QvdNoXXT7t9byUx66QqIUhwlq8b2XhXeOfsPSy
KZuywGscfDvbg512jjyrLpUVI6zLx3T24rM1zFss79VXXoYC8k62vjgN88cq00jqBGhsk4xnZCEV
X/e0yOefto/vWsvXURYyOSEA3xlZt+utmmNjbTijGM+qkau72FKbI6HPtBHxr5EMDLMI48Fa4SKi
D7ouLUJRyLomSeaz0VIFDnKvjpvT0EwOdyEdCfD1WttWD7VZGsXBxq70d6K0do8ZTi/RqqBb+Led
p3P5qTTiOS78Lunsnxl0V+NgmKUT4NiqVYcMkkZzaCPVeae1zPL7mQGusLTcsSxZl1Bo3bpaPVnT
uRxtKv9wMSJ+gwSVVRj5xsZ/td75z8ZfBuNMA93jWWLnr5VwPSqhptqlxrm2NfhiVMga5IMndEjY
B0AKbHTj2jx9SCma6X6uUR8+Ygmmip2mp5Xc4yJk/d3yGHVfh6K2kw+RmvXZ3hRljGyqEs0nb5p6
x880RX7r9EFkpF253eh+0dWucWiTrsm+9dqsiL1pyU47GjFyJYw9pdXGZJ3rAGOZK7zqJT2nQAUx
b3Vv29Bf0zrPzLPhoYQC+SXt9rOiRrtcD61PvZEUf1VW805LlNdR2YWUCwySNNKm610/SARFlFo3
zqQrmu2bQAlPMxS5wjfb90J/XwejnA5pG8IFFcXlE/ynrG4Zbetl6Wye0dcyuMLieQ/ruNnosqwi
a0ZZDCm4LtmkpA3rKcH91oWTOOZ5Qkfy0ezj6MXITfdiJdr8gFfusEHWujce6MeF+cZ5gOlxPask
90YUIyDgJ0lo+3TgqifNTtJHQ0bgAMpmS91uFYm+zs+lO4HdBgUe2G/X44Wd11aIKllnflH8E1m0
4VjT23msYPX5FVI2z/TN52OLzPvGnb+OLf43NF4mr+wgcIqrBWwr3YURiuGeUJLGB4UXn7pw/KdF
1upxSOIiaDQr2dfkL6cs9EosIT3MESa++9t39SqseP0dMLe5F8jUsGpf7dquhLPcUHCDW5zbR7L0
cRdCD9krdbXVul3l3P8bClk0FJIWZat1Btq3nlrNIrLODeGNX+SVuk+KqtwXQ6U+6I08S8nAU1dg
lRdX0UZJ485a0yuEWgOGBbj82ouygJ6SW52OaWM12zuR6P2JI8SHtdIO1Zw6PkD6RqMok9NGgrWG
Mi8Tvxp6tc1k3bS2ImL73AgxHDptQr4iU60Ppl47x1mkfHKW/akfSrlrhYxOZvROANTrT8CTbRGo
giR8w1o1ocZmtZva5yQt7KPQNLmLW7EpjLm0Xa9fGTpFMLsJZFAWoDW2OlBEvxWCoOpZaPboHPsm
JCPvBJ6Bhz6J1cp3UMOsfb1NtA9mK/px33e0mXaN5xTdbrZxBdtI/G6XHZ4TDQTktkn99DX9M9fR
yexyQz23cX2eeYfGJ6N1LgSbmFw71nOKiM9GYHIbZJG1s8+X7wwgYv38AEieULI0+QiFlR8UNdZ8
XP/GjRvk9jRxRRLNLTBICvrrIu6c5YI+WGicJ2kNOGLI/rEFG7Qv8zA6VqCHEYWf69+IOlG9jvst
Obc7k1ze1wVnZBCDrZNPMc3UeZLCPFdaZaGf4yWBQ/d/4+jcHYWuMfcO+aa7xu2VmlU0uTKYZ4JU
9Ymvnn1Jo8zZsA96xdusti3dLNpZvHPUc9dluBrrXfTnauesVl7en0WSaRF6YQK4GQaGdVs+60rd
WhdUDrvoMqW2N/pmXEb/uLOThh/bupYqN1dqZnDonBZBgHiHYFX1Tzlhv/WgwPZTLb9oQudLDGB2
2qGam/xIVBeBOGFZAmynkhWq81FoeTv4yUSVZoesRPqXasS9/mg6soPdr1T2+E7VVS4G7n0uKL7f
ayy9upusGNjbGKXmeRRu+SwQA4d47GQ/335lbiMyXjDaG3QdkMfgIF7fC9QdzRqOvnkuo3B8KbK5
e4ncDm55L4wDXdr+2ChFv3970DtHH4OEBfdJGsL1vhrU1COn1WeMZmutqx90u1Bw/jOMB+IKE9M1
Lzk0npvu4k5kW3oJd/YtbUQeVNpHFPDWr7ueVwkONtjj4ePV71GhsvaZLLbUVe+PwnuG2jGV8PVF
o3bsU4Dbznnsp/xAG8d8wqxsq577SvBanQ4qL4vNH9n5AlC5XrxEa/APiKFLpejxYaGigJMcNKyM
xqY9CjvNfs6ZanwcBzV58Vja37x18b5v2v43etPTx7dX9c5WWvJKCtlUsinCrpNLkeOT1iq4PAIl
faKFcGkzjHdcuJ6xDMdnTzHS49tD3sZIFH8W8iUUBfg/68AliqLagkmNplaphJdOeuYhGcz2oTRH
deNWv11SVpNuMKtJ+RBdqNW3llYkiAWVcw48wPYn6dT6vnDsVN8I7W/nxHLagEfgAfFA3tS23HCk
k9QqZ6UZx58FiXHmO6LRv4aDtyXCeXsQl63DQ7G0eai6rA4iDS219GaXscK0dHZq3pulX2RuJfag
huLWV80maXe96U0G6vOp/k6nJi45C6AYiSB/gqpfBwFeNc9tpJVRgDez69eUn/fjKH68d5cwCMKm
6M3RWqJqeL10cVJ0nYkeY+C0te0XptN9gTs570oZ2xsdj3uLB1LhFcnH5b3mcGgaa1Yh9B9UVaE/
NPgiHEVXWE9VHGkbx+3uUFjfEj3hekAaeD0rA7YfKVEHK12Wn5rErB+ou36dnVxsVB1vdz7aLiCW
F4sNUDzrJ6L2ujSOWi8KulZVLp3aF7+12Cz3by/S7e3BWwdWC2GgV0Wb1SLJMBkzxDeLwCncxZNV
lj+arhV/as9qn8c26j4K1OY2lut2assry3W16Dchx7XqTRcTllqZnYDtcwH+QK/hL6GkOX/entud
YeAncryI8Jnkul00wj/g5e5qHNpamgC5mTxLnuTT+0cBWsd7wDkizl++8H8qDzEhThoKoCRhLrtd
DW5xlxfaFrnhZtsBiKAnyr+fwgOFgNWbU4c2KEEcxoO+d1EDlbLzO2f82c66PLw9nzsjLcBYHBO4
dkGtLn//P/MpOsQF3UJvA9A/giaK+ssUDcDiSNnYencHolAJyY1bENjm9UBoyC7cIaUN9KwPd7lN
OBBpeYYkyHtB0q8mEACxly+3qAas7ztwcE2dAcg7d33XvRizVf/qa+OdwI7XUchATNIPNvUNjZp0
vp8oYqDCFiXDSzmjDDsndrcRnN/sasAjILPw0UDhikhntT4tMRpXKyox3ahV+76Oo703byog3S4O
tQFKafyH3hZ41evFKZFi8SYBqwvZKEM7JLOdnbzCM4a9XuMW8t4tRxuH4jrUfcbiZboezDbxVGiN
0Dsnwxzbj6Wrj1RSy2IKfR1m7sa7dFNUW5w2l4ePOhdP4DqkqJW5ribADGfLFLZv523mV1Z8UMbi
RzyVWwK290bDcI+kkGuIbuvqehh7BcntaA7PIFn0X2M9YuaZ1cpjR7Ia+VZkvbN9zS5cuPXUtinp
0NJY526qlKqnAOEMDBBNe5E33UFa5dSix9zV5YkQ+Z1yfMuIi38XQC0ID1TTV0WOJI+sbsBnG7/N
3voHvRHlY8Ml8vL2Jrnd98uZgrfM0wHv6rWA+J97KYdtq9GKEgGKTvoXrw7Fd5hM4uH/MwrRJjfF
wtxYzaWE74TmFRADD7b9AVdqao5i2NJMu3l1KXmzOEtJaBE2XhcZsQfDC8HuZOCVs/MhUxNx6PEx
eDJSjJ4ye5gOea29E2DJMpHY0hwnIENRAubD9SnLzcZS0ImWAWJ1xVGrsnSvNhLBaJgDG1f7EsBe
ZUiroVZXu7RoeTX0hAO9cOcXw07N/RQv6G/NSPZJPmYfvSnOHzMlGw5vr99tcsYhW3o6ZLmkm5RV
r2eJ1J+Fdrcug7Fv48csBl1n2nm1l26Gu0+I9nffzn7Vhs5JtEqP4DnUoxa+L5hJP3fbYuMH3V6k
xMB0s+g2adAZ1jKZfIR6bkY5BJqLmwrYTeWDk7jlYUTheSOFubOrwPkBQV76uUtn/HrqiKgKozPj
MejbND9By7T9vOsHXxubHJ+rajr0IjY2DszdQXFvX5jqGLivqQW0S4ZcQe4nwByzfIqAiR2z2uwD
ehfio4N0+Z/UTbdaSze1Ph3YA2rBvBmUMm+AQORmUdFUWR/YsVqkH1JRWj5yaf+Ei8nXjOb5Lkfu
2pcAhrRTbzmbIq93VpV4eXFuQOBraRVcf2qrSvq27qIB3blQHkdnSvaij0jcZDQ+buzo5VyuDhN1
2kUHy1nYz2sSUe9RLhknY8B4KmpLv4wax/IjmeSftGxRtzHSMfxdMsvZl5oeK/u8M5Hzn3tB0Sxs
0sjaON33Jg/bjNCauA3o5Wqf1ZImN5IjuPAV2P85Vu/tukE5eWrRnDbmvmQC67mzlRH0JFHgz9Vp
thcjE1smYxCKerRo+tSf0vynnrsWvN46HX84fHD4Eglmw36PcYlvYee10YXT7k3YQAeR8AT7ETSj
r1dbhc5bFT0HS+9bMHSZ58lDbcfexdILK0gi7Vdt6GhcJdWY/Egz8Rir7hc7MuPMz9z26OmFuasj
VA5OiUDXcCN6unMYYLywDMiKcRbWebacoP5bmTryMErderKofFs7QYnf8XNrmnU/sZovugj1eG8i
U5T4tByiaaObdO9HLHkJoHcOBKWo60+UYMTn9Uo3BrxCzbi3XeQcC1uEj1pKd8n1MrkTkfpv4zT5
r8Ht0Ex9e6fchllEwya9WW58bqJ1FobAciPUnGsokTWN2Xx81jHi3BVEqw+iFhuzvfO+sQ/YC+Sv
9ArXZvRFjdmDk6ZT0BRx+6iKsCZ3EVAzfHOKnl21qH1009ugJvbbygTX0mfLOw7TE84iJojUcddw
wTBJ47CJyymg1FscW6QRaBS52LikSv1RCRHANDoLCw0hTOGixdBUL57a4gSSerLV9xUOhoExD+0p
yuVw0Bv7d1nN1c4o662IYzkXq9P7PywPkc4rKf96U7jK0Oo4foDCY22OEkkNv0tNc+OSuLP1UONd
7iPOJ1iDVVxj1L1WV3EyBRjdxc+KrgPUKCMN5f3ZPMghm1B4s8TnXmbNn9xJ5Pe3d96rrfnNLBH1
s3DUgdK0Dn8LBxuKmjcH8IgcT/PgRgddjRU0KtDkbapQvhiRl32JuFJ3rgU0z42U2o/zxDwmo+Ls
nckx/CmytF2atePBpU68cTjuvNHw0sFG6OhEouO4urDbBDV5bH+mAP/P+VwO0/wyemj0+LHRNHRX
9bD9kefaRqK6xpa9blTupEVXCYgNldXr5W9EV3Z9P03BoHj1zpJN5vfxMH7gd35m72L+WFflwalC
b286i991rfZfRG2NTz2lUxDnzpbMxp1zC08QO3fwdCqIvlVc2g6ZMoVJPAf0X+hyq0NPBugpEpWI
Lh2zk2ic9mjk9HwGV8m+vr1R7q0CNSJaVTab5IbyRtVXNjqs6aBVtf6fyUCU2jGI91uAuH6de/El
zzPv/7MIlPeghyNYDaVgdTrQWcsNfMCmwHWkGkyuxlGXrVDVU1bqKgrKFq+Hr8eJihNcPsZfFTic
5WOGgp6FuUrWtD5Jl/utwjz+x9sf5M6dTeSEXgc/DlTcmrqOZl7ooIUxBWBZ0QdJU9jxvhY7tG7m
JrqMxti1G2/lvRuJZgkhG0geg7789ZbE2VUtFQtDobnFakIZc/vzLOdio3R7C2bhigbuv1zOS8dt
HfR3CXMrQzEFlU5TYR+6rnfQpohYXBmqNn30HKF/KkVt/msDg/hXQegsOjZQjYC0SF3bMgy5exIB
y9q8VBBzEdC5nvZomegjK80cNEZqj4ekVm3TrwfUXHctqktHNWOFXRwg//LMIu1Qk9DVX4MzFhdb
NhGSgDh//BkSp5m2vtSd0Io4HiIU+RH/u64zdd5gKGHczUE4GOa3CikLFaSYNR/60iSOsLSpCDzp
IYmC/tOfzKxPMypcj4kXUfKScBe/z0gJ+KiAOX6LoMBGSvXairm+3CFQIV+DBwoq7cQ311+uUcfc
08pCDXRKx/JJeqHy0lP/ix5MYVLLAXaQPZfco5qfKF7yYo1l+XeVK9ZF2BjJNt00fMGH2RsPC0WZ
f77tIM43mnl2FLRNQf3IUG5EJ7eb/Po3L3//P5USVP5tu6lifvOEuEybe8YOEUTv8e3Te7tyjOIQ
btFKvtPSndpowZGGamAAHUmDjOdxOLhlbeQf1Lk20t3bw90m9jzuCAEsSF1q4chNXc8Khp6XRg57
WJkdsJRG1xg1z2aCJcvsZseuay591w4fFWeqCIaoKC44dGV4yZGwqXAQG9EQf/s3LUNebQ5iaHIS
amzQ+LhVVptjNPM5DXVjDsC3DJXfl2V+GAD3YGtGUeGsOFXv7BqjzNQ9yJdEftHMuP799m+4TU6W
H0FHnQdlQc+ti6fNaHNjo8kQVDV6pP6QYo/gR0ZxzGJrpLRpKn2gWHpOjuaOuwzdrEc0tNyDE1MC
TTuF+ogy5V/HKan38YhC+tu/72Yz8vOwlIFoi86hS+NxtWwp+p5h36lBzrktfCNOc8tHV8YY928P
dPO2LwO96p9BP6Rivdofrqpkc4KUb1ANeU6gUfwVjeN3pVH+EVa1B9h8tNXy+PaYt0g2+nIMS10N
RCTx+CqgsMMcO2m40MGkAVPfdVKRX62qCQG/9KHAoHOUzQdiXqUAx5caqT8Xhl34E9xLdWP+t48O
v8XkO3OV0sQGvnL9pScjLuk7TWrQmJ0nPigxAdSTxiv6LNIy8o4FeV+6l7Y5hgdgcbWF6j+QJUJB
CZQSRWLz+9tf587SExGTq9DDXPo8q/gvqqRewxTRgtboxDn0VPkptSZvKztfTtnqFFJ4Iv5md7HV
1iqQmmzlWBGHBtMw2H/bXQm8Pi6Vvt6XWWQVOyWeRPKk4m2g7QVZebibccb4FXfe5PmjnGhw+Gmp
15h2tFCVttgMr1ycq99H2ZX6DeRKsiA2yWpdqIEpRAF9dkkLLbcO9aBNykcdWa/QxNZxwIdc0/tx
+ljy/yEq6KX4lR1Dh1D0XAGXzg6qo0zikAPth4SfZWrzIGI8H79LEU3jvqiLfPiWGKk5HHVrUJSX
PHR78Y87VXN78cLEsTo/1RNR/SWMlFaRjyyNZbX7CC+iYoZGNxjlPipbnO7tac7GPzaQkehZ4HUh
g7LLCmXj2ry9ynnxKR0RCvOsIoOy2hhJbY+6GKPk4maTDioSyZ+/zcw2fo5zOgA57XWhARK3PEDc
ppIaP6Z0guHeGFFa7PVOi4sXqDHC2LiqloW4XqilxAYgdGl6sZ1WVxWMyjBtkhyrLScePrRW1/2i
y8BZ1mxl8D7Ezqga2Nfg1vfw9kG5ubqobyHOQsIEWhTwyWqHqBO1pajU44uM4TE/iKGO3FOO4huO
W6bIAWd63QUKVSRwkEdLdWM9bs4phVS6y/yXngQkztUzlg8VgZNtxxeRe4PwMRrtv+hOtdVYvv28
7H7CYR7xRbl9DZ53Kp6Z0VLLS4k8urszpDc0n9QM6da/Jjcu/w3JVH7jNoURxNuf9yZS4YmmFQC7
h9sBYOQy///EQ4uwj14lSKzUY+I+NoqnnCrshk+mVSkbQdHtp1yiASr9EEeBuq1Vi7x+KFyaLNVl
Evb0oOOAeorRB9+/PaHbUaxFZX8ZhoIXneDrCSlxrldCttVFbXILPtHo7CujqTdi35v0DFbjMgdk
MjgWN3Wmrp9DL9O76iJNrzoh2ChPg1uaX5y+9w66phB2vz2tm3BqoVFSyNEApANSXsOidM+tZG5I
cSHW17HcJEvFwMwAJnqcrMQOPxCIJtXnCNrheEDDyBl+tV4TN1tEqtv9AvIGSix5ElR04MTXn7ef
PUOg5ldfqOxWD6rQp/AIo7rWfOlom8yHO5956ZwsshrQCzECux7N0suBMm0sLgpb6lA2RfNQupP3
0EeGnvoa4FltY/vcmd/CbaZiRvESZNFq+6RZZU6gd8UlGlMbz5wUrL+XOu0Py1HGf99e0ztblXhk
QbQB9AH7uRpLuqOaTKoqLlpiiG5nGhGemKouqdS/PdC9z0hnGKT90mW/qa6kGka0wKkERqKJujOw
IQsoTYlnXXZ0BrJhnDYGvPsVUW39nx4EBcjrdVPb3nWTaRCXaiBhBy6tPiGTOT/ZLqHm23O7OxRg
OnO5GAmiV++Dg2+9nC0hLkPo2cVunlSj3jeWF3mPcecMP94ejaI5P/3qIQRySRjpLijFhUm9OgAQ
CfOhxBbpgiAyrsfeThha9QHJ3SLA2L7aGwg9f3dtJVDU4XcKif5QzF55nARl/Ykoc+fOWf88SoAO
Puad/R9zFvY/w1TupjFzdnGUa48xLDS/NMTQ7rDiIDHQkwyTtErzDZnHJ1HkyI92pZd8j7UpEJ3h
PHvS1kjyFcWvysXGNvPyCyXt8Ty2pvuhSeLmQLTbYy/RB33d0dVVwny6TJkUBzW2XfStHBT/5in+
nkyaqOictfIQRTEGPVLu+Vf1R10qP4s2fbbDcnyoVSTahiSUuZ8Ip4h9J2qbC9h4Ldqnhlt8Lg2r
OSN6kp2zMVRPpdVM3BRq6KPO+aEM3fzArxovLqbUx1pmUy3jR5qXY/Q9pYr/ggzg+EcTRZjt68nL
gnZR8tnV8dDazw60/OSzE4K8eartmY/loZrtfbVwq0n3QBxZnqU792Uoe6338yrX6wdvcqo/zTjE
sd+oNf5ZFSaX2XEqbErUflzoOSsyl0R2fG+zFBdo3trsPSWR4pQYIgnnL9cc0uTBHftFXaEr+qGJ
Lx1P8/TFVqG6P2DzYobfQYglrb2TKcoS1k6VWjc8WE5W/9uPFuhjNx5j84iK2VidOm1RNFOTLE6O
M4QFYjfoVWTEHK3mECo4B+yNqR2SI1pjYj7AlB3PCqyn37psasw6K8K9fm7s6Bhrgz7uOqdDjnno
plHfq6nqVjurAXnse8hD4+aiDq2KRHOfi4cub+PyPHq4Sj1YXaKPezKEovwyQIDsTvSPe7QLw5xK
OGoVNgECrhdqAILL0k55mRZ4gdVprcMccZWo/d7laaN8McJs+LczG8P6WnIdtcXOpOOW7bRKbb1j
7GVOf4JFQGTd6znE0slwW0GxjTf2iHNBXx60IasQIhuk+1M3CzQYQCrJzG9qu8bniApYdugt4X2u
S6Fmu6SZwgL7tTCpfNOLhvxUD1ktv5oQseefSdxOyWeRy+pXj43R9CBEMqX7sm5b23cqqy4+ha1T
wDRKUgfOjR03FNPMKSUBsNByiRo/zWSq77AK12MywjbPfxl1XAqf3kBvSL8f6CggaZ7KFwSUXPNJ
ZlH+bRjzCIQynLX2Yw1qz8gBUmh6xzCLcpbRFhOUWFTnwqeoxc7sYrW1Yy8nKHS7p87CJfUymxUV
0bZzcENKEnsYjsgbT/lzmIax/Kq4lfovYXoT72OLrI0DhD/dwdXElGF2ofbNp9GYmu6l9bq6W9Q1
c3W4YP4jDB/XI7P3C7KZ+cmpUrXezZVF4dsW7qKkhV2614Y+ij599ujOIxvJRenGrqkozgbl566w
lXOG+pf7qRpGI57gZES5sycg66u/TWAr3tc47ep4L2a7tndKp04qpXQp0eQbnQEGMw7Npymz3OHv
UCuq/FlJGRSHED0Sx2HAnl43Q5cHHpBlSos4jdP0WwTWuziaqdn3Prb3+BqFSCp8j6dINL7lJLH8
gDvvVPrqlA3yjEBcmZ0UYm1lT4ZgTXCmpel8sieE03aoO5qOrzqdKQ7/x955LceNZOv6VSbmHtrw
ZseeiTgAyrAoUqRIGfIGIcOGT5iEf/rzQeqeYRW5VUfneuaiY7olMmESmSv/9ZuZ99b53tK22cHM
nbIPC72sq3XXyim8raKKN4VtDstubrqifBvhQOb5UWbozUXfWvp4Nac6Dg69VZIjpeFehXpHZG2E
KHRFMtKlVvUby2ZSBGlUxoQim2S97VR1rssLEHcy0PoF6MG30VF/xBMQxMFWEmTdSqGa/Q2xS4aK
Pn3UvcCTnizfYnhgKO8rVU/bWy5EKp/HAfX6laNFU7IRTHB779SFsYRgKZ0e8qpdw1/afPlkxRjv
VbzexExYLYC+A0easxU4OKyPfANRpFsBkfHSCstSwyqbST/2RGhns7ur56krQkVt6vQmsjVFsIhm
/ey7EPTHXWOioPNbDqGdLzq5NDezZiL40iZs/3zRSNY6yS+r9vNqOnghtMwqL3l3U7Ff2hIEePTq
8mM8UcryUTVM1rxu2499lnllWKmisXzEAfKxwSzoc+w6kbpxOtyQcEZEeH9Z05AhoTDWWfPTCaIf
9nJ1Uu6SGWWJzxlIIjmvBLIrpRjs+QL7uGTg464qQhqqKlX9Dhbmg9q0pgwaCwXoXpXTZIYjy6T6
vopq+hX5VM2JnxZrVrIrsMP0pzItls002611m7vdnF3IvO8QX/WDYkz0VmcF5zozyfoksLvBy79m
Zm/Kq1rxSANj0YoaH3c9t9taRmW8rVrUHoufzWKufXcSPaarU7QoW1mX5vJVy9y83tpT5DwMlVXJ
kPQywF5dbfrJbzozElhTkSO7wyci0X2tUQXqm5lsW1/qk/l+EYsotxZXeLeg7pcP9aJhZoBeDF1O
wNJRVFsVSdKnVF3KihVoWcRN3JHyAUqHLimkSynjHeywHOLGmM71JuMprF9QHs++MtWtFxCaRJt/
HrrpoYUpM20rB5OTYKi0hYhMMXr6HdqLvrwdcPWqWzimZZoHokp7JYwRfLtv0dwbn5fRMjHIb5z5
usTqE4JmYRjDR7JNJnnoliHvP3f2nJj+EveKvIAS5Qg/1SbYHa1rJXIDizcvdtgiZWm41A2yFdqP
/XIRFXJJP89CddqtpLWaBrhQ9cvVaA79uFVd2brhaMbefG0ZtffBMTPR7qNa0+XdBIJpB3ptRe2+
ddZQ57qKsHGByuoOt4SuZMU2V9xFuWQzaT5jPE1Ku1flKbmhgCTfgJGyJJQ8bNrZFl6K+zxemupa
zxzhPHD8o0QwOscYN/ZQK/0VUXu62MUuSXjBIolY2ExWVeQsSUYVX8FiKImu4Ot09kg71SKoptjU
tziyUQrS7RiWzUKlsnaX6WkFbllbiS8nw1x2Zq3HxTvd6HCuHEQ8yAtPtrN28JbEIaZJaDDPZ6Y+
XYW5yeU2US1hh6qW18Ou6BbKlybT44+Ty7Q4MPuh1KkJyNqGHLdiviTPb2i3k4a61e/zKsnfR4aR
XnWlo9WBHQ0Zy0ZkzAVRaFpf8XDGJkLZvfbd2PWMJNTLKuJuXUfcjCker9vUXPRyZ2oUYdu496r+
UDdUt5siThrljlwzww1NKRMl9zGjGCj0iGbxoiUY9aSYv8SezLzU7wqFTCZlyKsmyIoGHw1k7VWz
Vdqalmrrkp4aOF0Tj+GkRYry0Vyi+Gucdbp+pyRN+0mLNGIDQtWaJ7m3UaKQ8p2k1XxIx1T73Com
vK+oB63zPWlH05YivJ7feaVJQEwrRPu+0yvPu4iJ3RM+BZ6sN9DzbbHFHDXBOc6wCo+Nq+4/WuB+
By2L7OwCt4EOCSJPJN9NBTMfA8GxHcNCWOU3bVSFFU5ZN5n7ql+UDyoFmOMzda0p7BfNFcFkZ4Zy
pUxqmW6NpuoOlZEV0bZQFWMmcyKxBPYBiuhIeGlZBorFJGYpttSp3CQsx94Be5Sa1T4qe3FhM+87
f9HaCcsbIy9vFH22XQowyt+r0dAaIyw47c2+nY+xxT+ryYZZ2tFimWXiOYcYpN70FaXQ74gdMLK9
WefC8ZWZ1eeyXmbb880ah0Y+EwrhHW+qj0JgnUG7rMrInC+7RRINNbkGhhmR1UzMM2dJmTJ4H7IS
yakpD7bu1NUFBUdXBRnRy4RsRN34lC+6M+60xUzibURTffHtqbPbbd6UqbEZ8f9NbvkWsmHX9AkN
oJyEI5fDWLlUb4UWT8WuXF1sfMIxcZoK8CMdbo1Uy7OvEU5TfahJJUumoKyb5qaK8+ZxTjITj0A7
jeqGhcDo3MsKWmzsA6IqRP1ylsyiLRLB9XBYyUVN2MfnIb3OVa+n/TzSGz3MOoeuHViIF73zKKiM
rTepXhzmIlnk5EMdi9qrKTUqai94JNlGndGS77uKHENYHJgSGqGlp0tyNVSyacKs7JwlsDNYkwH/
uZTXa2SasaOEQ9NMzeimB0QGBMHaekfnNnMW887Mm1Fc2dnYTBs9o0T5jH6/MWd6A4rtPWV00ror
I00s9M1jX6QQqtQyRtYOz1KZWh8GRd3TfSw96fp4dQz5N5iBS3P744z+X9+m/46fqpufh3H5z//h
379V9dySZNWd/Os/r9JvbSWrP7r/WX/sX3/t+If++a5+Endd+/TUXX2pT//m0Q/y+/8cP/zSfTn6
l41ge5xv+6d2fv8k+6L7MQhXuv7N/9c//NvTj99yP9dP//j7l+9lKsJUYkj0rfv7n3908f0ff0d3
hGUY/P5noMU6yp9/5fpLyU/7X0T3JP6XH3v6Ijt+j2q/oYiAEoZpJ+buq43f+PTzT6w3FOo0iwD3
oESseLeo2i75x98V6w1nZpAxwLiVyAjq+fe/yar/8WfOG1QjkDpgrACVwx/5+19P4eh9/fv9/U30
5U2FvZ3kck4w/5WJs9qJIQBYyeFwJo/hI4iZZNWoS7ZPrSFSw7i07Ks6L/U28AonuoossytX02Bo
SiIrzEstTeyHWC6msR/jaOTMK8XbpVDwZhIGZlwABfUm19reCUdbNkx8WiQ/Z93RpHt+0ScI/nrN
2C/ycjgAWxC01nt6BqSPqWJrXVLmeysWpS+jObvs2iRavVG6bc0Kf4D4cM6J+rRbtI5qqiu/jtVs
bR2cAm2O05i0SLJ9pA4cgRdz2ffFJHaQj1nMyu7JTKR6OxUDHlYJ4pap1axg0mItsKZzZOxX3hpd
K3pWaD/RFDonTWazBbwxxjnfF5FHliqTCi+0WDtIY7SD3Esy2nRRtxXO3JzpLJxgcutTYF5CsMfP
Fw6btQKtz559pk6aUZqMXLtDzcFbtoSwteJQcwbesU/mZ1DAl+967UnxxD2+Ib6T9XqejadUU1YT
GVbuU1U1L0qrz/xaW6z3M47XH1G1qSGEOfPMBHv5eOnQEIyLYSQ+HrBLjgfFNaIdHKyV9hb66zog
nBYUJSmqPZ2l7MKa5vFGaKUFA9vePVs//vw+n09teHj87megJw+YGfaDtcVzXiHr47HVqrFlltj1
3q3c/MNAoaCEHWDyFGrMasBCRemNTTdli/TLKL6FgnTVwOP6vszGcG/Veuvt4FF91g0rmTZl7hRA
K1DlDd91FcXxGy9ur3pRTn9kVu1+7aac0CjO/YBDVTfpAiBqoANq21dNVFW3SoP9qJ83urrF39/Z
jT0qPDcu/KjV7SIsrKW+SArNGPYKbkxeMGZj8YeHi06Y5j9iYmdPvZlbeGiQQaak84e00/pwSXTR
cgZ16CJ6cHb0oInoh2VqwXmsjcZMbBKoa2041un8YXUUIF0uFmzkIkt3bunIJLTgNldBZw9kyREV
UId2lopdzQezK5MqoyZnl74qF7uPg9nW6jowZDft0lgfPL/NpPfZHdr5a+MImPJuIb0gxfJC93Mn
y8dtnpriQS+z8UvvRFF5DcaZA4RY8/iYq3J+z/ZRW9ukMytONFI0pI8Aax6KtEkA2zgLgWLJW01x
Aw0j4TzwaCBdITOFfIKvEghSI4lvDJtVoRSMUrEes6RwdhNVXrMBEGGvVxNVf8DoK/5mLqUu9q1u
JPFFkenWfSmnJKKfUCWu32mpOIhcGadwASlrWAdxhRyyqur8dsnsoJg8d/KToSi6II4aEYpIs7a5
FuUgFWWmC8xUilmC+JZ6FNpD0iMuGJcMdsCcZeGMsQqQpR61RUDoiX1l2zGfYUb0KqUpy/69nc5l
5Jt8Mo+V2lQiUGNOZHs6MZUV2l3emX7sNlUeVJWO0YDR5znINYfhdpPCndNCJ/NMjs4OkTFGYZmH
0hpAWOEVlNdA2IDORtuI+ifp7z/FC0UHhQV9ymdrz4va5f98e0qOKpd//czPwsVz32BiR2MJSf7K
FDZZ6X8WLp5FBcIQkKlQHf2oQP4qXKw30Gw4++MVin0NF8EP/Vm36G9YoGFf8Yv4o9WQ77fqluN9
aOWZ0TGEbbPWRj/2ouNl0mpdM7J6z9qW2Du4oa3FPcaS+ljdLR4QR5gsi/e9mtuM3Pdayfde3A8P
A2Ku2e/INtzB8cs0sj6V+iGy0ViGTaKWSuB22MMEz57rK2v6D+bPv5f0n9fKg0QTQ/8RS6iTJT1x
1IyM6d7cKuUyfLCsXmfTstxQ9RbtqR8G5U54bQnndRrfTRHYZYznW+OXDkdNsyy9hz4e1EC1h3xa
v1codFPUPJEK2QaiVV3hN1FXfFtwVby2c7Xc6CmHZjyb5yuzbcqN1eZyM9GowOGjSe5+fXMv3gOe
EBZNGmqQtd95mtk96Rz1GxpfWx1iD1RS9Vth5eMD25a26T0s1H493A/z0KNnyXgkOPIwwZPXoKTj
9x7prtJ1+WSy8jr6tRI78IgqqYWJ3uCPPaqJcZ1FpfVYk6cV6mPt3HWNATIARHsr3JwlGPOqvQ3o
faZmWAufFxeGrB8ZDiQrGCbHFybBPewGK6Utp0tv6xV98d6M5e/RGJlK6+2bK7EQGwaODmv18Kwc
cgzRu/Oo8biJ3/tU2UW0iTF+OGOMcdzo/TEKdS5dVwPGJAqFtT56NkrFxxTHY2Nsq1HKw8h2F/Rq
YZMb1/2e8+06FF7tsEdgZOKCxpHreCjpZfNSkRuxHbsiv+Q0sVrhqen9r6fNyxviWUGhwGcOTiLm
0cejCFrj3tASOTU6WbexK9U5dAqtmYiY34dfD/ViHkCdMFkBf6jQqNBPSvMmjnOlsKSyzecST52K
LGF1qs9xpU5viFXPwRXN5ZTqQFY5DUVsEnoiQy7GrYOp+FU85IDriyk+AmvVZyr+V4aCiYenvuti
ZQW38/jZwdks86ztxq2MSt2fYqVo6Or26mc4bMSg//rp2celN7ngKmE4P+yAOOUiDT6p98vS6ZJE
7aat6RWqFiAWqO8k1VzkJw4hx/owrtzENMl2WofJ+AETuuWjlE5131dGciNJ1OGpd1HylOKYdJuV
SaRf6l4CLzpWq55jbg9s2o8FVRfEm2lTjQ5HKBeQS/XTSAXZx3qw/mQuSip9Wufy2gblNEJtKdQ/
OA+ZbaigK39vjNo4XEmX05bvdLnTo9Wx4ls1G/Qn0xrrtYNc1LdVSWhgWDmTrvvL2s0POiq6B6Xo
5oMqkCcGJR2He7ODCRa0VtE9Un+NeUA7Z+r8CAJ3ESwNDLWBvnEbNDPzKyhVae+WxPL6nQsUduvq
qfYtb2nebGxnMOdwMGk/8MXlTwLhnXibDyqEvlnPxUedjuVbW2sBII0Z5B9ESXc+OdDS+zNr9cuJ
Az4B+snGgB0JvPvjidP3kZ6tccJr0LbhN5NhhCbWxVv0B92ZabN+v88XX5eNBXiSleonbHIyR2cF
4l6swzzNG025hH9v76KhWbZgwMqNSmbJpYJw9f2v5+or90cVxAq5UuxMBj6+P/TCzVTR997auaJu
0rivBhyzIm3v9DDHztzha4OZrMn8b9XOnLKqJZLrBKfyCRLFRF5fNE4XwEcGLJXMDX/7vuDb/JCb
8OK8U/6bpItix9Te21nxkl1Wl/mDPU7lfiyk8fjroV5+7TA7MF7yVv4gngEni6UaxYMx1NO0Ba8Z
Q28uvEM9Oss+FaX+Fl+e6RPGYFj6k4x6jiL5ypRBLLHKvmCEr/Xq8dvLhrpw3FJMW7qhKp38Cmtq
AsY67abgUPqFiPTuYxLH6bngxZcvkm9i3Y24cQQ9p2z0xvVaveoHdSu6Wt8QXXPbLokRlrk4Z/lw
uhPBdUcsjhIZb0f8k05rBYhGaW5H3gKZCItwIuK3nTLnZ9iZr93Oyq5nh4BB/QKuoNq1IbBX6rZK
68RvWrvbe33SB7HaO79ZYf24n2dDnZQKFVBMzEFT3aK0JcnaTerdhNbwt7c7nhpcNCJySGt+AfNR
fpWu2rnLdplLyCdW1++KpEZIndjVmWf3ygvCpMnEJ9ZANINe/HgKyppkWa1J1S0+gAb5yZxNSBs7
Z5NwWqHz2MzVqoleLgZuGJAdj+K1sEIkC+dWzzKBOsgeDR3TAjX9CntLboyZne63VxCGBLDD3Agc
jR3geEh2GFulG6JuXal/ILusu3SK5FF35LnwpFdmH2dADz3DOsdfUMatEvlXLnp1a4t0vh9QPh8G
zP12swNX5tdLFVbxXPXxJoOoW8c9aRV4ENd3smJEto6mq1Z0NrCuji6GuS+czQBN636p9U45cMag
d5bkvZ5vDHh69WZqW4x4oX96If52WofYySjuBGZwElm2Af2NSWEFrrM42CG4mtR8u0yh6yWa3Slw
byK9CA3EPenOM+doIpMvmrWAk4H1rUH4dwfBw1Q4ZxUZpjatWL5OlizbcJhzVaD6T9MmaONlerDK
LgLGR0Q4hC5qsDjEERE8Ju2bFSdbA66QdKRtBwtEeoRz6uPwudXUzr4aKLv0EB2u0+4iYNMmQLLt
jRsp9Wa7KLVVB8TOx9+Miebrnq6iGQfUVV44K3FSh/TOVWLIjSK5FmCWi99NkotPEuvKbVTDhxxb
fSvmjMTDymnqT7Pw1CFA51COvqnGqhlMXjIpgZRG+kgrrfG2EfGWWoD7sf3FWvRcIY+vj+4t2EOd
P0WtU/sxVI5dVApvCrCsSL4aFr6+m0WTeQTNRM6HDDVKtRmgJo6fM7uXH6XZTb3vqoVpZcHS9mYX
lAks+o3W69LZeSpcty0Zpl2GO3ijGGANbj59mEtwOaBh3FapiZFk3OaLDd+RE5o+XehlXhiBpmHI
d2M1c5Jf9s2AGYcY9FYL9bhNP0npjaY/RnEktsIajGUjZtDPXZzACguoXm372p3VdAqGstXrLzFG
Ps2mEb3zNMaGkX/vFFiytJXdMd0JoNVgMOQFTCnTz9xmdjeGJZsb4aj2h1Gm6UM2ADQgL6o/5FrS
f1M5pxLG1U7qVUoz/UtbjDpGmV00fshKkV56eJPfkVq2QIrKk344GHhKyM3q/2EG0dxy5F4UBwen
3h1hCJEJqV3RyhYLzu2jsiq7vFjZCLXsgCmVKH5U5wieWqnFaOMwrsnpII9D/65fWiJhl9QZP+G1
0i6BjNNpi/RkGIPVArXfu7HZP2RKFt33EFKng1tD3s/9WTrS2JexVo8HnnCqA8OmZWIGeISN4rJp
M9wxsaUwLlyIUM7NUufpCKfIqB3vSy1WJDjGzcv9hG8nbAiPOoRHMSqJF/RRG49+RdptFsQpPJ+N
p9sS4VQ5jT3d9dG8b3G5SMGrHcW89EwxctRTrPYAdUZTAwWOdPpphoWk3PZa3WobDDogQDb0n8cN
LSK98G0oslDepFS+VpisVnduXFnj1wnxZhdWsxDelZppRXLo8sbZUpM0NJfyNHnM9LJXsGcvbfJd
rdL+4tnJ2D50pdGeszQ5aXytRzLKCJqQJFmB+9EPOV7NTWOEoLno8xaA294oaVE89C5y+VqO+g3W
Ad71zDPC42IYYB9FcXVDO9DYpDbgb2UY0bT/9Ur8yrbpIozCFY0TDL61J+swcT9KVcKj3PYKH3jT
Ng/dWJ2zaHhl1zwaZL2IZxBIxokjNdyF4knjOOZ7VYNqD7KB0s/LvdESUPDrmzpJzfn5lB20EOAT
bNiosI4HFLJesH3Qly32JPhkkS2mSchaKeS2yBqWyZcGdoF+T5/vg1EKlEtz0etUKDXeyEGKojcP
aFEWd5GmrjxwVmO/NXPlSetz7XJpOFtgxeI27cVstvXDj6v/D5S+QukUTitg9F9/tdlfQOn+lyI9
gdL//Jk/OQCa9YYgKQ/Ym7e7pgr9BaXTUn5Dphe9OAcagMOe9W8OgPsGB0rORvS5OdiC9fBnf3EA
3DfIzFEE4VaBbzKtWPd3wPTjKgrXU47oGLJw5nMopehvH0+9SRHswubAhlV0NRXN1G2yJtc3irac
izU5VQcDIqF+cY21o0sXHxD3eKwmi+Mqwe79gg2+A7Dn6EVRMYXwmcQqJEguDDmZkPDwglfjATG9
2fQ7VO/59tkruvlZtz3vtLrrXf27nOOuwR45GmGezClXJTPv+EqActumSkzjIu/iEmxzmBCs261U
yJ/IPZz/Nb18GEcI/LjPYldYaqOo9ujd4tJ3xAgglliyhRGYLrq1tYvG/ojhU+r5WqnMN5C29W9s
2a0IjChrEhjQVj8ESzkhhve8NYwd+XuomF0bBcbSjpbvNmKGFQyWZfl9o/f3+TJY3kHM1jyH9qyT
v2IV9bJG0wzJHSRA7U5CHrkgx75bgsLrSBRXGjqU2zkbrXhjdgQZ+H3vDbAidHe6ruKEBrCE8QRh
TqQVy0aDEOApIXH5sTHyIZxiKgH4vcrBEGgWuFBbRZog5aBsikGb2C2bWr2TJFOpwUpRuseV2fs4
N0brBKJwJ2NjF1PThWXfi52FFRVyDxulxAaVUPbBmLzytu4BsbZLhTstntXp8DSCRQWZYktj2ztm
4W6sZKmye0VJRgUFQdn0W2T6YgqJt6Lx3CutfpMjCbSCeqx0MjboSV+aloDHeWaKnM4Q+u80GkA/
+To18tmOZ8hI/WebTmVe2FM1hTpF1menyaJAETpU2UyR8C0y74Kpml78euTj3Ye5+WNk5KkAI2uC
8clmMBAXyd4mzQsJdH0T5c6yrWa4o5FR9l/afD7bVlmPmkcfAwOCsvMdEEXjvmhR5bDZlEjBGZIp
t7gglXS4m74qvEv6r8rHgVwBI+gH16q3BSSx93pVeuUe4xrjMDREmP/cDf+zn/yLV8Zq9KsNRcT5
F8V/KtKuF/HfLmTxRXyXR3vMn/w0fs9fRDP3DeYbIK06bQ4Us2wXz4lmLqscGYYa3QJm019EM+0N
DBSm2dqx5f+Yz4lmxhvcTXAQYsXGN4E20G8xzdYp+3yGQd0hQExjs4NYQ67JSRNUtJ1J0ci5rFip
+ClaHE6cIr2LJ70OU8t4VBGZeP6zx/bKIs89vxwU0/9116UVc2q4PWSIJZyaQQeds3VjL9rejgvj
52z9X/lop/snfB0dz0O2aRoWHGdPdhJFdQpbauq8KzVbhOQ4KrB6Dc7yuDqcuaHThYGhUKXASiIO
hx66e/IUwYdrFYhb3UUdR6MkSvEFLl15AbL3rRmz5kwj8MXzI2GAiUH9Q1lAcXCyW+euQscC//xd
3K7BpnHTbF3Rj2du6qd/5tHkgCLJbQHuYWXK7F2v41m17cxJZasIJ3YFR/BtU/YQktOpVetNEVX6
JThEjk7KXOBymvY0f09aRTykdkIjAS8nkfqJnpclIpEInmKRU1L5aVxr+dvIULPi0PdGa7ylG9xP
m77uZ3trKFpa3VqGHMcr5GQWkDp12uKThujWQSyt7NPiWBx3yKlpho2KgZLyyemW+imNq0kLzdFL
9D1kpfSynzX1pjBEcSPszF021mDFedgOafPOzpP8oeD7e4xNq4WzPynD56KJo0fM5fU/Zjj1j7zx
9KZDviL82VPsiSMtFG/frOJuCesoSyx6XFV5P9sm0hYvXZyPOMtQgyydo31q3VHzVsnhWF/MnSvu
PGfKvncuzlpcegRNR5CkeV3mVELIKJFLBjTMPIlEQ3xfBvObgeZ7X43J8BlgEJgTe3oMioWZV48d
9i0VTlEKYaR2b+cBMsCK7oq28IgolqJ7vUNIceicVj2UyIkgIlRDhnK0cHsr8Ky58NUhl93GnIb2
nYHa6XMslLYKq1J2H41CmtK3ca8twhFd2Pus17WrqLOKt26jkDhnuVOcBB4VirIzGkxDrsda1Rb+
y1gdsJKDGD87s3ZdVgt8jl79NttqkgdmUZf3S9HbDxnYCgYeaZw+OuWAiGgAt4MYXtsN8Ze1OT0m
szk8EjqNrq2C7vpO6kUywmxSWxy1jHSjILuLgw76neELvdFSUCFTvxihpefhpLTWZ4tz/IDcBwrw
FrpmkYC4FEwQSsjvtjDSe8PE0cUC2Uj80oIw7uuKYj/MKiTCvWuN8+Wc1yPZUpk3/REVif7B8JZF
vUj1GhWlYvf1NYhgbgcoJusPsYqKPC3S9KZvXAQ8VCOYfXYAMRLsPUEIpCaNc986mPpB+o2R1hSK
DiCWLNkq3tBKQK7KqKm3sO+/MQkXXHx9xDWVoGZnxq9qiZbrJpLjcOYbf7mSsHzoRLC4IN14RZxU
NFOtTTLDxWqHqg6mXqfFEIzHcw4m60p7uo5ASqK2h4ZkwmA4XkdaZMYJq6O9a722uWsrd0Cx6ii+
UY1mmGHAsemTunhLw0Xb5KLJzhSMLzYCljFI3rBSII5jRr2u3s+WMVTIMxxk094ZvRvtR7uCiZgD
zw0gOf8/z5PKlObVGldwyoNJTHMg1YYVM9aS4a3QS0r2QVXP3NCL7YYbwgxjJalzGKUyPL6huS4S
Qtcie0dc37cidqctp6RiU3p9uhVyHt7/ert+dTjOs6A7cKUIOD0ebgIX12rh2juUXV3gICncNKxs
h6oTWjAu1m9Gf9D8Y8dZu4+r/wRI0snGXUx2089lRrM4SwFMdRmFwuy6/aTm56KOXkwNGnBYDQFK
wrV/+STVoh7NqDS9nWyzcQPKNgcaYaoBlgrtmanxcijwTJOAdNgaq7fRCT62BoeS9djE+1VBQW+p
djZUWs52zJRzJ6TXhsLKn4fHeByQTib8QJNd9Joe73NTPuRujlBIzsqGA845d90X6wc/s5KeMDrW
mR2nBoiJgkTTSOd4H5uthCix9IHpjfHmNycgozD/YHGwimBTut7v8w94SusxHnFVrKtqqxAH5nuJ
/b3qhrfEVdbhbw/m4bK0Pr6VZnmK+FmG6Oba7pN9EpF+1S5xFEwdTc1ihBSNZ7Fy5ub0F8+QdjMR
7hwDiK/AUWf982d319t1AaqaurtotuXFPCnmlVn2KFzjLjroi7rs2x778JzFeWPLtlnVHEo4OK3c
1BZWUApdh1JG5h5DxyS0J2I7q2qGSez1U2hH9nc9GzuUTlrzQQM+2Lilq13VLQTpXz+4ExIgTXtu
xMFIFBkIXWdI98c34k0afg/24uxM/A2u0nKKDy3y9j+QZzjuxoRy01NMGdn9knCwD00S63UfW4gM
XwMvrcYAEn1Cmq2iUzraeFhoZ67wxT7Ekkx/n88PA5M1JPP4AssoRcgPGLib0+hLNy87XSgHskge
4il/m7b2J/qDWEGe9al/sYAyLhOXfcHUVp/dk3FdaQivimNvR3pSuh2Q3j9qsTAQhWKMkLfivpeq
ti/7xLvUPJleRvaS73ItTwO7sXbmgg+FN1pKMOuduo3M0ro/8+ZOcQYE9UTrcCLTaIHoZG8dP5ik
GkwTkMlj0HIVOdK/W3xNm6oqFJRIsR9FRa77isWpLSiRa6PLJjbrpjIHgxMAdN34zFe4bmFHJQNX
xAFXX8VexGedCloWRW8c3MG9XTtDQZ8MdBC5hy3HnOb3riLrdxziqiBarOGMPepr72pFINnBHbry
p+mFnHgqPes7b+dFiXvIl2jatDy7DQYvyU41ZPm7ZzluFBsdznGc6QnmOHn0QklTTdLd2VW147xF
XFZduEU6n3mcr3ybDGP/QHeBDQhLPH7DbHSFq8c2zzPtzH2Cvw6iDbuj+WVYuz7OsiCjPX2lDO2u
T3Gq8VFUp9dzJ4ZtFkfWuy7NrAt03+cKphdbFbcPyZTvYo0GAuc6vq7JisuqnuJoV/RKGuiaWl96
DmKJVZd8ZqF9fSiUQ6s9/roDHw9lerlCLEYe7SypJW/x4CgDu5T5zsorffvrD2pdsk9nL47VRJex
Eq5q/eOhhGwjYVlJtDMGDOZxX1T3vYLk49ejvDZVn49yUifRH25kXIloNzqpeCcWqzoQG6tvu1TR
rzAvc848wBdY0fquwCNXFg5c51OmBZ1Ib6K6Rcik2f2Fvbhf8maYgkrIUGno3lf9OWvqV14ZIYDw
aCFl6WjNTmYtLU67whc22i1xHqOXarqtq7YZTrTecvvrh/nKgkOmMaOBHUNk109mR0ETWLeyOtop
EeYOXeSREmMoC64Q4A9eaTzoGGBDciiGM2/x1XsEy6ABA4sXVcfxXKFjUYvM6KOdk1sfZjGpu8XJ
Wn/wRLH/9S2+MitRsa3KRLL7MKRdr+RZoYExDYlnWJHsJslJutdRh+KuYp2Z+y96SWwmJHr+kKhA
g6YQOB4GQ0V7jtkTds0ytpfdgLNTqdL4WPAoepdVqb3BplJcggwWG6wt9aekkLhpZZj6/fp+/y97
Z9ZUN5Zt679Scd/lUN+8StqbDRvTGNuJ/aLAYKuX1lIv/fr7CdKZsMEQxD0P55y49VBVkU4s1C3N
NecY33jheV1p5gieWM2JbT3YdlKsjJVXJfGuMuzYZ5xGtnCm94GSleM+U4QXzH1bvUs7uRZBjImp
gtboDyIEDhWhBqMgLn6X7HoA+vsummFK0jehAzB4O7ewu+81hKoQHrF443Tvo+kOVh0CzkHpcs4o
xw4NLTj/dHVR8mSnFTpjZsK1iDqinOx3epOYwp9spbmN6skc/dEsvDzoor7cqpXAv9jSImLldb14
Z+S0jvDvGl2+Sbi6Gs+iPbNYVuN0quDQ+y5Rfi9wkpRbM55tsU2Z2Y/bphgqzReIo88jmXq/WhCl
1jbFDXHS0xiXvu1pueWTODJWQeU4HfckLsgO4D7dGLWObsRqlMkfzFrdZLnbD7vB7qObSMGguAFR
jorERBlVr1gh7XqI506ExN/Gmd8lhVpthF0TIAtriEAd3ZUQgGKHD1ab2dEdiVCgziBm1EcNQ6lf
lTXnJ3zYGSBmefcxbtSCppbqroZI+Bi3C9uMNJwzY6F07ur4yFiMugnaWStO8t610tDQlNxkZSja
7yRzqDKwZ5nBFuxl2foQwYpsM+bRfGy1g6li3BuVPDDwdVr+aIwtUswxzq7vK69gRdamqlfRCvPS
qfXbYlDLQHe0Mn9jE/rCEmAzteZHwaSz4zgo0ZtFTOZkG8nOG5P6k4pAZEs4x1vVxotHYarAzhOl
KyOspytAP5Da0c90MElesTYzfptALvFbQNA3jmIeVNWlE9Nj7rVkF2nZDYg+JpGZaMLX15AXVmdY
2au2G/EHTqqDUylnp0no5/A65wMAe3cRzA9KbcOw/C2TxQvLFYYbtiW04nDkrUiCx8tzU2mzWRZF
utNEXvDser9SDf/YrKz6JTAfNOiNNx6H52dHg5kie/0vmhv3W9NHX4QKf0CR2nq6I0w43Ti50m2i
yZu2xjLZb3x8XjoUlSe+GJtOEuvT07MrsoL+YOGluzRrjWCSjrUhpcG67EzzrY3o8weDsci9mBsL
HGkeBw9GBtvIkFac7ZKGMpdiRvpa73mb9z4ZHMVm+LIKXHEvrdXZo2snOzrgRioAD1RpzKPn9YE+
p38hSewfvqjvGrv+jwN1PAh0KNhemadic8n7on8yQP3n537PTw1AHQ7X+W+1DTf79/xU+8BS5vJI
EemI6IYb8Ht+qmOS5RvIjoKeL+X+mivwW6RjfcChxZpEwCYtKygGxv+LSGctK3gKUHLzS9DYW5/F
R08BA4yIIZ9RA3XshvOln40Q/bi8s/Pix6Nrc/HwHX+sjLnfhD/5vLMrZasEb5kCAwH/+oY9OlSj
YYtbXLkcGWPV/IXdcrE2hGjBCK1i8uAFbv5zE/K7CHrSUa4nvNtDUNZ51wSRAYwiKNj25b6K/NjZ
Vkuft/4io4E0I+JwbmtIaPNuKkz3BPUmvMJostlhAyFSQoIFhhv2l/Vbu7+HyejTkwLS6K0JYGsj
m77205OynUr0LTZ6qt8hOTeGRkOb2TrXpEAhoc5SDQkhzxDS1bnE04rEJ4b1pmnJ8s3oqQZ8tHNT
HNYIQjXgdRXqGWXqobkljQGMlcwHI4j1KfqYp21eB2VsrKFSS4yPf+Bfn4/5Us6fKhfAF+kT5gj+
f4A5CGk5kTgzHLf+WQ+xnP3WbVyApNEEhEC1xpw+iDWZ32qty0q/j80YJHzbpptUWvkniZNf2UKJ
0vJtCyHBZbLe63fcMtcMccd2v+ZBz75mZTwuW0P2iutntc1Fd5y8PB3QvRibaDZhCUhrBF6qO8rg
BibuZAJZIzM5cRfkzwR3lXd9p7uXjApKucNW5SFk7WW/BMS2ItWKCgZnYccOqgoGUQ1ZUGtuOQZN
WeUXugbY0QcvZBIwVY76TbSQ4+ynA4TTiygpe9PX4T0upAXW8/k6EL3NV4WjT0xWLsN5VKfUn4to
uU2G1vuWClF0ISNa7RLdcHGJGCtGjQQlUwtmVUd1WjgjudQNCfJbMF7Vl1kXQiCqdxs16AW5iX7E
DXACDSF25TPHI+575HdMghTCguUvtDAg3Xk1cSXK7E3lUarX8OCNvgH3pKKBokckzYt6QEHmq6Mx
uUFilIVF323qolWwqf3k5kIdo0U+bEsU34Dssngxb3j4p3PAo5FCaVoh0HKTPD3vgLntncEQ+Wmv
VLmZ+VMzFneoxocL0svqm57xHM189F4Mu/PFPM+XeT6ShW51x5nMqJ1Jl2vG7yJFMfrDk+h1fSwY
Uf+pFMVskZxtJL/0KIL+qg0o7C4J4xDl+WwsreoLd3RgO3ST+VUlJSW/K4aWfRfxtMApvpLd4ZR+
ajdQfQFtoCq7lKXW2LsOs8DVKK2OKrhwEiDL6lKZGy8qiJMjQjv6atWW93VoCtaHthVwVzEJQdPa
lp3NP+Kd0YfzvuwjGHsUWVXQJrE9wI1oFD2MVOzUV6mhDfEWkp8OkbQjfzTxo7SsTjwrn72g7dLy
3KsalHWq28e3lR1ZvC+DBd1NGYr4k0vGNgtKO3rbNZX2op/ouz1sh9711fzfCcGCIfFgqvnzp/VK
/LxNb4r/fPoZp3X1n/rXf77V8XyT3zTdzePP7T9/1W9JrPoBhDggdhouNkB2tsx/f2019QPGNf6M
igq79to8+P21dT7Qv+ODS4ofgW1o46jtfn9twVWoBmN2dLE0cHSmbe/52t7HFT3+XKwHwIZMWiGN
YXRRB5+LBUhl2RGdelx15nLJTlq5prHeZn4supyB8hIByBOzreBPcbVdS1rFjF8Db4yvRjQ7wiLV
gVORq6KSbOS63aWQTv6jI474K76aGGbgVPN4x7b4vEj67UGma6Bz67ZkirbYqiW3mZkjInKHeDiO
RJpMYTsm0S9PY5EDSa4bDqyeYFLJMjrTyaJ1w4JvxOdqIaLFzykVPuVGazNnt7sWyWqJJgTGaKL/
NfNv65yC8QMtVn1kS9HYR/h39VNHIE7fKIzWjxXsOOzss775pNGld9FmiiT+FEVunIZTZ+Q7leXr
i2dMt7VSVucaExXtxIk1Xd3osu0mBB+TdlsMdKJ8bWTb/7CleNdr9z+tWMVAv7bd/vw6XdyI/sl7
8/dP/P3WmOoH+iAM/KlGmSWv89a/3xrD/MAoe0VyqajCoeX/89bwIzT81x+zabpBZ1mZdr/fGuMD
rwttnHV4S2T3uu38LXP/u1J8wP29TJN7uh9ir2XrPMpIqZlr4idYC+XHhWPiyLnCu9zuDZnKFVxd
B5UWFX89uiIv1Kdr+fnvq3l/FJRv9to8ZQnhP0+PEkUV1iKAVXsjR0nVzSY65bIZT6d+GY9eP9Rh
yC2DEhpGrAAqgBOK+cOqW8ChTkQ1j3tNWcBVR4KFJ/Rys54Ds82Wz6PU28vKiutvppYoHmbiXIdh
NGiJASErzSHzUl4eVcKM92tJKIhkG1oX3nw/nDaiat45e0CpgcjgXuTJLw4l7+DitIsNjLhz+r3q
ltPGIA3sOFu8ZG+Nb7YRnt5tRjschseG/v4KI+R/nt6HVKTeiNhx2teJUDCsaOjEWLQf9qR/FFe+
dBR2PdiXUbCiq+JD8fiZKpg0geKX014FrE7IDKla9Fvfylox1q36vw/VejLUTmtoGTMUVv37XvOj
PQ9ZE2xf0nTZGy2t8dNodoxlZ9RQN2FDpFWCOoQxqT80SQuLeY0c3Kxtyhu3LQsD6LvZXQldrVU/
GbHMDeaABLFG6H5juEOPaWvM1buZYfa4VZSusgNNFm12OhgdXsxp6vvSB31pf8utoQOlSKzzaTUs
Wr1ZadvNZnGd0dmoBigWtA9l/M7RwHr2nL+2YmXWtvJhsrheYz4V+AwAxtsL+PYEVG+X9t6+KmGj
v/5O3TflDi41H2pGrh6PJ+Nqtu6P76hnzJOpdpmxT9PKRTGi2FUVRuRuZDs3cRJvZ1bKTCjqrHwS
WkPTVaqdBabWNqdL1UMY4ZcwdrJdNkyO7hcaKPctXAlVBkgz24o6dhmOmjrD9E77q/sylhgHzmM1
H/Jw0XE4IlBcah3cAHIBP9eU/qtC36sJF1O1T0fZiylsjFpGwVjYDSGGFUiroCwb4xhNXckntyGq
eGMKw/2OGBL2uWn1nbY1khwu88pMq9+4ZOubdHDFyMaiVcf4luXdYQF/fMXs3kqhE+TmHsSTHHwi
S7pwUdQ4KPTIuhyMtLyl+FfeOOrTdfb+lcB8QOg9ui/GC+tn4/FRxz4dHEXoxh5IqYYi1bSdI/D2
NAhZ+uo3Elifv+brO44CmL6dQ2zi+ueP3j+UuK2XZ4u5j0wFKHKSkLlmqM0bjvv1A/T0QgJXRNZD
YwYjP22Ag6OUFtP+1DH3M3THY3NI4iuDRsRHK9WWnYTK/0Yo4EvHY8JHKCNyEA/ww9PjpQVGaNOt
LR71yPZl29cnwHizY6OPm9Ctmvbq9XdrXd0Pz48eCcI21HO81AfnF3VeW8eWsPb8Rsm3BpT1VjhG
flxHkWCYsWhnZjot2xZU40M19sdl+nAYxxJCVB0f9zWji7/9MH68rXW3VAg5wJ2UNr5hawmzzeln
W9XD8Zgm5WmjMcsQIreP8sjjhZ9BUg4z1/31S/D8qaXNw5daJyWXcuZw+N5BGM8bkl32aFvtLU3w
KQDdEK9w2Phh4/fHc173AIdXe9USAAhdG3LWwaeJXoRaLzK29lix1gjdmgSKsq5CQlhVJmH9vu85
MCkeSI2SOn5DP/LCvcYDgqGQjiXT/8Niq1QNl9gE3dr39WIHMtWHI14hLqyFBp7xAforfvNAz/u3
UAjP40ZpRT4+9MFj1gswXQqJ0ftGynHTaXNCS1+1sMYLZ7tIqG8Rt/1kGKs+aGVPtHs8vTH9fL5e
rENG3mYDLyG6loPFyWz7JMecvtLCSnsrNa0PQJgab9zh+4v49BajU1pbuzqMOxq9By8w7UwQlsAy
9lKzJyIim2hog6zDPuDLIi1/DGmCpduBJ04uRJtq52aLUiEcutReAleZHIgKaeSczBWRn74FqZ3P
hxiaTcmWc9q8/ug/fyJQxAFYpEVMj5RN2tPVhkSQuuoKQ923idgjzmunE6N1PqoEI+NptM4AW7lv
XKDnt4Eik1dgvQWro/LgNmBjJnOY7+Zekiy8gYOuMX8m3+f1E3v+orF6Umxymyn6ea2fnhjh1lJK
PTL2c2/h9yPn6Lil6R5WRRRva3Y4QaQt4gYPv9joyWAev374F05y/fSitF4dunwQnx5ezsvKHChB
eWhYM1vhpaeOk6Rv3L0Xj0LPnSUJlhWHenoUsIRlU4Az21NDqydc9fxzFufO+evnci8MP3iiLfQn
fNhZsPCLHezRhElu2FAJZ1+jSTjJlTKbQ9Np7S9DwbDZbzqJJsTKGXoeLUAj26CUWu9szEixDV+h
4a9uJFuQna6I1vrYa5Wl+n1d5rfVMJQjg2y0O74Jjuuni7wkuuD/OXsD82gWDmKw+n1ra5W7k4OS
tX5R0j4kIWcB4SLNKf3hDqXmbbVq7n4hEDfOHbufmp1Vdf31ij78NQ4wonzkgtVndahwW5nqVP+s
ZvQRO1OpC/NoLGfX8qOhL9uwkjqSZwbyzudktOUcDHBArgn5ya9b9EsnC2eJ55dw9RSWssH4TqLj
gHMSlwOJtF08L77KkOIyd2pd901VkHwyjVWBQWZiyi61osW6MaNmCtxYZrf0Ygb9uBfEIHENR68P
dbsWv4Rt1tqVUtuY+V+/nS88NCs7kS38w+5lXRIel02JOQ9TnJn7SbrVmSxL1R/oM317/Sjren7w
zDA0ofJEPaRpz+BjtTeZ6L14NKs4mq7KfOmuYrdLtw7ezw3M5GHbKOUQvn7QF1Yzhw4gn7fVughx
/empmXrstKRMOXuhdWKn26WyxTdu7KiiTCJ+PDI6PDcLkk7mb9lhX7iqBAKzzgB2WzPl1z9/dFV1
MnlKOLDOvq0A5iRJZoXE8RTvXzs5Cl/vVdZOHvPB2ql2aa5ljeHsJx7qzazY5omNKPSNZeVefHRw
85y11l15nh4pqgcnk2qNIrQkcfeZ46VHsaIMvoWd90hMTbsFXJN/W0jIuZhGNb3yuLU3fNmTcGja
4QY483zx+l194VFad/JIFulP0uc9WEsLWSR53irOPl2h3pmZfWzhXY9uWgRJH01nZD6/O7aSYpCP
0/odR/xqHyp84zgWloMwfI+RLPrY9Z65SUez3fEOv6UUeX523E00b9xNlK9YNZ8+OGlvxZLKV9kb
sVYFsSTQ2J9pnOqhEpWdHy9q/Iv4ZLBbr1/V9cv+9B5zd7GXUQ3ygiJBe3pczY2mbo5aZa800/St
XJE5viMb/QsMzOSNYz3/GK9PEt8nuj6U+od7DGBmBIMtLseKMmDeKh3eysdnW8sQywFpl6rZMCUe
TIA2BM8n1KW1rAn1e/2Un7+jJJGyw2F3RX4VH7Onp+zVy9JykeNTASLQFw5bimmS168f5KXrypsD
mWNVGrKjenqQJAUuDSkLJBLTK9oOTvcZvNgSVH1ivyHPfvFQK9SDDi0r+uHQXdO4c7Xbxqd1Xeo7
0Gz4YLvSOqmTWHvjHXzxUDh7qRJBcz7btxi5LtkVdvGp1kNHSk0Bh8H8sjiFfPemHgk0fDZ8EKDn
nn03BIlNSdx68WnXqsrHTh3KGy0x30LnPH/p+ACutkLEMZgeDhHCMCSmnJK6PIXcZ+3Kpq+umfzK
H8Kz2jMC1LoLCaXijdv1/PHjSIyokO5zRPqgT5+Mcib0IrfT6jRzYTX5fcX/dbPS+fH6A/jCYbAR
0u5mk8NJPlOt19rM57wTp5gg0uOyMNOznu/00fuPArGYjwQsZrY6B5+IJAchHclGnkagytA1qthB
S+19zGL6SQzoABPw99N7oRdyWHlGdtfNvSJPh8FtQqPvO79zpm/tor8V8f7sAb8XOPMSgavCK3b4
/S5xv5AMq7enDbGW0FvU76Zs9o4dv9NAuJ4S7RaEsAjw1930wfqgSBilJqEOp3pOglthUyPEpJCG
2Lvfajag8uGRerLIYyi6V44zY2H5PfT1lQtVMgWrRyymRjqi2oh+rxOzRgGddF4WYvTVCEoEFEy3
Go7bd2OYaX3Gfm5NiR3qXlex7cRLDP7uj6m/9ZSOgKPKBgYVSWHxRzqOSETJkKztUHZVpQRI8Kej
RBmXv9YH6tRdhpRgU+qwHw8BwXVTzkSR1ZYBHQ7xrLWJ+3KY/K6t1lBjGQ9HnsY3AtyeY/6dG2zX
ZkUksGPNffAsPTgnQOwuT4eFj+lDhHBad6a2r6J4dk8ecoSrTIn3VIyjfkxCm1KdN4Za9OgxlmI5
m8nt1Hx9SVz7DBFd6ewGPSIF0VgG1SMu+5+8YbPVSNLOUea46KwUp980s2LZZ8DvFOeLOusJyqSx
iujoZwUy83DQ0lHfdDVfZlr6jn5i36cTZ6u8Blb23O8Mmz5FCC0QhJdWqvl3ffCIL3ZlYQWyWoz4
rJ5JuDyTcTLFew0+krd1AAIeGRVo/9MUYesR4XCSCW6Be2ZzH2+ss3v5bpEL39J1UNXTJsOv59u9
NG8epx3HQ0rmbAY15lPZG+Vno4j7z1Fr5iQsPgs/rm0R7aRBrk5oV411sjhzgfj4nxjkzK2qHJoP
1IE/ZCGz/pU/2ERypn8KREYEFTsB4m/yDdSuXI6Fwe5r9zgbOU5MAmIUzWKu4kmsNP5DTjLRv1V+
qUaVHvnNiG4FXdUIfUcyngqBGc4fl2GeG58xjnJqeNog/IpcPmMrBfA9EMIatEkLi3ZYJYN0/V4o
9lVNCGsSGGmdxv5ouumVjNwEGzyj/XUO0oEpdKLY/qjb4zZitGMFesVcwlMGi+ho3S2uWRWqwleW
1ox9trfmOdoGIJkZZpXjShqVFham3jRB7aVV9lHp3I5kVZpaUzjrqWKFrmcmauBUNenDhTtTKpJ4
XaDHGh3nW+EVDbtxIv7+6sUArxGi06claSBVrbP+2c+zFAZcJgsCXAl+y4gSjUhRVRU3vZHOsFCZ
zYP7Ewo6oXCVgpT0o1IbwxmYS/G9UkfiGRO0Dt+l5hA7WUSVc1OrcdQF6IWmGimDZ36nJYL5Rsis
yOFSFQylVDdur3PSAG8lD+VFEQ/dWVpIEmHHZhRfTEeUP0mFbvFUF7ZzqTQabsSMGp+lX6rfNbu1
VnK1YeU+3/XsWFHB2W+sbGrzE8XzsmrXKpF9zU5b72FIEkfrq/00ZUE5C0vZQK208zBJo/y6HMWs
b9TGjLWQhsD0iarcGbjPSBJ9R7eEJHbI1PPQnc34TotdMouyclF4tNo6UoMoXrzLGnmyDFpCtQBK
LlV0nTpO83N29Py7NafFzWzJjqsHk+naILD9RCN4cO33WtPHTmu1L1VnxENoGwKAAgCrOPGXrAWa
ZOvNjWGk7fe4WrrvQPp7z5eghXlynZG4Epop0z5j/1OHeeIRU0jAx3Bedpr23Wy67rPiivmnAbbg
WmgjNHoUlwltloxEetdpc8IGm8U7T5R4+jzpXnZFqex+G9AjFn7tRfpPdRmHJsj4iVOCSdPSL7Xe
vBt71SGi1XGnOqjjZoI12Nbd3QQi/3vR1eadiBzjcwla9RvBxtDPshbWLylNWXNRquRR+qTX6xeM
zsc7b8Ga7/eTOuUcR3c/J25qFqAzPZY10xKQpADEln7smEQg9e6US5j6TX4x9pDzSaXH+wctVif8
0RtmeyTata8h8KsDSZKTKq3SH5bItH2oFqlKVPPsXLdlaf6ysyGN/JZZ7pe+NVWAQgK1gI/OKBgq
mWYs7Y6+Bky52JjR9OW0qWFDdJv7wum/ToPCLOH2d3Din5MS1+P986/9N8k/fJBHU1n9WazyW/t1
eyPS7okG7OS5AIzxMlOwlaH2W29tf0AS7UFYg2YEEYo/+a23tj+wjXYZq9Ac0e9VLr8VYIAU0T9D
zV4HauuwiSLyt5bF/oCLnhWcxCJa9RCh36VlORjdIdZnD8YRrDUAid3fQbUazxCfYqUryAwuN2Qh
WqTJ9MlxUibOF7fy3hhMcrKPa7v1aMjHbSyIWPPZJh80DjQj1VAcqNXOnvv4PG1YvSYC0L6r7mhu
Ht2ji4eC8bG8+61DHfSZ26xXs7mZKyZURMmzntoBVr4oJCHHDl8/1P089VHJajM7RhR0f0a0fJ5F
CYwaaW8t25edq7fDThY2nOS5Fuo261zjynZG7U7pzOlGjZZq0xRNddahmP4Ij6j7WKqRfisto+h5
mUmFK1lPj40OvnGA6bXZDJWrka4OaCkNvULh84kJw/ySTHjRetlMDvkWs7MzWMQ2RpraX1Otw3RV
z556oUcggzpI2NFRoqfkBrnOvGeoamyRR6jSrxwdu7meR+taXcbZ7evX5dktOLgsB5vHahEwuDVR
7yZHZGGsuMWPos6w6aflcnV/qP+6Feq/49rzwLZbaTN/XnyO6oZp1k1RP1aZsuNbU1vXn/x7ldGN
D/SsefJU5CbMj3iN/15ldNh3hC1i0MagsTYP/lHMYfcwQPEy7uOPIaM+MnWoH5gHstPjP84KzMNG
9R7BHJ7fJy8+U3MmPusLv8JfyVw6FFENbpEPrZ3qxznVpslo0R1u09lKybzAMX+78It/I7d3Wzj1
HKM800XEAzM7JyOmV4d6S9DERCKt58HoDSUwbxo+3lqt6ad9xYw0MOOuQ07O55qwPnUefdELwWZV
LOC3sGtZG3tuq2tHSaobSnL9QgAji/3CHtXoOC1aoQZpUelxMORle61PmQJm3eriGAKIaV6NgyZB
eHr9p2qOReTXVeIYmBiSGojJQhLhOn7XLsCfGdPRPCvQKNyqmL44hsz2hIGTZp0gVDidpPD42ntd
q4CLd73tLDLoIwr8rNu+q12CBOcqlTuivxnke81Q3WheGiG/nxzjx2RMyo8CkmgWVPhjLijASAUf
nV7PgjRuhsjPi0ycVw3bat8WXW1sHK1Gqm/J0fuYDtLyNr2csaOSBHRJhw6lnqydkvp8zlO58cYO
if3UthP72ISNdTBO0hBBWy3g7fvadmRIMbZTxzozfQtPZhOg/mtzP+vsMg5bkmKPvYYKJKjUtLqY
SFi586TbTYE+atkctLRDEh9jA0oCmYJlgdbfiC3pldrko5PPL5d6Nu9qu8/7MEUrdNzRpjcJ9bTI
fTS1xT5r0qG6HA2ipNesJKfazLOlfc1n1zlzRyGIyhRsSINkon/tJ21vFf4cT/ZJatntSN9itklA
GpN0QNrYz/sYnv62Uxc297PXR8dWs9JcXScV9TabHZQGdWSutgEkzjwFndGGTU3SUpjNqLqDEoJF
valzepp+Y7goBMekBLRSkwd+1YgI3oPipPVucfMocJTZnCHiahE3rcBfxIPZMY4TchBfSbw2dfSF
7MxJbbLzLZn35jmgOe3SU5qmx/Ja2bdGZ4VZphnNrmJKL309rpwpYKileqGnpc41yVFsbXOUqzvS
s1R12/J1Sna67mQ/aGsQAch+9Ap1qY1zBi1H98a45+mif/+mE6dmIeBCLgWh5eAT35pyzli6+uN8
yTK/EB2hdSOWiMplj/hoJXzhE/+0I3p/KCYdVECr4xI5DEvb4/kVigvVRc03HNd9PIfOvLhno9WV
YeRGRKGW0bhZ3/53NRHXg9IMWynW8KhJDzrkiyRtZfeOlzH+LKHg1bSeNlZul28USvddrn9LivvD
AOvS0W9RntGuXM/90WxusYUnmLvqxwlrEJEMkbOzHdyXtTMWZ52uASwylwo4umVsqwLenpOPCK7c
rAuGMV+ObDEn29cv9wHz5O/fyWMJR8CGMv+QamNMhrfahGg9QanZNEmDYpNYdxJzi/EsVsHtGaMG
rRBtYGimnbJtjKwPnNyYjwrFlRu3g9FlgFx+4xd7/nFBJMPXiiEjDmnMsE+vlVmLbHRabz5WCGQJ
+x5hRq7jBXj99J8/2IyekI56tMO5CIfQoZTqHuRmvQArnqpwHuxfVit14r+18uG5flcx87/UaYNA
gfr40YV/Rpk/uSl/pI+LnRX6cP8zvzdUsORRyYAto5AA//ZvqaNS6hj8cx6FNWbrkTlAUT+wB6Pr
ho4Ny+eq4GOx+L2j0j9glaZ6clehPaZQZsvvcAdgeX1S7CBLRMXKCIBxDdAOiqiDrUc8kA68eG6F
Hn6SP+xltm/4GEl3M6D3PyPHeKiINpuVzK91aKZ+X67duRn0jITEYmpTgFeSDlliwCPdduhTcNhE
9DaCsc/NzwwEqpG3bDippZ7bx20nh/NGcZslNIZlSsIW8sE1FMO8Pkl1HTCpPU+15tNwVDXfEpNx
s2STkQVzNJdWoJA2QkfLSPWzxmz1Mqz6fkCzOJGoEEJ5zYowTolSCSJIMVgdLWWVwdflgMFmmKBP
yuZrwfRwCi1AEae2lborznSOztfkMYd2jmK1IQrGGgRDrIgf8dg2v0xdaWktJqZQ8RqZYmIjCP0G
b4+RUgkwe9XC3PK6O68u8rOm6hsalYPoBMnJlXnSuWMvQqZTbrGj2zUNwRAzfmUsoDvi2Mjy5Fao
xdgSGQPA0de8TnSXbUF4O0VPrFGy2RMwmhIMnhlKq4frTrbeGhPYj8oY1KWZuB9xkJJEp8adedYs
uTWG41wu4ipZsEMEZmal5lYmejFtpx61KEqYjF6TQlsTOJvntufs3zSC26Ouq7YRNQjmUCiT81k2
Wc28JeOno3nX9MIi3SJfNOrbwkI3l4u6vewJAeNca7LPA3OIq2oTY7mo/G60ZgZKWYLkbo5qF8MS
yUuKXyp4tRBrE6TLuIk9/9GEbBS0R6kp1aYulhETU5EsyonKX50cGTVJ76FCoNZn1SzU65ENv6RN
2Xpf9MyMab1NjBP9PFJOtcyTnwHBNbg64sjNQhv13XLU9UO5zSIW39Ajywc7tCrq47KJ6xa1ed1g
8Z2n7qfoYwbXppqA/YmsrtAxr9JRHDs9vRj0QfmFVMP9mM9J/02YVptAcoT7WmkZDN9eNcpLWqIE
RQqew4+DyOnLxWhafhmis5Wwtr3iCk2OhHxjw9QM7GjmN8nQs58Zk9P/oBumqmdjCcH9iOifyvZz
M09nP7XK9EalYV77FP3LThDkSw5JXSRf86RzxMaEijTT2Jm4N2mE29O1hyys03qZQtdgw3xslYlH
CKLRy9N2dAQ16jLz13mRMd9luYy/LL1C3YO702JQtTgJN4OYmF+FokT4AObpU4RB7a9IN5ufTYvc
wq/yCeODIzuYRWpS9N4uLkdD/9ZmXtnRQe+bc0XqnKSb9GEpILowpu+A+nb3rtlyNdBqmHAvaE8X
RCbdG2yHLK3z0yly6n2r9ek5ccu4cZMxVXDmriZdZjH4dYt77+4ixbDN7x293mrube99vl47ltbR
cu//re69wI8W+BfqOFbsJ10h4BIr85J966olYdj89Pudt7EQYzGJo8Wc0yMwhnPQyKEOiIOPN4zD
xNfXj/e0XljX56fHO6gbUacm3ixGcZQ7rXq8GANEHuQK7yqEH46C9YOyZHWsoVN/ela9SzBhNs7i
qJLSS0PSbhxCuWvVIAY+cx6q0v9fMvyf9fN/X9L9uUfy18+2+8/JzXBzWDbc/9zvsoEwGZQMHgmc
wNbokvzTIVHXjqpOB9aEyL66BP/pkCgEvVNH0IddR+zOapz6t2pwPlBjeGv+H9lMILGA0r2jajh8
B6Da0eNAAUjPbI2zPHgmcz6BBMbEHRqVuA1MRSW1zhu/NsxVjkx6CJvXX4GnxSwYD3gPGFAQzOGy
pM2wviKPthe2SJtp9HQOR84xe+Wl3Zn6aPuF1Wtv1M3sjQ7eb8bj6+EgjqD3tfCxPT3YQEeIj5TN
YsnaqEOkHpmwNnMyfKWqN+4A5Kj0PeOEc7YE8xE/7mV7OTlNMQVskpPiiBYCFipTZ7XzlbLO7NDV
Os0JLCVKotM6KuRdXmBI5h9opDejjutvF1NKLeidBRwDJqsa5mdJ55Hgghrnv5LSvsmjgSGTcCod
1VOMGNdUQPL7tN5zDaROjEQ4JaFQ38axci1cT7llV9lcalI6UQgpITZ9Jc/VreHWfbYhqyubjhSv
TFwfw5J3Yzc5U2BH6oTnTTEnRbpmU17qsOJvCZ+xa1+zIuszZvAh3/WOpYy+olsTG/xJK8qjRNSL
FypMhqYdA0lsl5OlL2JXZGP006q07q8m8xgd/V/2zmQ5biTr0q/S1utGGuZh8W8ARJDB4CCRkihp
A9OIeXQHHMDT9wdmZhcZVCksa9dmtaiytDRLBgIBuF+/95zvMKZDlUGMgA4G36/TH5xOTQhkdZN9
zvNuSG+aTCvkVVukjX+VMW2YIhlYyXurSRiLKVGVetSU3Xhbu1ryQQTuTGU6tqIPJ6R++s4xC/mD
059bh6qVlh2TuJwGu6SflNwLLObIxTqaQ4fAEK0bLor0uXvigeYfCjaDFftCjc0e2TLugcBOrOuu
6UVDqdUyzjUaGtRIBmv6OYXXew/5UGxW1xJY9eWMIYxho4/TBdVEN39xtl56vnXVSUejKyO0crpU
W+vaeupiD2NKR5sq2Zyiwhj697aWKCNMJ60KImPozOmSkV93qJvF9GNj8L1v6TD4tMLH0vmgVZP1
KRuzHMrIXJrFRYMl5Ws9mOpnF6TDDaRukoXykXFP6OgLUYp26bj9Ti+tybpcFmt6N4CGIPpwNRSP
IWFFCIcLCQ8uswac7RgBaxIaizbL40LzeYrwKivgcH4Fsp4YNO8GTaJNYBKl01tKy7TZNYBSPndW
kYNzW02rCEth++T0LJ2dx2WD6iVkxMwbJTRnfOfpBNnsysHlwQ50BuYkR+RE8AFrcZwvgBFrlOLE
vDk/db3K9felbzTtDxO/4Q/69c696xT9D9jveXYoyFM1D6hAcropSl/e9N46tEcn6eolRMLvfV0t
xQhfuLp0du1K2/KxHfpCviltNyvfPq1Y/93h/vff3XyWxTN73MNYfaGt/+J4/Oy//munM4I/fE67
mz8dhxz71//b6QyycxwSVy205j7Wcnpzf08cdaLWGDZuDX90oGCeNnbZ3wdkhgtbb4W/h0rdBG32
j0aOp3sPDGDqPHY5nOaMzU5VvEHp9L6bE5K7yGDYo3xFXTtXY9gYvjo8u0e/qCxPKz0+atu84TDz
2tCPPDmJE/dj4SJVw2HNqu5CzEu5Y8U4t8P94lOADjDX5Ny/pQFve/uzzbTJAdWUPkIYm/0jXkYJ
csdORPz773K6i/JdgIVs9m3Ez3QxTr5LXfXlYKA+OegM/aJiqHaDKo9pWh79QOElRRxypoL9xSfi
XN7mQ/wfpJGTfdvN7a7zZ1MctGJc7uuhlxeggD4ZYNmilr38IMv23C92WgdB60PmDNSOQoia69SN
O+LG7W1aJgcQNp/tOWEzs+5XvQ2itCovfn9HXz2I22chi9ngouRGn/ZpCDrBXDyp5YConnxR2kM7
iOl+NC+BOvPjvXpEto/akMwoQx0czifl3ZK7pJs45nLAa00PxRZ2nK/yHH6Qmuqk1Hq6fT6/GK85
N/B0nK9W2WmCDgbd9y7XQles1X22QN6GP+r4ePWygH0WhGxUy6/kzKYybJahZH+i+tzPiSyZyM9j
EPcaU48wUVP7aKZSzyNO0k4WTfpk3Bnp6oO6lcY0hp3jqArJVW3PES/InEODtZeNlGXT2TL7fFxi
Tuq0ZgSqqw8ZCplqz9zIv9OIF+WMnd7kXp28FRl+6ClN9TSkyZs99oB1N2GcNRZktkzBzzQLoLNA
Di1pKVGqOnGPuijZkZuXP85dr19Y+dDgW5M0ykJDF3qyM/DRATprgpFbQfyz3A1OPnxrYWMHBAuV
sNqgVmdjmCwWZ2lHut8ApDVsmR2IMTpJ6Y/BsYosqlJBY1uMevc+L5BzRAjCAZyhvxVu1Oaih68/
Flkdz7ZDmwdr7qTFWLwAsEl5t0AGf6QWWGpaem3yrYfQX+9nhncqMtu8BKzQlXLknkmzA/jauped
cvzHUS7V+wK02m1qJlJRZvjaNdKl8bOfA1mNnQqXOSKwwma8UtnKiFF7TWqf586uIbawilxc4Bgx
oYZ0IDMYNPmaRAHmt/u8aKqf89QFe0ZpC6E9U18S7tyVOq2fxPSPi4OJJTKIHr9bHUPJ41ITn+Mi
mmMIURdtS5bh6r1jcDbh+Jh609rJZY7Toko/d906HfXC1qs4b3qb+ZpV9PcdhAgRlwugHLpPzF7n
cjUHIoS64n2QOT7TQY+IoCbwVRDNOWLkXaNVvgxbffHe0JQwr4U0h/JgjzlXWWctZnMHtaIWk/CT
7Ga7qlraiLaUb9zOETcrWI+v8AQIwlII1O7nWuHVWGYLwpiazXuRbk2mqSj4BeqCgV+otYb9YZyD
1g8nt25vpplCPlZNkZhR7mrsTxNC+RiKNhlSJI4UUUcz5mJRUqYIyIZkCBnwDmkEqheCWaM13tug
cAmPyAM9V1FZGTmYTqvbGYiOE7gTnRcASLPz6dgwUDrSLCNfal2Aq8dY/kD2MUxxLmqXhx/Pn8VP
4iQQjLolcb+W4+z/nBYbbRpSEhC4xKGnpFlUgIY5eTRJPAj+FNHPKYU2bSg9jVEnauG4GoUIG7ei
/NdrmJDxNtKKhEkaMww9kxNQ3t11eF2gkRkDfYtKaQvEVPKVnItyBkyzGwRh6h56l/9OP0CaLIfv
//NXK4Md79+XedGPRg5ozH7dzeA//bvGM/6gBAAvQt8BTubzboaPEmTL0jTw9L3kiqEqe5J1QKHF
8ec/qTT+LvHgiqH4eCIkGZtzAZf/P+hmnO6s9Fkggm5YRS5ym829rIhIkA0MqeUrmS95EpWirY/T
WuAnzs7CaV991OZYZwMn7xEHNBqXlx+Fb5UJOa5AgMKLt1Pz6L4LVJUjd6/kj2c/xS+qyV98FOs6
NhjqZ6roTcr3vM4jJm7yxpWPksG6QNH0cxglZX7RFp06U3r94qM26wMRYrbJIn5aUmpzO41ZL41L
Ckk2qc1skW/Jc5OTB/vffytjqz3+NWre8s6354gPcZAnbqmoL78WsSReStSreWn3WPpMgmffp70u
HwAlF4epLqY4IBRhj5oYjv9qJMdgGJdPjS48YABpWnxYnGSNadc0xyzlhuw8dv2ftfL0I7Sp/vL3
l3ta4TxdLQUZfH/UC9iFXl5tbaQSeiVXm6Zusvd9DuRa5Rb/wafQFdPBfOm47p5GfM9KepotHc5y
y7zUq2W60YcWwnzpD3+eaf8tWQM36Kt7z/mHqhAVJ9N+71QQ2SRiFFNf5CB3Cgu4JajRHA3INPiX
8zLaWTTKjrlLgmqGsqTzxiEsPTO5JLJl/WC76fs6092PFvJfPfRtLYWZ7OnNvW+W3WOl1ZYTojUh
7pZwoy90u/tt+LYFHYJBNXfr7C8FUhcmQqHDgPHOV9rwozcCiH4D5sc17LFFLJRbLTYWp1P2GKIP
YhqTTDX7vZ4WVHq9Q0xzNVukAdj8JT+mqM5pdbjuWkUlCOw3Y78l1DnkD06xYwx0d6i69fyuci0x
xHlRAaIXske6D5YzY4Sm0jlnymK3l36fLsYXk2AjTDYkRn9SeY8lJAt2q+PNXz3ckXealqsvYrHn
Oc69oX3oUOBkYVoagEozu8dwExg45eAr9dhLGuw5CMV8F3cu3T0880DsAfOWQ+8vx4yj1+dVJase
Ba1Aj+OnHTtcMVbt52T2BRMxU3L8yYoguW82nT5BNvRcLgrY27ugXAYtInNl8O5aFHwfbdgw71WT
dzaNSH+AL4Dl5We6jgppjFEN1H+5Kx5x9mGuyAyVHBOiHr8inJTePhgqu488mWcPLH7WLSKQpQyr
MVcHrYHWQN9LqvLSIXaPXpNyS/2oSiIu966jpbdiWGcwsPyLj7Ioawa/TWa0l2qke/qmM/R5jtB8
QZ/F1NPwd1sfosotP0XpxShC9Uuv9BilTi4L6c6r5AqYq7HG+ZDonQBpYLbaO0eOWo08fwtuJBBA
pGQDJMnt2q9EItg1RyLCbtyFOO3MYbYqBEOwXTEHixEWUyuLHWc6fZ9qA0YFfhzaYfPWX223Tqs9
+x8BCSTEr9gS1I5jJ4URQaQqKHa3Xm1QLeCafOlvWV5P7Vx+/PI7In3qcPXU8JVPzV/L5+AcgUsa
v9lP7WGCL2kVt7rZfac9SAOZKkn3ouSpsWw9NZkz9FoqlNVcP7aa6h8Z2br0Fc3MS8otnrq46UpD
XM+qZZbvlF73k6XKmnFuZNb8UQ2OcK/82VAfxaS07+1aMWjnJXY2ZW698gKKKpjIqoL8Vd8uhBh8
qjtt6S6Nsbau+3IV7sVIR/jaVQP9bLnhLDUvgWwJ/wplS/FEvBw7ld8HA4I1Bq4gMeu+Cvx4mMus
us0KwfktWxu8csPG0wSLlFFyu5OBYagv1vaAEA76Zpu6fNOcE+USLk+ETlfW/Tt7w3ZmgjkzLFxB
4WizBr7VW7UWnI9LVoiytqwxpkyGBYqyES6onaboC80nZqhdUGfClxjoSW9UUQsbzdthCLz/Zmj/
XS5iJWVywgSR2SEdLMgz7HX/vnR8aNkE/tcrsuYv/8pfVaSNBBgtnkVzDP3/k5DlL9WwBYPWYbxF
4USOGb26f3UKbei04POoSbDhUwZtbaG/q8jgD2pS5nUUfWh9aRn+oypyEyA/r0w2BmYA3pFx2FOl
653s9bNjTzzvw3qNkMydd21njyrE7DppEYWGyZRiKasrnyChb7xgw13BToCiuMU3RY+jc4vYYHz8
vXKxsfdJm8Fc1sv+DGrmqfH2rH768ypd6Lls5Fs+z0n9JMCGD8myLtdG6a7HRi3rwwwgFxriMqc7
lbTawSLm5QqEIoEndrUcKQe6SCdT8Mh6Jj5WlXHumk7aaH9eE45AmrYE0NHkelklCQVTPMmz9dqE
grOfn9o6HtkhA2eJK9i+D47TWB+bPNAiofQ+nmgmjxymc8CNw5d+8MTeqqCspN1avUe6fS688yn+
6fSmUb8ximcKaZIO+fICqwXJ9NRwgXNhD9d+VYiLrfuzZ36o7tj+h7s2rbAlLsWAWFZ4ehYHM7kQ
tGOKizxzwE4W0jjqCrZ8tQYTAOFyQhRhr+EIzX7PZKKIXEdYe41D8+7Zi/WLg8BJY/Tp7iLKhHdD
Asf2u7+8eNgQ47BZXa+Fbkw/6B3R+7JGBQQsYLmsguymqsrgP/lNkevT/kJGT5Np+82f1aSSLi+7
lVyvE2XZH9qRITG0QmfdMY8cBzppXvNgtqTAr4lm7GW54JXGXnpcJ8045BhS+3BE0fK4oqFkH1m9
UDCRPiNcPSnPuTUegwdQJKQP8MdOdatzMLnu0Gb6NeGZ1Y5dzopMoobO9PW3G/zy6UF+CxRtm2Mw
vT51vi8i3dCkiX5dZOrbkC3qWvakG16U4J3VbrGTJokGMxnRZMOJ/6SvzM/OnNBO1LAsq2Al4Ijy
GPBTkKl48oq1nHSIx2nXay8xmngcadMMWp/vFCKWeNwqW98t5WEYrG6fbiPVVCjn6GtN+5aG4HRh
SV+L1sCezhxdnhTIL27OdmFYLBBH0uACDfDyOcl8O6AaZdU0QF+9n2jlXJCJWpAVmubTlUNls5dy
uGmrxHvjLtVnRGEy6pOR4kKAXAVY6BwMuBmxcGQfj6qZDjW0yjdgNAjIqFsyinFZx6nHQNND3Rem
wPvCjpSd45rl7U3W5D6nCjc/tBiz9zaRCW/XEpFVMmu4FIdNq40Y/xwp5en4ffK9ESZzhuVH5h8c
9qzn78fAECkwmlq/XuexwqeOIeN97SZzjIaqvx2DRHtoOxY4XK76FBe28I86inw2DGHksFH95J30
xLTXc8d/0HXKP4fsynDMKvA2g1zUOybys9w3tGAx8QtZfTcGwz56mk6MgjDzbtxlY6B9//1i83oX
hChCr4bJHI4/0JMnqw1tzZX+o7Ve612DFcIgc41+pebqmJr93H0/WE2px87sGreu8EDz6eY3wsGb
O7/icvCfO+2jLa4GbYmcuRs/nrm8V4vhdnkonJg40LJ4BQMiqqABorHo1xjNOxHTvWYnKTF032tZ
1nhX9PHnW4M8BG1fiIW1uAMEcCz8xKA/bVmoHwmuqy6IVCMuRVQaUU1m2d/OwciU3bMS+/HMBW9V
w+lzstFMdBxJPsOY0/ej0EfSH6R+PQZqhClgWRFCWusScQptDCYQh1YrLdy8cBZ2IxqucPQ2l11b
mOHvL+X1Lsi9o+xioQQtyz+czPSG2dUIhhT6NdPz8TGVaj2ogmoonJTQ9wHC2UOx5POF0dnuvmwg
gZMZS1qHVD6mD7am0CpnEad2Z6IbnUlVzWRytPVyfrcmKUNBSYK5lxR9ZOnaOY/C9j69uo/UgvQt
uEjkUS/fN5/IPaItJi5esVFPWf0tnedHDnM/eqeN3arYu3pzrlm1/TinH4pVDTkefQmW35M75iZo
Ijy1GteLAfQ74gA6vnfaIcGmpavikekEJOVkRiopC1urwZIWSCbWehOvIE0O0LRUTfXw+9/x1aYH
h9KB/0OtDibFPsXXpO1odrjXjGthyf6YBPr4tnCW4Axl19wKyZPvzvOK6p0Nlhtwaj0xRjHOLeP5
60Up97srGyDh2SDmMfJNrX/XlKlTR6WtoUUu9EpokT0I/g1ajgQCWmqTxWOJ8TMUFY7k8zrpw043
51yGaK42uFSea/4l/vYO92pgiuCn5qbFGVaS82q5wEy4dRmR3AXbUeFk2/TWWqODMpU3Wa87R3de
tmXMtAbnIvVBMjBHm3qYgwX/dXOJzLtpwirH82IkDOlurXIoplDHgOVFqURAcAVQ2TNjz9BoMeWD
AHHYTZVII0Eek9o1TQKvvdLrIQs1khw+IYjqOobleS54YuZsjvQVtkYEhFz5uDrgbhPxuEKRH2k9
EYGnKsaJZWqveSydvqxj0mfBm5uO0rQHkzTTPpqMWa6XKSsJYjJmvx6aHQ+sRzoDTzhUU55Od4WZ
9+03NNNc8sxpzH8vrWzVb2SW1TC1EZPLeJi8meR3qSc1ejg7wSOnK38RoLmFoppd1nL+6oKOS2+L
1pnSI6u/c9nIstbOLExPdLMXjxrUWXwUT95zgkNPMV15584mOVD5jSkd64NViXqJJyvTv9ula30S
Zj88YtmrvpoTU/TQnHpmkkPJgq3bWmF9XIqFAepgMWCL/Sp1irhjWNdc5G7Dv6drB53v96+g8erl
YP3Ev0HkFY6w7RV5uRqZDo3OIa+ym8HLFNlRUn7ukp51YS7JVULAlFUo5m3Fvl4SbSLDBIv0F80L
su5MAfaqON1WclQ029GVk/Bph5p0dhA3jZndQIvDKdQ6Wv+lV0yUL3qlG7hbG3f4NtIPufEFpTsT
S0Oeg1C9WpGQoiBc5X8IkYloP1mbK9WybrtudkNLSKE7ZEr7zvTacwQq49Ve+mTp9VEL0QgAM39y
171WW6rZ0ZubBjGCHwX+WgwX7gh5JsLCrmdvDVBb17muqJgWHBY/wSmPu9Lo5jsMZmgtf/8UvGoY
UCax/gbIngijAwP58iEgKrdjoE4N2s05ObFaoF20NPkvbIdD+O8/6vUd3ioyhmbbJIhbuV3Ks9NY
MKna3zAeN0vvLmBig/Ui01UW/9NPwUiJ/+lJXcQw6OQLaQw62n4ULSMIQEqZM3txixHjzKHtVbcA
9/f2HTA18g7pTxOiZ99FIjHFci3bmxHLyIXmz+OF8hv7nTdN9PMMSs0zv9OvPtDzEUvR2drs6ie7
+LQGVh9ABbiB7dSy5cz+Q7Xkk8MG5XcG9ZZxltz+i49kwImdkhmhQ/TDSZfGMRtVOUvW32j8nsTR
1Tho/SW4nFKLRhLCVYyqv//tXj+MQCr5tICynZnhad1elK29dILXPJ0L96KrC1jlQeGJj46nzT//
g8+in4INh49itvvyaQQ5o+eLrvc3Rm71MrItyFM4YkX1xWbfP9P++NWthAqIVt1kBgfU9eWHFcYi
JiAf/Y3T5QT00tS/ph/Q35oj8uypVIyM/oNvh5du61Hyvp2uZrqYMFMsGKNbRfeajpbOeLderwhA
PUdRfb1486Mh4SM+EU8KX/Hld0OyqzPi7fsblQRuHa3abMYm2/glUJ70Zyn98idNcUiZvbC0EKuQ
Onee+tXd3d54igCeHaTEL6+AEE5aC7iKbro6I8K7ET0yGmbBiKetcV0Z9Qxl0+2HdbXGyG6KgRhd
UbsMU4jAnnddCoEB4LU9GvFc9e5tY5TK/sT8cSxiKdVZKwEUQK7oRbEADJZIGZ9FhBfM2NrUz5dC
QmUqBY3IvVnbHhb8ocZB7NN7CUTj3U1+8cPNJFliI8MfNt0LtxBuaOHnevRL7VDmHRND9YUacIry
pFfhZMtbWi5z6NY+aDBXv56STGB1rjFJ6hkhguT2SjfRY5UOUV0pjO1G2YXKFLeOMNoP9tq7P9RC
RGMTbGE93jfXuc3SyjgYmfhp5nK6FPgf4nFKRcyxdrysDLsOLbJZQrPDKYloNLvICg2xuNuYN1Wh
xQ2s60+ZsVz30vJug9E16J5pWjgX06dhTf19gm4prkpFcTnOZZziMLpOm6LdWYD+4qHIhh0HYZAN
1XSNjxGArJZUy43PNolyOyN1cV5MQIKzI3ilrPYalxK6NmRedW8zfd2szebo1jurEOMuTZHw2eOI
tq7/YVh1G8IOv2Z2D3mwuE1Egnuqdz+0usB7R8oIuaUJBsrWukmxgzDyzPtrrII/V9Etd8Eivnup
GPii9tGVY/AWNIP8Ulh+fT9N3ZfS0ufQG9N+lyJrvyj7rNrDw23Cck70C7dK4sopp91q6UyCCn+I
lJ42UN4UvoWpfO+rVJAYhZzM/sSQC/BgXzYFbo5GQ31lAOOIyondJ4bIIeCUS9/js8X0xtuc1sdJ
m7mlGbNnRaHxvVo0Tgwp7EIvrDLAZSF1Z9peQ2oYqziZ5rq+zpvatnZLna9txA3230paPDcF+ZkI
+7tJpUC3yibY+6W1PorE7Prv2H8mYz+WuuqOXWk5Q2iPtDB/lmmPwIDSx3h0NWHpD8hN0keQqNNn
x8ChE7o5erFQNJbE+5gYc5xUmXsvNBMXLKc1fqbRcpkYD6jlJsamQ3rUk2oCIJjYxl1aNKtz2c4W
U2qifAL/Ri8H/KmMIoN9b5LoEYK7w92iB8tPjr2DwZm+4UXoUR1Cfhetbke1vY4MbbVBNfuxMdY2
blIgoJd27rR+3PtjfYAf4KdhM0jvnTc75AGl0MI+4cgo5c4oJmPae0z8rnp/mu+0rrsdZhPq/Jzl
LsHqc+Glu564oSFMJJbdQyqW/K5YyOw+Ep8kA5gsXtmHECc1wUTb6y8sY02+llJrQRZq0Exytz6M
iKTvysrWtZ3Vt/KqrnzrPk8QqsawL1CR2nXWPM515jRx12mNDKtqQJhb4eSpI7gBqo5ap22PyyS9
h4lzm7E3DdE1oY8WBYWrQ4JVREgsJ1pkm+Ud/fJKhbVV1m80E1oHylJtBbs0eemlqjqGmhAH1yVk
AEoaam6kFS9vm9RvJsFUOfKMAhBiURt2GaVb8RtqWmU+NGRXbQ+arD/boENRoz5RMPNJWPm+w+xN
hhMpv9iwS3a0i5L6DZbNSK5GZC6pnDAXJ/ZylKtYSYXyLYKGOAvMw3721jyLzSboZaiKILg20sX0
9r4jB1yhRmmUiGwUxLjC5iyMsEOqH8Ss6unOb3XjCuBIlu6TeUpXxK7SHfZlX+cWLUkx5FemOc8/
8Z/ZZpyqpAL7MmIKQp/RcyDrfMJLOZfwVkWlmVDuFagOxrAmqAynS6Kb5eOmNb0XBWjGy5Fv8Xam
r0wsCRwW3JPoTr8m/TqNsXLzpPjSZvhp3tRd379BsNt/rlnDpo9Flzj8UdnIH0bWwiwkMIf8kLli
u6NFM4w6YgQLQCCMnjxDEuKNCCrR6xdQecZ0/VLghbkb5jYpyJ10i+HT5FCJXLVi1bObzFE2j6kd
JGiz9GAs9wPWFh2omaV9XEw3aS7qTDPTnVvWOZomqS/WHutZkMblOrbfkXYZ2iUW3kzDO7UqEQNm
HEhBy/oGFg0a3uwqJ9IHtMyUqWK3kAfH6XIZy6+a3pffeheTepz29B1iASSy2qmmRoiijX5ahoSH
QLB1zHzNbmyhxH1RT/bI04VGIXKLGdPfNK3m97xwuk/poNnfHZ1JnD40OJe9qa2mo/J9ujQgBArc
5+BvPrSuKfMHp0Dl8MC4BBzHkgsTqXOh+nlHpWmYh6nQDMlz46fBca2Kab1TPvrst8JSHFbMQk1M
LEoXAQwBA4Vx4bbNUv9s6bGj8a97LZKeTYqGNmZ1QAdlRips9z4vuyMSv3mr1ymBKKKnVtnX3uQ2
hzXveU+rOevG0HKVCRETRo3aGwnHwSP98sKIOxoD6tpqZ6M9jKZE1PR/EOJ7zlQnJezQ1tvx5msX
WWn012XXOJsn3v6zZ/eP/ET/v+VqekgCESA9K55f4TNuvlSgkV4aYf/6j/4a+lv2H3iDUI/C4Ntm
KH9N/E3UocjxqIaY24HHpjD+2xsEH2MjbXAQDbbxA3iff038/T/oMth0ZJmC6u6WefBPdKMntS/W
Vx2jBDYXVI+cLk6bg6YlrDQrdO+K2EADsFNpXM00KOOeuoNNzfHPnGT4us8r1y1k3sXCZ3EE5Wag
9XtZuQJ/IANw8KarYRbDBd2c9WYF7boPlrE+M759/dVM1LgeXRdEDcwuTzolipEUIupSgVWdx31t
QXeo80BGpdWvO91Z+jNf7WnM96wq57tteb4c60FMbs6hk+82dw5j4TUzr2SKZowxUDrdkK9rupcZ
E9ls59Y2Vc6ksmFkjQ30fSKGjevrlSOVYoV+j0jdphRR0w3Ad1N/tat9Nva5Ey/AA9YI7LJjR15R
2gwEcU0QLTPu0ZJlGfXAnH9xDGl97lIxf1lrmQgMINJJNm+Eo6EZo/gJFAoPqlh9/VFp42IgtvPN
h8yvk5k/tjXm2nqhwFtcF2yEpEvph4QFz58rhG+ADse6h1kJCPWqrHJS3WfHqVJmORoOzNGrg+ky
ANJM9ahZ/g1obyEjt/cyNO8y0JiaaFP9xrAz51vKk38E2Z5EEF2a41i0mhEZQEN2hJcALqqIEqgj
QPsjtfowuFdNq5r1ctwe5ijJ9fobKI6Ng2EhGgyLtKZ6cFLElXErWWvpPeLu7KCPkAze86PHfULO
ZQWv7doEr6btMq0G3ktS+YDlmNwMxtcqiBcOHc3es0R6WWQanZlnC8ObPx+F54TMk6Pu9oBgR9pU
03QKCUnaOlzPuj5M8jF9rIN1Rfgo28U8i53iSPqpXMx0b9hVzRRgNN6JMrfe0eRzzzygpwP0Pz+f
8TSaBuSvLEgvPz+pPGGVq2ddNYhrvphMsrrY6oL0Mu/UHLKvEHfv1db4xhpa60pY5nDMOgJxMXpk
3T5LtMIhdYR2e2Q65XIubmFbVk/WBgZovKoIolkOSVZ5eXm9w+GRGte+KgbfZhpQQmtDWEGPU2Rx
LQbcIqCmblq/mi8dpzU+aFjaY+nVdez1aTyUDlyQ6n6SYok0UzvXhDnpP253DzYBtCPGh1gPT5cu
Yhjr2bc766rVZjtaeZgPNVrNM+Oa0wbvnx8DxIIRJSUEnoKXd8Hs1pn0zdy+ylITsfCMhyahJMrk
fWMPth0Haedd1c3gDphU6gkmdZlY6nIu1fTVTM501H55NRviErUaPhuem5dX42hrESyKq9G3qCxN
B5JGiLis3Mis5EyBb7XUk+PY26GtVTYHRK1iTKIm2EiNRIV5pjF1OnXg9nhYJUDQWdwcJoAnD0nH
mXal7rSvKBWBMmkD9bJVr9NHglkJT9ZnnPJRYsr0jZEG8mpYrOqjjR1nOHNnXm9kWw8GMwh5hbzR
p09D4I/QbZLJvoJJ7R+QxyShTVjCoaj96sxHbV/p5b5C5xaBDyN0umRYTF7+BpaDOKsnfoh4hSmI
LDO566vuvVpNEZI0+h5/7Ri1k33mQXz9uKOGDNBAMpcCo3wqfmrGhZqbruYVqtUKq1WexNOYizON
8Ne3ka9Gf8xFZoYa/6nT9WxJLGtJhQsz40p5PnNA6tQLgnGcsEMpf+Y22q/vI+18lHnIuUwIIqdD
Y2GbdR90g38FItGfMFyugIokU8jIAu0I5Ls2irdD59U/07Jqh9DTyQGAVrRo+1piMotEV25aXMP7
UNHY/wpePP1IEEj9VkH+oltCc/Tez7pph3jePirNvp6w/MuwyHvjwROLWkKtJ/1Lhz/uXExO4n2z
KwBSlxD6bHGAWarfTbgNFuwCHtROG6Snh8HPzO9zwoPftiqv8n0SCM5Uld7Kt/6QEAUXpCMWwb4F
Suw4fYqEntPBwa+FV8dEGRGW3k++fRkkhmFs7jY09b/f136xcvOcgIFDm7epW08b73MRZFVNxN2V
CRGd472cwEdU0u4+UsTWH+nxMBXXytzZ+GYpU4d6Fl9HpxidcKVtE3Pc7VRIChvdl0VHMh5CI5q+
irFJ3//+Ul/vMewuTyAWLLuQBU+LwkBJrydo4wqNtAH/1HHu0rJDdmnIFSF3fy6U+pXfBCUvGy5Y
cfSDSChONVI47JPUlF1ylROyQc4IR2wel9y9DmiyfKR+EoSa5oNvMjKrLlqrxKNsysC8HU29+FQb
UxCPcpp/JO3cP5TM2jJAYbn6qsxMooasggsMtusQcWbUfTbIYTrg2CQ7+vf37TTtjXUXDAZB6dta
h3bGOSluoZp5JhgN7apJJ+NdSTMwHlTfvu8cI7tE+98gcWu14yo1HBul3UVD7q/7LtXdz9pSjoff
X86rxQnJB6svE1B0B7zK28/8bNmQC7kanWfmx8akV2TMYrwA1JWfqdfAMp8uvQxyGcnTBuTr4fE7
WXo96RR67Rf9sQ3adL+1+GskYGLsKcAnw9t1yqqJ+tb6Itv7GENvHXjbFXsjDp1eDN4P/n7/vemH
4qhXc/K1a+y62bcGAi0p0mC6qkxXgw03upkZKonnM1wrv6OattfNl0OxeElWQgLKcyuJoy7nMBqa
vRrMfZFZSRrWHg9tWFM04FXLknIhUXBZ5x3DR5xFSaK9n0U/0hULDPreVc9x4qFanfyjhrkh5VW1
G7kre73tIx31ms0CYRq3XTBP1Mv9QqRd3iQ7PymDDzKfCj30Fq9HbrYO+pUcJy6eeUClIqoZllRd
5LEiw4T3/P9ydl5LbiPbtv0iRMCbVwJ0BZaRLUkvCLW0O+G9//ozoHsjThPkIaL3syqUBJBm5VzT
OJGTfqMLPX6Ja62O3dYmyRIN+OKmN6UWDi1tHXQjXoBKonLj6DHJEZME6Kf23VkaZSXf6XWPJ7Ac
z69yL+IO+xgztJ7hLyc/mkJxYGSBR2VuPWeQVuoyrP2Mtfiq20KXXFnYOW5mzeD8ZzbI5mSHVDsi
WEIZy+JuyuevQyDrE7LmKYSRY0fZ6PZpX/eHcpjFh17CfcU1zKj8GJdm8lnJApN2SJY7nwXQ5s8g
kniSoejY4Ls0YtcXvSwEtsW4NTpcot/DTpkonSNAuoTa8tlKO97cOBfNPoe3+V3GfjI4OfA7Jr63
Nnd7cuW15EsT2/3XQQnQ+CDgHgtPosWwlwpbzl1Vmexx50yz5EKvxxQZJC56HmpNqvaF3ebSsyUq
AZ4WaEW6s0sC+54my2iXu1qmoEmCCwQruZLFpRomG6LNlDO8aB3xY9DVSPWo70XkjVJkaCguB9Tg
mdlE9lMeWPVvUXeWCsCrId3uRlmbgaBVmtdZFcvJPhvDo9CwJiA4ZqB2DWwne5oyDs6vEZ5PAUbV
bREduCYnNgV9UUMg6lS8rItJzsaDloP7QU3qi2THBXHA73pKpy9aU0Cat6MmxtLeaQPbBVq0/hKV
JBY3Abl9w0UwbfckHaAHIuSmfdWEg8qsjBXJ7Wu1T3ZJZ1exR9+UszW1K6gZamZyDwLG/DA2iHR3
akzi1RHZQHOJMPfB3ryoiRmJqhQdVeQ0wfInQRrs89EQ0y7mjoYiPtKmd0kbcRrkpVnj8vQTXtCS
HP1OjVo/jJlSfNEmqcovZm8b/cksp+otH4FijnMRGE8J9/RvBgRuVnjk0JlL9amOTqGTinOO7Xjj
ouTSXvSqn0q3wgbiNKtG8LNyRPRxGC3rO1wB3NTxt3h/vMPeVv6QejGoUQCmEEyii7neYsE1p2xS
c9pBBte+PqykfYmsC0n6FO/NXArPjWR/w4k9fI7TwNjHoaEeYZWVh8c/5ObSjLh6Aae4N7OHgFNd
/w7FRMMkD13lG5JJay61UpzMjE9c1ZgfSb63aiLAmgpk1DF+PR56LTSBK8HY2NNiRMK9HSrg9dgG
xlhdOcmVD9LUwUhGG9dzS3oKC8N0M9tCAxBG+OgUbYd6o7A8WNuOx5GhHQJjlDwtSrON13F7JJEX
CeiHJzbVOXeC1fvQBsqvGc8RH4mO/BzY+IvTgKr9KLfnD9yD5U/Y8rwrRlF+LvAbOSS8vlMbVtp7
Q4zcRuV3U1LzYwyUUnDzF7KAtaoKIqrUosmk1m8S1XpPk6qdPFNMtuPOMNhJTurSxnX0eLCPaV5l
+sbwt9UVrHswH3rgBi54N9fTMiEuWa/Kjhj1vjwo8TC72LzHB2IYaPDinSB5EfYoz1JmZyfJtstL
g3fP66SX0YuTJPEBiMphd8aITyi9RR+jtpAyyaEdfMRKKfSCCrTDoWrbOVZa02AQzkaRsdznr253
vD/4OPCA8G3TkXldzzFc9PMM6Uvu6yg0jz302iMBz5o722J6ztE5nfW8rjZe3M21i2vdwjyCvIXg
TVtzqbglOLqIkoKbehyeSE9J3SzP0pM0q1vKqDvPp6INwOsRN0ecf5Z//0epFqmSNvD9Ch+PZpz8
K7DfTst1MtQq2RtLE01w0Vj7xyv37qAwYoCRbBD0tUG5rFZk+FHU+Iml1F5emNIFLLvHE8EMocNX
uNjUjbJxl1VvVwNTkTof/RwplDdU6YTEs6lDleCHo+wT/oVPotHRhe2V3QRJyEPRwPlvpL0HPpGc
69hqWZ5K7drZgKehSOV3qhUOQjNFYzS10TfskunFVHp8KGkZeaFEPllRI/6gsRwfB2D912LsoXMU
njYo791EQAHcjXhjutx9MHPR3UAEx09pdRaEUJxo6pqlT/CNSkt67p5aue1xveuwqU3JBdM6Kdmz
tLaSfm4Kfboj1rIDw3SEiW0sE/kfsydNQqrZVOt9IcvfYg2LezHRans8W24fD6stuioLoWYRFq1u
E2Y+qkOrjQMOOo3ihsFsfyydfjqiev5uKWGKjTQevhzQ89fHA68J5gsZjxUIjA4ioXOhWS3+XCBH
HKVh9CddSt6noUboHfYGFkoTOyvcDm6lMq0Bd1QL8gjk9Nds2JHfBpFy0hTU/XZuJOduQN1UzJbk
Z1yWzmYRV3TBG2mnjJIFH0ARGy/s9qsszaLF0A7tD+9seaH/+Co0xaOCCy8/u8INTZsi6BGKPBwf
v521Doe3A7EIajF7la3BX199F/zXCOiww9nXa4t7bgMfpu/bDjvvGH7LTL6wFXXdczOKcN9HmUkF
qTTnWbLKoxR1yr4qQoyjtHo603Mvvce/bhn8et8mmlVn36afBYK1dlyJggH/S3QIPjh+dsnssMdN
KazekqIdPKI4NffxeLcgC1uZrDCUBUquwH64fumSIWKzUjPNn7PU9BGUy8e0NLEcKrnbOEkRkCqf
auckEOVh6mXj0LVxenLCKPWwG5BOYxFOz1jlZb+nKGh96tPvj3/hshZXb4QSCbYaRoOL5+9qrRo1
ptxx3aLPqhvVnQnDOQgSYl/aVJYOj4e6efls7Utjj5QVmJ7q+l6uIqNN+94w/GTOfiCRf7cgCmKp
Vlu7Kao2ysCb51oGs6m3EIEqcEtX0zAWdiV1Ee9cKBwcCn2Ks6XJ5Umb43Aj/fl2Q/gzFpADQk7g
jTWV3SCnqJtweyKwdejdGsrSsa/IlqyjQDup1P7EnCXtIbTE8MWq1MmbSGLfjXQAFq9avPPTTHvS
zSK9xBbsIZ3y4qkhPOc1Hwgv7OVInMwxizfWws1+wK/GHURHUrXMzvUZXwqdqKUutXyIudMJkphx
QquebewHN4c6onTQdm0pJ8Bk1NUCqMOuHUc7s5YNB/kTLarcKf8aVflstM5b5jjvjyfZbanNgAyG
I6MGF5ba7HrFZVJlRpArLD9S+pcurj28cZ8kTteqv8BaPUR6s08ySnxsg1+sHJZbZWn5xtl7/1dQ
GnLsMgUJvbv+FSHmSmmhqpYf2IhbihgNUhmMhg/XFKSJ4upE5zXzM4xTdjmUkHOhZiPBn/j4Blbf
fXz8Uu4sBlgLdCXpreMx/WeX+sfWH8NzNdqgsJbFUO+6AdabbDpYcgA6bnzve0MtXR6d9gB11XrD
wwMHRqgFXr648T/hsGNyDk/jPh+CLeb4nf2EJQs6y2ViqQRWB1pcEszHpmURHNbhuRgG9pscLhEh
TjJ/rK3K2Fgw98Zj4+JKai9uXetgH5G0rVmIyPYTQjjeiBgKXwanDj2BkhsVc7Cle7y9zSOaZ9HQ
t1zOD87s60mUBtgK0LONL401Bk+12jQ/y6wLPrSGIT0VvJNzjjhkH+i6TCVhY59HFuuLleBU8nj+
3G4V1MaQ9BEx0txEO3L9QzIlr/qh1uOLzBXXXdqFHmjb1vPeTp3FMQNu9EKjISZy9T2B5mDjoIK6
tGMz7tFFzG7X68qRy+K/NVZYfCgoTnDJWqg6iKFXx4MWFpOa6kQ+VLkxn7SOWjx2kKBrhTkAdZLN
5qFaH/ZSLpXHItE+iSrGCSCNxUVvkHUnQZZ/i201fl6EL24f2IVr6cX4NIhOPmJaCueYLJcfoBFb
he/tjsq+hnDn/5l9cCm+/hhdZgWzJNXJJW9MfMTnhuQ5uanDvRbG8140KUbh2dRtERHufR3gdFY1
tnVLjXc9bJCoEq6mbYJ/h0pysWpGHja37a6soi3jiK2hVtMN5UYI43JILgGGi7sgtzHmzp1pT0ZM
eHo8s2/X9PIy//epVi+zwHK1xgAkuchG2ZJeX6uvWtU1bxnonBsLedo/Hu/eSqIXjukfQZRUJ6tH
y62S/1ljvFF0GK7HA5NKwkTg8Sh3nwoJLOf1wklbyzPATJy4aOXkAvYv0cl0jmNrXRS0B11NRNHj
we5+LRAlbmPcomGBXE8MdLRG3JRachkiK3KdrJ/2AW7oT3Y8bE2Mu88FiQNRLz0t3LyuhyrGAsNQ
2UpAe+eXNI09bcyfulAxXEhC1cZzrWXnf/YIdhwOcUh7aEzU69G6Hi9XktiTi40RPPzMxnJprlz0
QaJ7AVrxOiitvq8wjzo1zRR8saJo9gJ9tBGIiexk0vB5drJJOUb52JzHuqjdrtDrl1zOf/R63576
WHuZewMK8eMvcm+HgO6yvCWOK2vdLy1lI0HskDKpG/w1JiXNP0DeDg55uOTSh6rSP/Xt5v3yzsdZ
kAaKL/p8AHyrwqutix4Uj1U7t2mznxp678VYiv1sEZxV0pDaqDTuLCUdywg+DKANh91qMpihbeJg
wVKKhtHxokKPTiNN140Fe2d2M8rCpkHAD367OpS0SVbbWFGSS4gfshcF1vwk64G9z2bL2ppwy4S6
uouBty2o/QKDG2i4VhMuLPQsFemUXhxJyr5OWFObOyUrxV+hOdmfKsItTlPvFKPblUUtu5gXQfWz
7BKbvIou4t95LUIFf+m6elNQVuMRrUXFx9iEr1lIxvx3h13hSxHjG4e1sGT9bZRa90rZrsyHxxPw
3kuDM+qw9bDLoRS7XjlzJyskpgS8tGEOXrSyiVyjhSE4DFL31+Oh7s06yAtEyzAXFijoeqgYsxS8
pu3kMknml0SLTnYn6x45ZE8kgW1NhjsLazGxAVEziI+DWXY9GBmrGah9nl5CFXNoQ4nlF8VOpX0s
CWLm4uGnEpb/37nt/3S/vDfNEScDpLDHsppXY5pMbgV2ZXrBaxyFW0BiRWhF+saJce+LcUtZXiGw
tr2mwVbhQKp7V6aXqNReRiRbR/wGZywPRLJ//MHuPQ+EHi4HvEnW1fLv/7iLFIZTS0OvpxdpTgYv
c6zpMGXhuDED700LJO7IIMmhRH65Lp3zMmw1w04vudPgc2il1mnoCc+VhnryJ9JvNt7f3afipCMt
aOGFr1maFgdtSWxfisTTjNyhbyiTQY53/8W7+8coq7lAyaCFnW2ml2kuisOAY+Ne7+hq/ftRFtCK
dEaingjmuv5CFvaEVljyLG2FLXHR0+k3kedsPMvtF3JoAHFY/OHTU4Rdj2JM9QzzQE58xYy1I8SJ
vzssQw/QSdOXhmvRxrS7MxwnhaEuQMefL3Q9nJnnWi8RB+G3DhzoVJoJhqixAFEkIiKCAjLO45d4
BwFAc0nPD6/lP3vTCn63Sychs35O/T6oa8iuxhy99hGidF2MAe5Pxe9SoFMvlSg7QyqhNakl6hGT
pMGfNPgmj3/On492fbbgcYfZIJd/7AgBP6+fPzBLGyCMn4PECsipaoTmoYdK42VJmJip60UmSI9o
s5+thMDhODYOFjqoEwVoNGncv0mXdODUdUF87jLMUrCGSGzhttjjWV7kFCQYlK0K56Gb4sNYEMft
2lqr164yVNWpVszxlybK4U0m4wfneqI1SyaXZDZnrYrmd5u8z695KdHOmjuBsXyf17sU3tJTwgFC
wKc0zsKb0YtbJHFV6KlKG2teFFpa/UJEoHgpCBw0PCeKVQxJhKViOTfQz4VfD2u86eEHHIoxGIlR
GvPqh1kPsPGNsjbRTFQlHKFU5QDFCG9edABQaaRjihEHotK8d/7DrafCYQ+l3V9VIlfyQZUmuvt5
gHx9l/Zj029M2JsdBfM6mQs3KLoOmL6+DfeZk8dTkcd+P7b6brKk2EsQaW1N02UjvJoXGMyA0FG3
Q21HcLwcef/YjpuynRNNj0e/dspsP9VK48tGTrlbBwSwCxhOWmqWRxU9n5+gLT420xxtWPbcrE3Q
m6Wa5xznVst+cP0bwqbI2XTo2GPVpp4l6omFu0S3QAzmk4G92sbWc3PYLWzkhYaMOxKXlnU3vnNM
SRkUp/ZbNSAe1eY7xlmgHg0Z++jH6+72K1KcLr0QRPJsP2s/haLQEMnNZu2XqfqzNRLdgzC5Jfy/
7bnwQBQIQCKYuoAIrPaaJAtLW8xz7Td2YF/mFJs6t5zZfjhfA2yCVLh9/U4DEv/UGqHJgiasAvoL
ZnQ/A73JE2+gyP0NNg4RVKjy+BMbtPzz41dxS8zgVxr4ICwHPxXNumlekqZQWebU+FlVFC/Z0A97
gEKvyX8qg6Ue1KYIXIxQwoo1bYkjdhfpf2LYi4eEiswrKlLiHv+iO/OOjZD9EN4+/Mh1w3nilq7j
ydv4Qdi994neveKF+JXcJe1JjsN0Y7QbTsxyPwbQowMlk6Sz1ggMcxPoUhS1vlTU5inX4vlpbqMR
fmCMySAN9Sxo3JKqKHR1Z2yPWW3jr/34iW8hRcwh4HzocMPx3QGbvl5qiAgRTEKB9/XUsHovyPXh
94CW6X1oRJF6Vu+Un9BkKCTWjfX0xrUtenWsls5ElBlfH/+Y2wv28mMWwA9rGJJh17AiwqQybuNg
9JsZpiB7caLWbjzlCVmtLJtvS2tocmcavMhrq77Cojyopy8WluleYxTtvBNI5bS3ppTbz6WsVcou
IIRZ381Jmv+UExnXT6a3KbtlGSZfNTvHDSAzsi1/n+UOeL2Hcl0jIhKHTcjC6ISuX2qumZMy4Bnt
h3qPLUEW/h1GrXWS+o50ajTOO12excXUeNLHb/B2SkGn5ZDAzhEiN/bE1wOzp6ulCJLBt9SLTSQ0
KUWtdlYSOHYxEdlumaLsLSpl9jG9ezz02vsKet0SngEMKcv0k/Hlvx4bQFiq5ZRToR06oGAU58Eh
nODujEEtv6tLNJ7ZDwoGnnmU7ay4l75IgLKncZZmxbPHNnpKIXYE50LY9aUeZHaoIIvT5AxwNWzs
PbdfiI40Hr8sPn42k+36x3adojdpMU2+FdvSUjQnZuMOWU8BqEqDjW83PM1yR6KfXbk1BKn+8Ph1
3R45+EuBHnCzB8pnplz/ACeyh6FSmtkXSV+gc6f/58jB5Amj3FhV90biGGCX/WPeuI4GE9h6jqA7
sp/jHnqa5rLBR0ARR8yk9PPjh7qzm2CCC37O7Gc7waPo+qlsUtjyZKoU30qNABtdPHUsSLqHHmne
sx61xhEeV3y0kuGStHL/rGFK8zJISrgxGW/XAb8Dj51FzEAD9oby16U4S7eO7DtDY5+qOhR+L9re
a8gHobiHtkzgYvXE3Rf4Cy/GjWV49z3gCgDotWzsUCyu34MVk4GaVobqJ2FYfYKUj5sRoT8EXEoE
g6phVbaHCnysdamA5ZLvT/3smUo2fBdDoWxB9TezHSh28T7GmQf45ba+0fPQ7oN48rNcCfZRq1U7
GtO/nTJxPlva5HhGEegfkJtv3eluXwSkQgVVE+0x1tlNJ3zusE6FDj76Zq7opxDrmAOqEgJnjWQm
o3XCp4Hg3te2tEqPInog3HCyvwyW3Gws+Ju6i92QHgUMbR2XW/gu118EVawCF7nTfQmsco9o5T3N
s2hjUd9WNIhRoFYhjQafoQ25QhmEOcVyGMY28x9O4h4DQNIFZ31u9N2AJOCDFk35jzIMgq+23tfO
rs/o48GEbw7KZFQflG4aHVpMpRxunPPLhLs6kZYfhs/68puoCNdwRGEXmrTY+/qjbgPHCzm99E7d
YEUVow1zCEb/tzuBTbEEf2QRqso4b692gmHo2gj6ju13xfwbkhEhKQQBUYSy4ga6kl49G81FliP7
UlXcINErBG9YFVYfHv+Q2++O2xzIPXenBaxde7TJVVvJYZc7fq/mCapr/L3GvCg3qvrbD78Y+1PQ
I2lkIGNNchLmTKhdpql+2U7m3ijD/Gig5/qAaA5Ln1xYfiUppTfqgxA7Q6maXZul8luPFGyX9J31
pcQx8F9/AwKeuNRADUW4xLxc3QLQDvQB6RyGPyVgGsWgqj9TzQCn5DUcbTyOvCyKuwu80ZpoGVry
2BXi3jxGb4+/wS0fZmmXcGWFbbbUd2tkfjKKPuwjW/PTRJi/w3ws9qVTTa5mVDlu16pzVAjjO+I2
ruwxZAPJMvuKwsBU9rYe/R0qcnN2yE12HauIn0Kc1PZdbilfrTYPvbkznb0lJnlj5txWozgzEE+O
4otaanGovd4ypGEBj7LO8GXCbHDlcHon2MlJ1g2vQd5ZP3i/7c8pzpyPbOhx74aaTWLwcltC3CBl
fezO0dKlzEwhfo1YA/1nxFnud6vWc3R2Iqv7iDxzHnfwhEWHkkKuFz847f3xy783NUlYXUTPy10Q
ad/1Y9g1OQvAUnioj+aAz5kSPk9NMp8yrII8uzfFk2Vjo2AQNO3nwdR4dqVJBwuT092QTf33EmHq
4590bz5Aegcup29MiWesoL4ROFGo6mz60xhaR2ycxBseP8gw1YD4Pz1E0b/jq+COrtIyK8183nOC
2V4eq9I3QiKz56pc9Gt1RChEVWiXKK2iH51TBc9EsgPWSNaPGm/YjarippLi5KSqIOEDDHkxfbx+
k1qcJHAmS8K+aik5tlNMeHQ7xE9QjLbQwpvGAkFw0ISQxnFcw4FYISCdEdk1zqyOT4qbSs8nV89x
TWimqIfsAPwke7PTbmr3b7AfRqWtgJ0JvnSAE6tN28m6ps2tyvH5+PhKtaGyw3gm87rOso8hieOH
ysbgp5pF8TY5vXowky21hnpTui0OK0ulisECpI81X6hr26icMJHwcU9LXQ3k85Uc1fkt1gmPE/KC
1So9mrEgHPZdMJBABYHuONVMVzPOpL1kkHQk92MKqW6ydmZuF6+NWTc7bbAkrJMs+clw4pSehqad
JZMuZAjtc28CFRLDZAF0jXXuRmz0btRgeL8M+dfj+X9bFS3PCG/oz1EMMW31dTGQaXLdGBwfU8Xy
vZ1H66RFdeZm2QARC1OjF7MY/hp1IzxYPYlhqJrSpzJvlY16/eZw/PM7Fp9N9hUOmFVRlFUDIYC9
7vjkgKp7pH4aWVyj9t+MwskLwMa8uaFlKbPFi2wMx89AwHcDCbm7xjG3Ko6bCodnYdLgo/hH3LrG
bka5X+yJJccne7RwuWjaXivppqc2i7VTAeL++CPeGw9qpwXNYRHWr6NirJLMjpl4Yr/JYuWvMMBx
zQjwjOI1OC+qiLdyrG8xPR4QowK2cehJcEtXxxGyNwAOh8WJ36KYDqnIHdfuCIFFOhWXnpUG7Wut
D/Z7Q86Cs7O1Ws49PJxhoKcTcld3JGMHX7BBh46uo/exdvi1ZD8fv5Z7Uwp0k6W7VJwcOtd75FQW
UKc6XLPIEYncJhvGvTwT9PJ4lNtmCi+DzYpIdgaxAT2uhyEHZwbK120fuW5AnmQe6z9QlTbQj5IZ
/kSXyk68i4Su/NVMsOv5C0JdPRymxRMHO9oLtUyGrVbmrTcLmzV3XGpesHO0QKuzlttOQR+dSVii
c/qxsJuR2nVj/opZzyTvQn1wLlrThRgSxOo8e11JGCGl8CjhG6AF2THDE11FPGCnrhCasvHa7nwc
gx8IwxfYg4Cq1cdRpIIGbNc4vjNF+R47vHIvnLzdGOXOymDrpuAEBEJUtradlQJrKNXaZr3bmF3G
Qfm9CJRop2jFdwXZ8VbpfefQYjgOLKRcHF1/vsk/GhbQ4HFDwInFtxsMkKY4Nc9QGMQpTLIfShQ8
l20z7XMObrfX4OSQh7exv917XiB9EBbgdlhIy7//4weUCeJO1YgDv89pzCShbVziIULdI/VoSbN8
S7Og/FnqV7c5ptlyz4DWDGLr6Kt9W4wyIhq8/i7NaM9kQ1NGlPhMBAGtLOIuPoQ1QvOdKKKUgCe8
rP6WNKtUz3yW8N10SD/ZSY2SvpPe14Uorolg1J3iV6iZjeAWHkCTyGp5IM8YYF4l8DgUJVOGWOUd
lap0CA2LB8Wgb3jqlLhOyLHrx9Ilqb07Ok6iHK1Mlj7PGK4lO4IWcJtFP6b/cpoxxGhy0QntKrIq
MUclMvpSNZn6POvW+BM5ytDviEVtz1y06K5lfY77bq6nOX6cU239Vc2y/SXkHp/tyHMsPyVTQIrz
HDkg5SpcXxdMmHTI2sZCccnmFrjhUuQvSeRdTuNOT/tPdtjN/F3dYhsiCd1VrDnGQ6ubBN4RVhV6
Gr6dXNUwHEvdeWhr2VOCKJ7cCY7MNxz7ytFtpDj6UIOwaruOwBWCLfvJ+Fjn82C6VSji89CM+S+B
ahGXzTD/NmTFyYnVwS1SpfjuVA15kEZiv01FIX5YmYAXRuYU+DYZh5khRb/Mzpj+tqpE/EeGA96T
BMl33CcBZN+h1PL3kMBdt3JM0e0A4zjwlGQeJ+x0rC5yc0gauYvgSvm8se0u2+pq4sEgozev0JcD
Sl8VLhTzkIdKlnZANiY2AA0W4PhnenVuG6iY8E/Q0JDxvhRfkUtUc12Ebb2tzW9TkEsvWdFKG8fw
vS0XdgU/BYa5wZmzWgvJUJFdhVGyHxhZcmDeFngCKwPCmaGZP2iZbn7NTUvynEAevncdrlLYu6W/
0lLQbiaHlw0J21LnlLRRtAUD3tkZQN0QtULRoNG+pjRUVTmESt2LC0rU6mNW9UHkybE8vxJuUQsM
GxwWaKhQPOzGDHW6FxMDJlyVrmu7k2NDa/GxDgpSORJb3TecFsKVUGk6rqR0SbGxb9+53oCToAjA
BAuEaO1HbSK375EeB77ZdbhkTkTEWc5QeHJmiMPjiXTnIILRzRHOOmbjXPs/jYlp1joblj9MmI9G
IUkTut5MG6Pc2kw5BCsxN6gTYM5DVb/emR2novfVEL1cpPX8QZ7V/Jw7zhEj8uKw7C0HFWvnXSN3
+WdF71BkYOOx8VKXE/96xXBl5DFxuUL7QVVw/RNSuk8YrGTiQoCLubcyFZOKzDa9fmRlIPMJz3Kf
VL4dozdLia4//dsXjU0O+kRYAxSpOPtcD09l4aRFb4uLwv3eddoaS1hWzMYivL2tQk5cPLTQIVN/
r8E+LIHMusd0+cKsVs4NqqcjrHPLw9NowHAhm8611DYbzpB3B1VopaO6BN/SVrUWweiigXoP/z6Z
3cJsfxkTNspR0Z5NEFTPljZUXbeLmYekaYN/GpUGN43rVxnZKQs1SMIL5Z90bHOjfRJptFxRVf0r
0MOWLP7eeCwO7hgLcnnjkSaSQpqruhIXo7VwPZ/Hb3Gl/MZluN8hh9gKgvmDwa0mKgUrmj/EXyCm
6zKKMPPYLOtA8tEpYVxrttV3zNjsj3nEretg4vgk7zp8ybudbJYKnvNa0hFC3NrRcWrZjJ6aAKtF
wpbDxM0jrXnH8CbbDcLK0MMHoyPv+lwdFwqZwRW+jvp9DelqTzlav9X4vJ+70h5/siuPHzHEK74E
dOIVrx3wfPEIPSb0rx4I6j6TzRUiiRsqanoHkvdGOXm7CYL20cbkmAPPvencmFkS4xxZmT4RaoNv
RP3vuDOsp0hNNy5KN/nxDjGtoHH0TZlUiIdWS3NyOKt7fGP8IoFTZE2a9CMktXFXYoMUpql0FrUD
aiGpDSaCTfGx1RtxcLLlFjPF4oxuPt33dYJrAjQVt2IFHtHJR66SK1sA7p2NlJ4G4QoLjI7c54Z7
VMsYJeEX6NtCvgxgEm7W2qBwaVdfMqXpXMIBvpdxWj7N6Vw820pc/FsjO0hJRFZCGKFhy4tbVx56
lpjjUNp+Nih4I7eYbQfs5Rtf/96DWjoV4UJMgWa1hvhmGr19hYoUpXpjX6LgkxxONNEHLIiox5/t
DFpCWXXdK2hpfZ5Gbd7YSm9PRu4yKPKWngUizDWsUGEbybs2LaDRKd+LPG+eSs3eOhnvjgL4ysmL
5Aml7/VeVsUQ3vIxtP2yi2EGTUPuxiVBZ48Pnzs7GDAZgA99A0TW65SjRoPtSG1l+UU0/MAz78NI
ei3cBzIutArbpcej3Xsm1hNbJqUWwMCqEAzjMjZm0ds+Nr2YrRexti8lY9MfmDez2iZRb9LcXjgW
BGep12+u7NUMl5TK9gNE4wNFru+MyufJ4MABgVmY2Ibbhcbw9vjh7qD4QCqLcHR5QPbo1bgOHhJm
QTqCD7vCfJ+kOf+qLS7nHh6W7Tk3yJnwtDoZvtFOwXmMO1ZcEFLewrSXFWk82NVYiJ0Fy/PH4192
97VT42LxABYDFHP9QobCztu0m20/lCQFOEEQaG4W9kYdc2dbBnDnrS9qEu75q8MeNZvVFZFp+3pP
kB2xB+0xpQlDJtqwdZ2/U7GBsMFLozOxNIyXB/7HdT4OtLHkiuX4GMQ+8zfWW2bLrV+gz90FXVVc
2GUJh8cOfm9hvLJ//Drv7kCApdza9EXEsKbwdOo0GGlaAmegCvM7pQ6OlSYiF8Z1dSpmpcGp2f7d
wMu6JCb2ymFXtsfHv+HeusUPFTDlT794Tb+MCINRxnGwfdOOs70VdNLzUGTFvpfpU45d9fHxcPdm
EN1imAKw/+k7rDYjIr+jIAxYuHM/DIuHo+U2c2l7/34U+qFQzAm6o7ew6m1UkQgH0pttH5/B4UnK
0cmiTN6qt+9+PofdjmXK8XEzewTuSaLEYtgnlUXZt0IMGIGjZpD7SNtBmnqOK9t0R0vOT2oUZU9h
NMb/xedjiSzeAw7Q9PpyVaqVA/LBVkEYBgYjrfqrJ5zpeZIxdTBDXTs8frF/Cu3VlgjgCYH2T7+f
qN3rBRPaklEGs0w3o7KLv4uiDL/zs9K3zmk1ZTfPAM5uZlld9lLXhYLzpaRh961W1UwGciHFb6pc
al8npe8cbw7FiM9OkqSfHaKOvgrdmL6ViGC+Qaye3nSzFd+dzjJ+IOTXPuCO8k5TQD1kQRz2dBWG
8hhIqgWFEllHjxTKzF5lJwdvLfMxydwuSWdrzyJSvsVQB8k07HX1dZQLIDLdLkDLogz0WEkyfWub
vIUpkRaD3jtYrIJTrme5JVCKdcFyFzW6ut0tCSRfh1gy9qrTu9iiq7U3/6HAG0pTfUrTUe52PCNE
dxz/0uKYDZlMYCeO7wlOt3lMTodst5TNejn0z0RaDB/kWpa/6l1ha145x5DQLdfU+sjaoZ9WCwwR
e6wm9XAcTcJMMLs82XUNMUAb9PxjkSbNK9jo/E1G43NSmqzEIA5Eqzwk8G6NndyZ8mFqZ/Vr36ew
79u8LmDrIIDf6aQP//14Ut2BdWBOsgty5aIRR6P9elKpoZUnsWDDj1pbfdPUXnnuVBJ+LEQuB1Mp
OGox4CNShxgdxQjFnohq+4yNg/A6LiG7uhDWm4HNw7/eRvBN5bYJW5mthM95/btkSbfmkt6PbxfR
vHNitNU0YrYqp1sy5eI/RR8W9hpW0dyrr4dJEqOGMYCG1mpJ5q60PjmFuQHLtU1ML2tnzTOdQSFN
ZkqfRDMZeByM5pOQReoGplS+BAquVHEelW+N5Cg/GsUQJ6lt4w2E6/ZYphJa8oRxBEPYsjYksKys
nvNRoKpqwB3NJo+OMUECu7HMt0RIt9d9jlo2VLhVKBQQ0ly/EVnKRQYmnV1iXQtR6UzNHqpwd7ah
DwARt8phqIdko+y4PZogaKNEkBlahiy6OpqECHSnmfgMYzpiCE2bAYP6Yos6e3ve/g9zZ7bcNpKm
7VvpqHPUYF8ipvsAAElRpiRrsS3XCUK2XNj3LYGrnweqmhkT5C+O++if6IkOtyUnlkTml+/3Lniq
0TqgNQhGdcLTKZVJTonFyQ5GGhNQ1Oi7KUMsI/JgS6jkpYzTc6NBjsStCk4ODIPVgxwp+UtHxVtm
UNIes1eM9tRCwf9QQQOTG832/S/57WR2vD3g+gU1mDT7BR9av7hUcP6t4zE/2MQ8g81qmUXsGmlZ
HyslFZIbIFf9WGtZfRWUCTonPnq0bKJNoMZUVVJ4UJhgHphj2RCB1u4JaTVGkp4QqrhRVku3aWLi
yU36YAMsnugvLWxbezPKZZttzLkhC8lqpuZ2yBCIk/BcsQVhAT5+K2UNBfaI6gtgLDATtxymJcaY
mF3gsvK+DFXpSZ464ieI08P2cCZi4stEZdT49ti3L3q15C0lSm89GQpbro86x8FmpjWnHWF6yosx
O81LF2QOVmCGVt1MmOkXG4q7qfHrckxlAnt6I3LTkjSuQWci0JIN+4e+MRVED+OkNm4uuGlPq8X8
GvK9De48dPZHU7Is0j7UenjqdZ2trqShU7qVPHcm3W4ElL+87lHOqBzkOPyQPLFGAIQUqbNOjt6B
1mLkKdo8+HmZzxeq3zMfOXUEvu68IUAobdXjVuDqVT2ksEMIzP0URlbq5WpWf+hjpfAQTMSHTo8v
iXjPfOQLJZL/LEoUirbjlUUlUVVR6744yCHOTMjGk43RyfOF4+mZpZKSHvs7gnPw5F8DwdC9nAzG
b3GYcHPaYpIXb4pex5S+j/6N9WQRaS/iH6xTENkc35AkmTGWQU1xiIiJ26V9fZWp/XjQ6SftKhRQ
F17auednQE3A+o6mELyu4+GiwsmlSNKKQ5k0/bYx7WCr4wp9YQIuy9JqGQFL+N9Rlqnz07GMVgrR
ELngptDobAI+0ut+hJbXDpayA+JoN5hJR9t4lsJ/482BMoN6YfPDqXC15ZOOBw+IWHXcE7qHdkr6
jdOFpBQSGffLgAnKPlJ2lwMumPZadJ0S/zFFkKsOIu8dj8ScDPG+HHsiUgOYOcYlndi5OfnzeKvt
rcE5o257xqs0M34aY+Iv7HSeD2Oadr++k4LcgakCBLGZrus5chNlGLBpedCkZEnUtGXPlGL7wtHn
3FRkAKjHi5UsTY/VJBmGxIQwVR6yzAyggln6pumK4NcnBLOA2+AN0S5bExzAhaK4LpTikNO1dcnJ
G69yu3moAyn79fpq0cbB2lagGtHAOb6fILI722jl4jCY2auSWOoVZ6XRtbTUuPARn6kKjkZarRmR
AtzY9TbLU5iVt+HQSgQtWSWNcy3ehWlvX79fFpw5KLPGyRxSYTMBa6+7jXgCls3US8Uh6WObSNF5
OnBYbrzCwr6I6rffkltifCwtufRyw/qjStL5+/vXcOae36T5kGFgPWJQdvx0abnEUJ/N6qDa2bDD
It/ZWuOsbUWSN7uqxiT1/fHOLGFgu/glLXsoU3S1hAG+OYlTR/VhsVYg5VQod1JP+GtO/QK/IVU8
NY+NQ2bjOf7+yGfgQ9h9qBrp3dNqUNe3Wpa1FdpDR3ptpkV3AQ7IH8RUYnJu56qX0q/fqqSZuKYB
ophWg/Et18L5kFQQk1Orzve6lcYXFrtTnE23aYEAcuE6SDmqHj/9rAQ5biazYLURH4k3+GA28kta
lR8SJblOSsRr4TQ95rL9+f1ncWaNoJfA3AMNWgRCq2/KbqVJJEFbHoBa8y/11McfcfguLnxPbz3P
4/2Kegl6IFUMDbLT/d6cxyxinTgQOavZm0HrKQVtsD1XLWaa/BX6erFRmknkXiKVdQy4GPeZO6rM
x6qSvyVKbX2LNLo+LpSPSL/pDYdc1k5HyUQ8L11BX4QcfT2c3qTOJ6ZdJREWhQ8Ah6RtGihTX5H/
pR6Z9Em2xZAMXDgKG1O+DiIt/R6gUblN1RQyCaGsoQtFKNXcOcDWy40MLf9i5mZ07wz98BlPqfp7
IDepTvCCVH+YZyW/sXpR3wdGZW0Jm+hvRmCg6xTh+MgsVoyXFGIWmTx9MDdu08IjT5W8/VM2BJyc
CYT1u1OT9eHWGhG2Hqf9EgFQkcyKJ48t5+mRD+MPmD656cr2FP6wBoFnfGmRv+GHTMYSBAK/WNhY
t4MTFqU71JL81HdyhJWxLj3wNIji1Nok/tOpq2jwzSBRnzM1ImmqRDLwXSWj5Su1f/4D+pT59Vfn
GC8fUije7gvDfd1GirK56UjOKw8RuYCbbgi6Db7pyoWv+nT7Ph5l9QVJcTfCjMnKw0RCKUI7s/M4
TaRbklvKC0vX6UfDUNg3Lhxb9FzO6qOphcDrEAHPoQpCCbWGpnkVtrUXbugMxxU7Qc6JC3kShfw6
qKzXe6KTo7zGJyj7CtOyvtHzGbPTrLYfyVCO2dKHZBcKbbiam0bxDTkxiYAqyh35hM1Oi2pzr1bm
7OeDk1zo/5+uV9BCKV/YJsE6KGGO1ytBwywwGj7oIK0VKGYCIrwYS/QKUtPvycRIrltZq77ko1GQ
UtK3Fzqgp7sH4wMKwXel3cIqfjx+a2fx0IGuHPSos1+LTPlmjsl8OzeGimOpgnROxvHKoI134a2c
WoUwHvDEYt9N/c2adjyy5USpJnVNfRjG2mhYHHJjxvwcEwxIIZgxCLuKpi2RKM2zCeE38+W+Lswd
SXLhddRYYe4WAxChSwyPDBaNtgAvRal8MgI7/kLWpPFs9MjNXdUUrD2VNXR7u6gTB82cOQtfzE30
NUPfDd+5phLB3r9XNZ8W7kCKeheBGARbIefFlz6xxU0XdoXskl+gH2ZcZGTf1JfQc9KsDHsbzejw
yGmp9PSaWPDiq1w1zRW7ZsqRPY5r1aPHbD5AhUpHz9Dm6oPRkUDp6nZs6LsuNEn9LNmgSGwuKuJb
wkqxJtfoY7X0m8BskXwrpMJ4o0G/wcXIbyw2oqcl78P5E3+qlSbuALIr3R2ahcfVW6l5qcwweR2r
nedNg71EpnKIXsc5pIvttGPMTJQ4rjZq7Uib1EGrAhFt9C1u7cLacHpoXyTuCzkAeGchGx1PjzKK
WrOr9PoA5C4+ZO1QXjWtNtBWXsytLTXZ9XHj+O+vsGfqR7yCDPpji0QLPs7yFH46D1qhGtl6LurD
UrI9mCmthmLqh3vbZDMAuqmuhEKwJGFEI+ZnlToA1hrThSr2zLLIfXMoBBReNACrNSGu7c6ssGxA
yDi3nsL36VlRcIm2ff5eLQQasI7gka1BZwfgEdcAuT4Imq0Phj7Y1OXjsOdoP/oszCmSynC+MYQQ
m7RI7Z0+9Q/vP+8ze82C/liUyW/Q4Wr10cY5VeKYSzAyobqDnPV8hvarno+XGBBnuP1gQMvERRwP
8LpudRPkLoKSqJ/DFFUl2bMQpO46cBvZpb/RzF47QPfcpFUsp34AgO7NiVzv4iAbXiU1Qw0g8im6
QDY7e/swFtn/uCBSj49nG5hvksiqVB9meQw2c2h8IVQpvFWc2bhQFp+9fTrPFm+ayphm0fFQDgJ5
qKxVcxgg/sa7KifxBXWent7iwNYSpqpoo5u1cUtgWNVDAG6j5L4y4RxsLC7e3kgU3ZfIaG9TbL2o
8KktXxqiXtCl46tKldlE62ZxVepQ/LG4FzSb1DLCZ7VRshs7y+WPiTGkpavFMuyYhAXflcJSSd1K
qkW9wee/vzFQRe6GuR/h40vFH1k/ZYi7CB6AgxmgU+kAov+NxYl4GYowmagDkriPr7tRCaYf2qw5
4G+jb+PetH2pVArchCtlG7Uh4WBz3Ozf/1jOtG8WewmQTOR0dHGM1XTp4rIqS0c0h2DIxhsSe/Sv
rZbUXxbZhNfUAa1J05l2Zr24JHQDr1XG44vZLLAJNktyvsyk2lt2Pfk50B2Bk6p0wCBHu7B+nVGi
cUBBXgi1avGHWPMqmoVf0BtGc3DiKL2uWiN3ZUMKr4bc6j6FWKzgzq4/thWBFEGbmO4UOf22GLG4
ev+Jndmz8HqCRbIsclCSVvWliccXGtW2XgzvIXFq8TcnKlLyuNIYsN68UEqdGw14aLHTAnCj0Dye
FEYQjmzz7JClpNX3UVr3pEyQZA6IPnq9Lvqr9+/uzDax7IwQDxbXUGR/x+NVSa5N6sjimY410h/S
zVxRDPrm/VHOFKg4NbIRQx6jel4LxPIsVkY4DuzDlEmPLRlvG7SExm2czuIaRQba6jkfPF0eZr+S
x0uOJmfq06PhVyvEDNHLIdC4PnSlktGOie4JdHucET8hNrqBrvtn7Rj3v37LHLKXTgHeFlh3Hz/Y
Pi54oJZVH5wctnoJfnrdq7VxCKIm281B17ktB84rYc7D1okM5deRQBD2hfsMixNAcP1iFS2IC/KC
satxysoLqo52Vr20KiZ0JO/f6rnHyw68dApZfUGQjm9ViiepCUTeHBRHmq+6Ets915bH6eAEabzP
q4mIwETtNrkcXOK8nSnwaO4iWAXxBLJZn8qswLCCRETtoZis8KpPW2Ub6mO37VW9P+hDW1+ZY36J
c3p+UJq9IOIYka6JdmOeho6eBc2hoA+6b+p5QEkX6Pteqho/Lqg/svJik/kMKZeGO2vvInBBqrpW
DBA+mEAOLttDo7YcBuxc6+4wTKv2DvHNpHkZZPKIRFxhl1hcjfL4LYMYtYPA8GSYWeEnraRfh0Nh
XI+2mR60SJN8EIfk0TaK6UKhcKYkgSG2xN8u5gRUn8cTIgkRb4JztYehML8A0gmfIsn2CIG8xL09
s7DomB1DeaADA+dx9WUHw5w146i0B1qnyn0TVbEba3L4B9k51XURKcnHKRsymqTReB12Zbh7f+af
mQl04eGAYGHNh7a2idPrgZpLL7tDH8ENCoNh2g5VWrlyWUnAxSaG5ip+G+8PegYxBdWC0rDAk5gW
r29adcacJZrHayIpIxRTycg5aEwSz4ivIj4s8domm/0sjbtrKBBs1F02+WqGqqTLe3ykssXF4O2i
/uPI+7f913/y5+9lRURkGHWrP/7rrvpRPHbNjx/dzUv1n8uv/s+PHv/iv27i703Zln926586+iX+
/b/H91+6l6M/bIou7qb7/kczPfxo+6x7GyD8US4/+X/9y3/8ePtXnqbqxz9/e3nN48LH+qaJv3e/
/f1X+9d//ka1K78BC//x8xh//8DtS87vbl7a7h/XL8PL2d/7wd/+8zdFMX9/q2fA14mXf/O5GX/8
9Tfy70wgUHDk9qwoKp8TOvsu+udvkvE7xmhwoRcrLjwgFzuKtuzf/sr+He0WEgw6t9inw0Axfvvv
C/z4V3n81/vhofz9538Uff6xZNlv//nbuu6AckEJjusfVT2qjnWVQ45ipUDFS/dzVKtP6iz0zyR0
Vt9sqU8eCVi+5Ee0rjsWiocs06Fiu4A7v+7MVkHdaIHUZcgRJc0zK8t+rIqi4An/z2s4c1cnReTb
MG8hWhpPkZrqeCXCQ6GchSxlewhp+ma06gnIWlaafZBk+t04D9J1bITSRivUgTWx0Z6IrYIHgdLk
Ek16WYp+PqYgXtMxmqKfYztMhjUbedZNOZsgFl6ltcbuENoLGNMobSm5eunoiDjtOsg3oWGguSOH
L5M90s/i0iVfVujAdkpfXFin1xu3zbVg4rGsm4uZx5r/omCjYdtx2uxTZ4SKUmjzJwV8faPMcng1
14P5sTG1hpaXfallfvL6GZkDHwy6ZWSq6uP30mh1W4s8bdkza32XVG27IdjwUm78yaRenjX4Bz7K
gAN4Kh+PIoRC2TP37T6V48chySuX/3+2o/KHabTBhUp6vekt8CcG0QsGi0knPJHjwZQYmWAsmwNu
KHHuxzNGCGknEvhEirhwNnpb4Y/n0jIWVGGOCtzamgYdxmpBkk407jl3k5ScSrRC3SnH/2WYNNi8
NZ+t7FdYZkPglBFCeUmZEtwUO+wV7Tzbsz+rpXzoIXE+Z0RTo9Ru8dyynSIc3Yh40tqr1blKXKxa
YSJJrTF2D3JqpukGtzJn4KxP0LerJYDvblkK/bte2kCHsYSe2B31Ci+tuJlKIgdxX/QEuuULn/ab
E8/6GUATw/ibHi313/I+fkLZxlBNRqWuqj1JN3PkBY1DcJXp0NLyhhnhu6u3pT249ayI4GMVpkL4
BY/rTlbH+rGWxjTcJHpLGpE86PfTUMe3dhyXn8GDCeCiF1p8whEsu3bkevyBJSTGizGOnqUn5K7+
MvZRGG6a2MnNJ6UGmfdEmCv2h7prVPKysmzuvql9mLauSNtIGC5JseF4WEwX8x2OTHnqJaSwDm5h
5624YVM2MHoxo+mD1NjJN4OZNKPXZ+V385D8Zz/JIkVxmzwsbNycasIHmY6zfhg5wWX3YdzFr6re
ipdwFA1LXC4X6ufcnmbjfgiz6vn9ZfXcVF+O5MxBTjjsT8ePvh0KudYbPd0LveYkN2VfyOc2XKuq
9Asr1LmRkIfiHLp0poFKjkdK+ioG3+uz/WCZOK2OOkoyNR5dCC6XCF6nSxKKIMfBkhGOxqnDUA03
L8QYFNcvxLI3EfEtfqZamf/+ozszCvEzBpAgxoN0vVdLUjJYLXtdUe57IWc+GsLgSq1y5UKJeOax
wf2gCyXTT6Yjsyz8P30bOWAW5sl9va+NKHtuFHVO/CGd0h059eUls+Azt7RYx/MhsoUsZLXjwYZZ
IeFdier9XNvPJAWa+4GiZfP+c1sX+iRkA2bjDgKGAKl37dPWD2ppFFrY7OFmj1f49sx8H2loBRs5
06MbpRjlPRaO6k3WarnmjZF80RvsBOvmGiyoZOyXBJfbyLePbxT7Wp32DNtllCXRE+Ahlr1WEJAD
HVXVTdrORszCAeBr5XaxR+81fMwCp720q515FMvWCaYAHQua9+oytBF5AsK2di/RMhrIcCWU9KqL
owbcu1LH0BWdBh3dDNvxxglIaPTNZKqGCxP5dIrxOIi0QXGIExi+uscPA0t5p+7arNtXBXxZO5OH
h6wEGccIfr5QOp2WKcuTx7UYJB3K4LplnelsbEk0d3sIBzI2gEU6b7lfufYNbdBeE6dSNn0VSC9B
hbHGXwebo3PNz4Xx6ezmGdP3BV+XoYm99YV/+pQkJRZ9LoluL5ROceG9t14XatWF6X1aqTCKyaJA
xBug7NqOAfHmYKSGjlwuKl5CjvJKLm7HiuxwNvJ/55YgDbI6cHSgZ7BaHWq5DdhupG7faV323Kdh
t+mMcHx8/4s9nSDsTotXw5vrLueU4wmymHUMdGX6/ViI4oOMeBnM1CTuoK/mC7vEmXeEhQKLymIk
SqG/GsqSo6HSaGhiI5NKXktjz+UEfMkb8GQUvjmsv03oEyCYYLTHN5TMSWHR3xkpo5TiFudnuP6U
GBd4dSczAVkU/zizHDouOM/q69az2InB1cd9CuvFS3tFhowbK9R4Wbwb9fBXW7Lsrrwgjp2gv7Dd
1jihLCdOrOX2uA9E6DyU+GBjxymq10GN0p2kBKF54YM6+ZoZEGUGBz86aZyHVo+xkTK4YI427o16
0jfgDLhpxs9iVHaBNd0pgYofhX6pjjg/KHOeky2I7Npjl0SVWq5mk3cny8+ONeMDgLNoC93dhQlV
uBYeEGM+XqhRT4+fy71yrgaCRTHEIf94ytRakrRqU4p9E8pbe1DwRhz6ysVWKP0QdJL0kDTV8CSK
Ig4xFG/0B7PW9VfIHJ/e/xZPNEvLW+aQTYQEyANA6WqPzpKpVkvHFPuwwHjOLtFfuwYhK/G27/Ti
OquS5KDWeGInsWztsknXrsOyS69H3HndLlAKwrvGQrqPIk4ZFybEuRkPqgmPgyUQyffq2hTR24uu
RmDJM0zeEJuklsQ7dAaJC2L3x/tP4mRV4kHgs8xeAjRJobeC5eu8Mcc+jqd9lDfBHfGywVVA6v1z
EBivvzwSxl+4mkIF4NmvGdNj0MGCmPtpLwqzuEYiInZKr2R7MaiXTLRPVyZGWqyTFz0Qfhyrm5oT
upWYy017RxfGFwvmxkva1Jfav2cencapndvh4Ln0Do8nc6SoST0ViQyW0icfi4o45jyXsEYe2vzC
jn86FK0ohlr8HN6M6I+H4gCdaVDbxd5OrJEszWb0hcphKorLX82uWTqv4G7ke71tv2sgKsTKwxKq
ITD7rYdHhPLDF8q8+EJBvpyIjg6rjLK8I3B7kAFNX52YqlGGwYM34l5BqeMh0k8+hbEm3GHA0Fbp
Y/Oqwsbk6ldnIDoLVjx2K3mJdVnt86Zc25PQsbiJw05BGVCFnweeuiuV4XxhgTmdgQwFywS+CVs+
zvbHLyxMp6ZVdMFQcZdeZV0Zbya9E/6/cUOQsiHHg3yaJytFT7gyMOa011P7aZrCaFPj3OZKhRZf
GOnc/djGskoQvEOk4up+8FSxrGjSpn0qoHWEDvbKWod28/37OV35eDUISIF+VYrM9RIBBSwTZFvP
+4DMxLKr9jTsFq5Q/WclqZd4EqdbIIPx6aIY4ra4teNX1GDvZuOhPO+d3p5sdN6z9TTi92S7WV53
pCFIej9DjNDtBfPo1QuY1dl7Zetdahu0s+tc77w0W7MYxnkvbKuLvcpshFfLmrSvHWxk1KS41Lc/
/eS41QXZBGRmU1l30htrNoFtombfIlncdGgX9+jj1A8O8QpXKZyHK9ucx8/vv9HTh4yJ/WJgCZ2D
+Jz1DFWnwkpgo3b7Js8bZ6/EEp5vYW4hTMuk1O69SY4jIkayVL1Py7m9JOX6C3s5XmlYNnGH0Dmj
asueevyagwgfNVIyF/1xjzNR3HXZgF6nHdtNHhFZ7Y2QtWN/GMr5EwZlteXJaq+kGxXvgdBNVWUK
XFUrpAcaAeP3qM/byjOtLLzrhtQwMSOU4TbVit12nzrHaRuvFpbI3W6J/PS60a4fRhKb5A3JAfKf
aZq3qj8qTdK6RKNBmUrjfoyWExRRh70VGTuza/UabVSFQ2TSN+SDSq055FeKOmjQsxWBHS8/By8B
OjHc6kLpOsmTpSRRvJmSiWsucCyj49sZn4RcoJzXBynDciTI4GXVQ2i+QHcpLb/Pi6Tx00TPZZq2
iUYJAEtu07Q9dkWplYpPGeZ25jZuJOUPaeyBxDty3GRvsDBIdNMwodGrzaLa0ZKzv8k5E3fLqwhM
X1aD5DO1TRxAj5E4sHVTNqsgkBKFHa4LmHBDrcc4oLaLdmvMcvEpasnB2k92I6fbLMNK3lZTgMfM
Ci1nUwfYW4DcNlLlmsJ2YCGZSfNq6oUcbbJUFx96Ox0ICJktrKdN6PM3Q453pIrRbOn1VPr9BiNc
Hs4iDyMkPBDqc5hoyheKQ6xIiaHtHxSwUq60dchKR67/KOQATJR2btx56pjV2GnVTVbvDB7ktnRa
dDc9BrXkEDrAkH4i68m9Gney/FXSFdyhlWqe2aIrc4x2gciSBF9rKezcODVoN0KvaVvXmTjMu2VP
btPOyUUWYUvTlI/NpAPPJr08vJj8I3eFZBTfJ7nvXyerNL6qdFexTofXq7ywuZZXGHiOKAraPCq9
pqtFQwy6UEbkKhopwtHAdnuX0YRbCnvRoAeFOjzAbpG6jwlMfpTochgLX0+G0vaxldYHn/03epzD
ZNI9Z8hxtq6Inko9J7C13gUsb2D7WEJMriYE2GylOEXupsHQ/NDtYL4j44TCXkM0kbhCVgd1U7Lc
hrzPtv6m1YhtmSIGxR+1hmupafUlSKriwdIR1XpJr1WyW0Sy+WyY4Sdw9vkzh9jgKlJ4VG5vWGGB
TbBWV+409Tpgt8TMvTJmEqP4FOoaBqkeSkgWEkQLBP0JGDx0iYkVHGQCHSY1MDno1DM0KTwWiFSs
sPv1p4z1yVXsMLkWfSgyNzLrbnHOKpvNxMnvy9gUg+k2TaHdFrHaPCeZY3yGdoLJVkqUk+YqEcUs
xnaSRK0e1bbjC5TW5FhIKmcsW62zP/Rcy28iuS9R+tN3dku2p4fMcsrSbS1eO+O3kgGL2Shiv6tH
ax+BnLY7To/p04jo9oeMfx/M8nqIfEIO++ceL6VsPwV0UjdmO6V+U4tIhnEooefIlCB71Zyxzx7H
Ki8+GVOavE5DEWruZIrC2WeA1NdjrAQPlhSwLHdhTIZiq4jhe53jT8EHnEvf1biPdrY9Soio4U7f
SXY4ENVrhJO9G8iUoW0okrm9JT4k1IDANBl/0VJPJ9/qptah7Z93mAElmoUdLEFRg6vU0oQK2hnD
G1HZxJep4XwlB9JTknRPpd2NJIQJgxq3mLFXgK7RDB/kZJn3JnOq86Ko7CUyHuxA80ItcO6gGLTP
qpwEg+9UhbqVYsd60bNoup/M0WCGah0Z3xVGE/cmGravQeAEqjuNQ3RAH2Prd9Ecs8An4/ClG5Et
+JFNF8RvVWfipcwhJJ5pUvhsEAD19i3B4PLf9dwvkQb+n1SAI/rAu9SC/y9JAzKoOzjU/3SrF2LC
EWngdmnx/+OxJ6S0AVf4i4vwF+Hg79/9mzggy78TjmZQw3OGX3iIv/3jL+KAY/2+yNHhzEO7+ok1
oP9O9QFFHzQMPi12O5zU/ps1IP+OrwJ1AeZ+S/45TWfnV2gDK0rw4owErLDESy+BgfRZV3CVNjuT
YZRWsMUfgXy1LrT3hYZB41BblLMYnG5yrYdnavT2/ZROEehtm2y1xkn9KbaV15+e4Jl+/3GRuVyN
Qb2nLiQ02qKchY+LnzCJbeJplWBrK2H4Efuz8mvVVtFtQEbiqzZ23S8de/4abzEY4YxAmxlrvuPx
GsuoQ71qgy1t7H5fIoPeDnXyN7fm/whBn46y3PVPEPRA9WL2fRNsKyfK7205U11LT+Uv7z+74yMP
PQ30MzbpIfzXkuthrc4HE05edHCNcdsmbOBxWz2bmriU4XpuEOYeHHKmClX56hzcSGFVJkYqtsAz
9R857ZMn/qdL+s31NOBWwN0WIxH+D3hz9VoUKWvLMpLG7YSQ0BWzuKUB8hrk859WJF8AlMwFnvrf
gvvtuS1OQJw1ELUALq5uSZl0QnajcNziNB0OmxL0VvLSPCnnW6H2+uxyllWpcyZa+X5Vtfhth3ki
a5vSmWX6w7QsbuIsbQpXYPyU7stJUz+HQ4RNellkceQHkrS4RIkye+aTZrsJhr4vbkPNIcCYOF8c
UOXqc9WT8eRhzVoTpFDQdvLY06ec3cPQ840o5+xFF3r4dTST8iEtmmDaCMTTT7GANrOhjyJ/0Nh6
DF+hjRy45RTlndtoBk7mo5HchilmSh0Nfaxmo9Zv7VpN9+kQiWovVZHz5ISjUtwEXWandyjkCnGd
sP0UfhvZ/GuoBiLTx3Nk9I20GElGkpGU3prhQIpxkRY5zkFp3XwHDao0N8bnk8Z9OCUPSwx269VJ
1l6AZpcpsH5rJMos1i+slVgFHX9TYTv1ZWbpBLrbOj5T7HZeH+uOR99E3fzqhwVNAeiH5iiAFiY6
x0Oh1paUOq7HrVMWYjdNg+rXxkWuy6o7ucxDVE4A6ixEOP1z7j0eRi31JKx6bdi2VvIN7Yt4Vcc2
3+KdzSmQbMVD2E/loe3K2ZNUod4VMqmLFwCN06dKQi1KTJ4obVJwteNrGC2NblJVD9tMxORNJU6P
gtcCQTaDS0HMpyvJQlSjW68sgC7mzsdDpUg+87wthq2p95xU8AP259CZ/Pff3ZkbwvKFjhzULQ3j
htU00bVGKhLq6y1JDgRGGLP6MM+JhnN0fQkgOT8UmzUrI1TSNV4hS2nbhVXLUChUHvBv5rA59MgA
pfGSU9jZoYg8Y8FixTrRsgK8jlIVVwPR6nG7K80pf66w0eN7VPL0wpQ4hmHepiUKOKoR8Dq8B9db
pCwSO3CMnrEcZxNjkNun9iOmRndGpJYAIRh7/Pore1uHoQqwUKz1wDN2fhMZPgxYyqHPTpBtClkX
VwXY7C/PDtIUaTciCmFHI1LmeA7WsQ4gDlCx7aKF8p4tuRBGZG3ySszb9+9qRfpdniMWL4js2GUW
ZHwd+eY0BGJUtVC3cjuTFiWZATbT8Iws+v3akjuOshV7M3ZdOjaJOsW3UtA3tQtvYnxgY3GgO8Hl
GdyKWM8Le+DpfOLaDOpTWBF0Ldff4tzpOv6vXJsG24pOFpIZ1566bh9Z4yXewel3T1AfDpJL72ax
O199kabIwm4sZG1rdTZez1qmkKkWXYrLOXdH3AuNeJhlkOxWoxRtloHdVOoWP6wnp88aPO4oJWhc
XqKQn7sf5y/zJYWife1TNxldVDUk62yhcfcfM7M1vDCzf41u+zZ7YA9zSICztRBRV4UxDB08EAC2
tuyEBdJgQ92xg6j370/Sk3uh6qJJvjSu31pEq1FSHDwJ+8jVLe6XYoPGFqgjsAfvV0eh3oJ7Au+e
zRhFxPFXh8oviK3WmbeFMG2v00fhjejILvThVy1THhn9GgpiZB50vZYm3vEwWac4UVLIYtu2aTcQ
a9ERDmPKnYyGJk+GdA8pux3BLGOqu0IqlB0ZNuFw26k69N4KXyuoKiBMgcfZbKz9OoVLc2FVOFlc
uUaoauxNiwgCY7LjaxwqzKyGNOMa9fxAg9/wR8O8yRzl44gMxTed9pLbAhw1/s2jyokxYUHApkbv
g+hhmQQ/nUbIsjHjZFbn7UwvNyXhRxGRm6cOWeZWJymmxzGLtrpoO2AdEVNpbjJZaaNdGKX6Q8Hp
DJlep2IgX7SV+hDmKqF2kRy0eHiijk08Owgk3J4KQHLPSUbAZSckR92VImvKiYDMVbc0EHT7gUgr
EI5GicEkTWW6i3GubH0D7t5jWIqi9VDaD4OX232DJ4Q07INOxQEhMSO4q0Sel56Mgv8ppZT4hL1g
mfpKQjamLLfWa5PFk4P/TD/cxn0hyy5hro3kVkZVTbAIwmQ7TJ0VX2EMaGxMWJuGD4Y5EOWkFtUn
fgzSbagUCCZnYibIwqkCUXsicKIne2rV1FVpEHNT4OufcSYQgyeytpb9Qorzr7LAqmFbVK0VER1o
Ac5UlooWVZVMZE7ZoIepr1aUz7vckqLQt5LWeazkPJ58aMjlk24OKGGkICs0F6GQ89w2kv1kxzKI
ZNsOxq6fjTn3Jn2aDBfKaFl4uRIXnzKMpUvXmPE22dSmmFI3VnN1oaFEub7B7UQqeG6ciD2rFfKf
ZWAophuUpfJnoyXyH5jRF4Rilg5bfUkIZeFXqqjYg/RimvbSNAqFKhtm5VYP6qS50TIoThsbA5VP
QpcqbA16JcAhIwpIkynttqiJminM2OfoTQh605vTR1KqLWsr8YuPQ0o5vPjGWAktulH7L/bOZLtt
JEvDr9Kn98iDedgCIClSs2VLdm5w5CExT4HA+PT9wc7sMimV2OpVL3pTm0o5CCAQuPf+U8/Yetay
bT3J4VE0mqg30usTO9AWZRC+GnnkL0ZLkyT+0NVdvh0znT1Wg0UtN5oWK3v0XOSvpTmcV7S4pbre
8ULe10Paln6zVEK5bREV06rp/dBdZmpkVbdeFHXNQRu88rF1xZCFSW6P6U6bKyW+bru63ZIGkOcf
2WDOFExWp5WXc6dmyyX+MtMdxs9QWzHqcFJoxeuPq/N8bIIUrdaNOgzedIGsrhY+gw2vD0bAHT0s
rQJjJr0eyBnwNGXZzaOtyWCalTneoHckkRRURs48vyxtwgYzpQeOBqx3Z1PYt0Uc619avequHbe2
S7+dmwpnYqCi3Kdd6kJppd7jXDr1FFpdhXu8rWTqEMSjVz8BWeLajtiz/qYuDIEZDpnXlvDMbyUz
URzURie+SUTK6Z/SNjbhDLc27IzeIHC6TUbsDwxV+aoqvCRB5wzt1h0jb9zoZLG1AXEzttgJUBDa
JE2V9rWqj8PnVcpQoLdNMSgeG2HWIfTWDJdmjVj3wKkHJw6zqfCG0CxlVAaKkk9fZIalVYAV64yV
k9WVIlTaavkqvSJLfV5/U9k0Zms+xENvAXVFsxbgnR5NgR7RwOxQvehFGGs22kmrJGWFvCj8mX1m
zuSUEV1gBbCkKQuyeAbbsBOjeEimXJPEFWutF+JKYF4upV2QZZf3Om47TdFH4dzoEofAUvE+ZkLk
zoaMqC7a2/FUZRcx+Vg8xwSHik2sDPHgq2lBCMfk2mocFOTTquHIUfBJaXOZ3fUDPQugFHqxsCwz
qd2TaTnGoV7xwIKkKfI7iE6cHE5bFV9h4aSGb43xWLDhRnHPiED5vnT8UxuEGnoSDPM0blNHNtle
9EWN6afriRvZLARke8USuWFE6qqBtXtkP3ZTa2uXESWZYLwdVWYonbHcaJiilgdPQ7a9T53RSG5m
K9OmLU9E2c+4D+H34djpnjBCHay5lpPtZ0anPeKGbd0CQ+K04uVl/bFoMRb0+T7HxHh5YrrOgEPv
U29JDqaRA40Vcd3bgWvMUc/bEdlELE59a+PAygWExM1pn72E9JgzBcjJ0BO8HpAJyiusubXgpbE/
/gRW00Bil6Yhp3NqZSPK1r1W9AYmdz8M957s9dvSMj849mReWH2TBz3y36Cu+vYKUNM6Y/5zXKr+
+jEuxTcPGqoZH/njHzNW0TibC5pp4WlY1E4DwCFqhqu0Xs7Fdr++FGNChgxwBk/t1I04S+AVzMN2
lMZmMozuttbk8KFfztH1jgvJX9fE+JrCZtW1wS4/vqa4s00z71yuSaYO1V0m/XLGfO/tQvIUrF8f
4y/WCmOE1dfyeJWkMfTcIwly20kzvown0wJEMXC0heISFFh93ZNrMV1KtX94e+HjEurn5cFWZXL+
03Kd1u54YWzXlkyfknEba4ays+SQtNBLGnWn2pMIs6xVLyKpImUG6g9tvIpu3l7/leeIWxKaChzA
mH+dquJar6eCW1hfUrf6Kp6aAVai84FAyHORFSdl9N/XCl+fOhrePpZ6x9faKKbAw65hFlsJfRtF
urdTKgKBDDPuQoZTi99ry3zJ7JOkOYo+ZgSlEs6uXAmKhI71ZdptqyV3Pr59D17ZYvRDa1jWipGg
IDr+XUkuFmMcMu6BrDRsU3BLH4bqnM7tZ+v7r2r51+X/bLtASAAKPCCh36tljVogd6t+3Jq4fR6q
KFdvTBXUGvAwCoFQycIsOntHVSBRWSHnjT09o1MX8sPb13s8E//7h6wdE9U7XjmnPfoE9t2R+Dlu
HSgiCKJd5bItco0vYiQRLSvv1YCvo56V+w0sgjUX3cLxhccC0eg4p0ynUyKAvRiDvl7DiaD3qnMD
1pfbGXHASgqjBkBbeUp/RM+mKRPWM1vHGpdbo8i9TyWhAZsMgkb/runSehvXtTA7wyoTAsVPNOC3
7gerljlLJnfcZiZs2bZTnNE38pTpqiOHT28/Mn3dHMebh8UA1sBjXKZTLyRusle1GER3q3S9gXWU
UarfNH3lDXpJ0hCS3MRKs1VEa1z2ztQnEAma+qNhzZ5xgUFKTK2Ru/adukQeCaPEEwRWpVltECve
0gRJUeJ8Bu5eWjt3KErcyiZVexDVbMe3k9cW9hkK2MtXDoiDIQfGAAwjwJmOtwSuknZjzM64jawi
v3eLAt96zxvP+CG9uspqqMPwj91+ugpqEUVIj1WWquwPhl3peI97Mnz72by6CkR1dsCatH0aJp07
8WBbSzZtl9n7qzL7IoB7ey4u5aeO82QDMFjE1wJcjhbnFF0VfIkawIN56408Wr9NbHMzuC00CrOp
F8nkr2O67zSdPfljjhMq/0mVF74JlafcFQ2CqZ2d8TXdob9oroe8lG1QCKsOlCUxQpRT+Ph79njl
CTdx/B6Akb1lEoFFb1hCyZsHIj7Y5l36IW7hHflxQzV+zSSSPvntO/rKW4zSnvwq9jxj1VNB0bAs
eiIaY9oSUfM0L5A7ELh+ydD/nVnolUe3eo979k8JMky9421ojGpTwNmZ2O5orzGxwsk9whv07ct5
ed46yJWwwECBxxDl9HJGrZ3sLhfzdlzfO7HUB0ctLwGaFt+Sxpka8HgO9PNU4rxdGYdYYNH/nlxS
XE5mMzf2vOWNLrHbdPXK70hp2ljWnF3mOimpeTekX35e4v/TN/4T/Nti2/x78sYTzg3/cflcpOVz
JZ+r3+kbf//tP64PkDGIjqJmXp8Mo7p/yBvMFv9YbQkZnHOCIDplvb9dH/Q/1ncenYZJejhKDJfH
+Q9/w/hjZT5zgCKFw7F8Ne99h+vD8avAjJPkV/4ZvpsWdBBcgo5fhZFBfQ0lL74gF2rYLLOrfSg8
EX387dbc/TqvfpfQHb/Z6yoImfhAM7CH+gtD43gVVR3LxLAGe9fFk7goke4yynFaYJLsXL7AcUn/
91IUtDDsYTLYp8cypjzOmMyetetc2exWSM/1Xa+ALtZ1bbCkvbNdf0wZoMzXPr99mS9vpm0AGHCl
KMSwXjppWky9XjBMT23kM1r0PZ1MiOO6bL+/exXmvDw0loLXfMq0d1RsyIiXs3Yowm0YoG45fJJZ
Y57LLHzloaGlW5MeV7NbIoqPH1rhlVnSoj3fVV2ibmqFyYqYmb+mjIU3b1/S8VIuXQgYCwRtYAmO
S8CD46USd6EPGzVnJ93aeXJ7LwrT1vK2qMuj3fuXovylHF2rgxeR3OrQwbDyancXizH6qkflnAUL
JLtDLhfsGd+7GDbLK3yEqBPS1emp7DZ4mjGR83YVDd9usBX3W6mTdZxIKrkzax1vvvUeshYGMkCe
lMAvWkphx4rdQZzYQUhuKAwwRXioW+9cRfL6MvhsUpIYPLOTA6Np3CwuHMPblYR+QbfNYHHG0bm3
+OWG4GLAcDngXP73lDGRKl6FiXDkoXf8CbdM/Uz+uOyZY7biXLzwK5fE6QxngX2+qoDWH/NbRc9s
IUUQ63JJCfxaPtt9UOt5Hr69F44Ppp/PB17V6h6KPmtNDTteBVdz0KY6jnbMXzGVaAjqQtLZDc8R
WUfX46THt2XamNB8s2p4Z91Nl8+SEKJIp2XEd8pQGpyxIzit83YNkWQwwqG5xFrtnCl4ThDq9RI5
lHhiaKmYEOmny7QOMEvrVNGuotZQQseBGh7Q82mLP+BGl21VM0IB0ZhGTEJuNIKPpcvQlKFU0vy7
UkZY1DL2kZW/ODqE4rcfwMs9hfCBxo1zhlfghWremjFU1LLJ26mTEoVN2psBdqXYHGfNuVypEyrO
rzsBDQZbMOZXQLonb0llkYGnoAlFxd2pcpPrcg4q2fSOH2l1tTVSz4BVLbu7HnvnoM4K9XYyatjq
775kiIn8DOwzkAWefpAiYQGNqHW0s1BxBIVrVruyKUngs+f3KrN49iskjx0A95ionRM2TsdxijeC
quz4CLYXiE2/jGrX+uWYnXNXXnmtR00xpD5cLRhbUUzx/T4V7Cl60hEYL5QdsvK8DZNW1eY7l5zE
2K/t5WuUVOaeEXeC3zWyFSDEaqny3aKbkcKEZ0JXlcULuvpxyVr+IlMR4Xp95TNvlJY/FJb5I7ej
og7qxG6aQJWRbJ61ocvysJALc36zA9Dw09KwsRNPGhy93/nYIK3wvYDEBVjvwWU9Piq0MSYkPo7L
C8Mdn5oq68K4Kr/AkZvOvLEvTr7Vh0plkdVRg4y3k5Mvqgc65bypLiYvT0Kn7mxEgkZ95uR7eS6s
y1AScfBgWQEicnw9YtaWqraW6sIYdURfUNP6r56FcihrSQYeatFemFPcPFtx2W8E/fClVsR2IMFr
Jh9lZvu8cBnn5HD4k5xuJH6XR90LdZOj2T49+GNy88a6ycQFt7doLmZmv55vxVP8VVvKxbnC7BYY
zga8ZijJWKHzCSSaP2p6n220Ql9yv2sHA6t9xen9Flv/GFiuFtlm1VUQtdwVFeqoPiPAohqb6YfI
0aX7k9nnRrCSkQCtYy19qLWoLbeFWah466rLZiqr7qsyYTQAAOXOQINp2ys718ozNQAuJiNOz02+
voY0lzs1gr64zGZzQbSxsUsXi6w1vXQNSfgj5phXmhah8ikjc/xRJWCO4HjuFC5lNFchhkdZFmqy
0Vrftkf3XuktvkvdMOH8DrOgnEgxHlYAXO9xS57L3vArhh0XdYFzMVIOiK9hMYjW5X8t0PEkdYyn
Mi6iyK+MFbl3hGokmygGJwja2J32g+kQx+6AcPqJabc6+qPaQ/mlCBWt5WIi/1Iq+a0AcY6gN5lL
stHSAikWPzvd4s8jlVvSpVFwoe8xg6qW/fUCJVpBJ6W1li9zPev8gajUAe7XKJ5nmS3urhNi5nwg
JW8MB+S9X/sscZotpSAeV5nbgW1aTaajlMPOZvKrVBOab8Q9GI+pdGq9FZjLPI59ZtUYDdsz8gqT
2m7j2COsstKYHEyuGlJsMG0ygfWpbODhthV89U02ldanMlnymwz88KEYMnmlajmnBx5US7Kd0NOC
SPMX2FY0w/xXXMWaQA4kmjsn1mbXX7ylZ4qlZMTtuZGCOX89MXGa1Ub3roa+W/40tGQuQE0z90sr
nGm+GLVxuUvUUnF3RmXZNwv/PChiVYgvQjYWnNrJbp3N0GMpGo6laeXBxHhR3WbawqAa/DAuN326
1J/a0WRYqBaTw7dS0aug6ivtOzZT/UOetJbmYwFafpyEXiw3Jg6wty2aZFgBuN3WW7sUSQVUivO/
7zolekcBEokZ26K5oSsFKiAzWgkkUddqpCnhhmX4jl1kl4muYkXGl8ZMb4BuzUOm9pUZ2HkywWzQ
0hrXwA6oGda0Nj1ivWn+yFJRPHo6pSN3Hr/dytJl5Ft6m+VwqqznIsv5xiJYkF+MDG0+r6VZ/JXU
/Fch9u06A6HMK/zIm2+iybN3uVWW36q6QFeXKmWJRilzDXwaNA28xGmjOtDVLntwOwSPQZuK7EvT
JwmMVGgfT141pm5YamQwIiNUVMJuvJitOWsdKL5cbJzZ+qne6XZvjrukq2EoKBzTXxgpk62oYBgA
TbozYHe0sTZdTypjpGJevCCbk3Hwe/ycLpTayyMEkGuQheuIQXKwCHRUfWwh4ltUpdM2aVRPrl9P
mXrfmnbzvYtny/PjHIlSUPCJdTbK7Hb3otbHJ9lVFoowXCke9KXNW56WUjTUKrFxncUIPTde20Hr
IFvDgHSbz+2DKh1tDkp0TU81mA6ipwrlGVWmE1Y5kUIGurVviRe1SA2HrCk2QHHJjRhlzCmUiOQD
MkKJ3qAZrT1nItiyljq8yN2IOms7OubwYPSxKIGm+Zr7sGsS058Lyas2ZcYyf0BpW24QtkZFWLiV
9QDdukOPKjqjCKZxtj6knTJWoTOOnbsVs5xURqXDro8K47OyrCwFwHkkCBwC9WMx2zLfuEqkfa/n
2hUBjcMAeSdaImwRe9xeL0U3l89KOvIbmS94bTCTFaJuZqczuOXKND/zHmHnnNicVpvJNnI85oy5
gjQy6bA7cpyaYG4mMwULOjyoQSZ1Sx5ojHUPyIch3QjymQgXRQNQBQUZfx8g3nNcj2NrXLeJxlkM
kbB1fbr3VYzLkVxie6tYeOs4Vrdbem7eJucwFUylwdOCSZHzXxCDrE8iHpXP5TiXd5Xp4WdeDQOM
CuHZC8mnpIzWwTDk7Y9UVfsfEC9sj1epMx4bYlKLg6pWqr5LhqG5Mjq0kigCYuJBF2EOlQ/+nkq/
aKrywaBy+lTmVffFinQoSIZWDPdRVLXV1ukX56FoR+0JZn7q+MPIJNsXU+uSNVXOygOZ7suHoZoc
xKIix9lJm1R0sXpiTArHrWNc9R4JPIWe9T8Ie0EvXA9LJUMbfW0VCNHOLXIDG5GrWSztIe+rsb9N
2GjPcnHgJhX5h0wl7Sq0plLXLpa6GMtwGBXIWZUZ921gDLb+HSF3RJcglvGLvQ7EbJifta/MdsPb
vOhpTaeyWKj6Oq3Vd8Ib8+4mKiLWjm2l1ncEB5j3HBRRGZoJcV8QHFyZ7qYUxpg5lKm9wevPmwOD
DMX+wo37Od5Kg+L5UKVdlAaLbIXcNK1hKuxqMQ67KGlRF0bz5Li7xPQEwQuqqjy0xM4s21hPF14k
ZnfhVMZI+kEuxjZQVNLiimyUzRNGYITx2I1ndjvkGdDknFjal2OaR9XWtBShbCp3MkUwTDWvD98N
2WyXAkllMBpFOYWJ0XhPwlpsSu7Oykj7kiRPhLAByJGPUPU0gW7Vqn1JXIIqdxYl0Gpl0JQZ/j6t
+oisZB7hKlnqj1rVU8hnNZbdV5gcJS6hzFk7+1GiZ99IrE6+Tnkke3/Ui0GH5yvGq45oDwe1pyHt
MKkipeJYc9yPS93JH8mQC7mLMWeyfCJKMnVjweq7G81RRe3eogh+AA7RL/uo1e/gKiBwHzQhLwx4
ONWmdGWbHwYzMr4tWJBNsP8W8pPczIaSw5+5V5glL1CfkKxo15ZErYp3PTnjfpYtec5LI/NLzOzL
5m7RNL40ptBaGapNXV6MbcQp0Qq0cb7S9yrYttXd9EbaUB/xo/dxki50wfD/Gr+JZHTtiq7sQzH2
w5NqYxhy8OJYWXA/FMMjuyP+gWdkBdvGseanKe/z5wwOIkaF7lK2FHJVdy8LQSzn6igktm0/ljw/
EEtnA05LDVFSiNs3UW2aH6sE91cKlcz9JqtJpnthNBDm0cQDacYTM8ZAgc3m7WP6IuxZ2wG+PoFk
1WelXmpOsDrJvs2kYrkhI0Kt29tLVO5HRStcvzcizdzEho04VVggvoEzZJa9NZbY7gOhjbrqO1nd
xQFyefg5zG35cixt2giYfCLtfOnOTh/0c9NUIQab1vg1Ngolwy6AW7ox6airjToYaYoo14tdsm2q
/FNbF3CAqF2q5ExP9gLHR2cJXIS+ZuW+wA0+QVjo8vEvSNX6ooqS+QDnFUG3Y88yMJqk2MxVXn6C
hlPeO/nS7E0ZTZuoKYqrLPPcX13b/6MuOG0zl1lB8H+Puzys5tf/8dAXz0hg099hl//+47+BF137
Ays4fD+wo11NXJhI8Cc/jbiRza5wBBMaZsD41vw38KLwN1CamRDBkkDGQBf+L+TF+YPJA6a7DB6A
sdHpaO9BXk6nGOA3qw8KA2+wF4YmJwOThPzHRaVJQcc+k+EVwYRDJ1MFyhCd0zKcIpEsxSxV4xPF
JJpoxZOlrFnYOXjCvJ+nWv9rmko7KPva/ty7WnuZxs1w/9sTeQXuOe2rV2gKuIuTnEA6PmAn84vY
EEBkSr/sezMdN6pXMQs0y/dSxNZVVh460iLYRQTAHU8VEsrDVFPXs1FHr99E+fyZEQ8jtrcv5hRZ
ZRlUS0QL4czOwzpVtFkTxgekuqv7aCTvMZNeu++LCSC8xIXSz5KswG03jZcfby/7YnusFwY6iGU4
AxrGJsdXh0q2aaJ5NPcluoOwdpJvcvHswKRjOHOBL54W83XUskBKq4DphRCSPmNqVG1QsSlTlztz
SfND7nXnHKtfuR6mLYB/NlgjfGBe8t+H7LkTpVjHKToM/MTcNl1r7r3FrbBrWMz927fulQtCgULk
CeIQBEnOybgJx4LKYXJk7BlI8SEcaJu0KT837X55QeQC/HTgBrtl7nmyyQt7GOypt208NMsuHHr3
OSns6yUz3+1PRknLywusiNs3qMv6Q36HJ4xhMWonc/Z8Y//CppP6ETv47dv37KdS7Xeiyapzgc2K
rS073eDcPF6F1CGowsgN9plOjz7Oa7KxMVqHCeHuRSWj+tJolOqyjSz5MMEbC+2EsZ2j4PMlIJRv
dUIOr0QkljshUmjruNNcJlGlbDNX9Jskc51woJjdvP2zXz5qti576icHFzrqyb0ZkZvkQgzGfhIk
vSRO/wETlnMZky8XwS6LMSzRRSsF5xTWiAgQM+dGRvuqsdtATMiZlVbtzwCTr6wCh5cXnZm2t85J
jx+AqhlJaUFk3puzVYWDhSIjRg965mUHAuffOX7QiAf5Kq4Ni2WT3X2yjt41LSkp0b6Qk8MUPBsc
7aIbtORr1kzyMW4n83tl1qqyHaHDm5uOBAF7x0RvYnKC6oaMu7jVLoYYMh4kpEXBWn6O0Ed1iG/R
y1h0hAFKVldu0lI2nu8OFMEhaotabnGISZPr1CzLH2nm2o82ETVqQKlsWnt7jKYrvS+yamPUdvGn
M9OyUI3yrUFFVLg2RhJJ/7Fs25Ru0MyLH/mitgn8NXX+UY8dc/14zdjbmHJprK3lFEND0Q0yi1qo
HOs9wkhmJdIYWibrjB8u8XMd553Q0+kJKL38ggXUAlORkcsFnr8CYLisxRdVCgtzm6b0mIAKRB0A
BTx+5rhN9z2zBnE9VXGSBCaDRmZchZ3Jez4nCd2bWQ4IJ2SmXKvkic+7vtCn5cLO4uog8ZKmhFZz
9dbQkTP6Wt92dECeI+MAexnKWFNRxsd0FGRfaza8/PtIxpbYwEiLfixFbe5dUdKFOCKi02NyhyMA
TtBWQPuZLht9brzQXSVTgbnMQjx0hguHP20sLIwQU9h/LpUz0x9B6rowpsZNglUgIRAjaMIJI2NJ
LlQjn+LQ40KxLLWT5FNUtt1fdtw3BCkkXnaPD9akhzWpo3GgCxl/ypRe5ghtrOHZY+d4qJGyMmMQ
W6bbnJ70mklM+kUrai/zc6dj3GpF0SeaTFrhFNEgliF6NGw1LWUYSNgi/1ildv0QoCttuqAuxXJb
6ksT33bpyMbQK9P5UZmJRUpdFSFkmS1mY9tMaZwUByHBWNhRDOWu6Tr9PqWz/2iqbf2s1sZw28ky
ugIQVp6bDjOhIFed6ZYYoaXaeKkSfXNxTTS2rtdkUdD0ao+cq82I4HAJ0rEDxXaV7KApNFGbqWjc
57Hr6uhimBYEIkMZ4diTpy3Jm8hJ6jZwhKF/SNpZH+lmcvl1nAcIsUqez9amxuKK+GsR57hkeblm
4KUiWEhn/vNRz/Q8DjstbkYQCibkzKNBsrdskekRIFWzQnzbjHYT46X3UeLgg+dV2TS3/SycJHCn
1HsaOtwE2aC5Iphh1v1dVbrJ16QbSpN9Z2YmcqpIs/8cdQkzuSMogzfMEs6HfjCn4VDkLnnVutUL
JZw6y34CQ0w+NfxGZhNqM8W+xTS9DJlcMGKWObn1QUHqV+snGWJR/OUQxOVxp0m/tYxsjWqwle9I
8bo+MJbI+ubNRv9xjJnZ+4SCDyo/EoMj/uMURwivauVm1ssedKEocEli5qpGm85NZInOWeP1GJuW
NNe2T5/SWkoyMJlbWeE0tlhOK7GXu9scodRfbmv0WSAcbTIgSHbJ0xjHKno4YRsBUifvXlpDXYSY
u7u3Bb5ZxbaDBPzY2UpbwwtIISFARpeuH2UmLmFUcFMaYLVvTgFqkXWEP3nYpwgAt8wfFKZ824yw
UJN3LF2U0K14Pz9h8j0UF9AEsLht3fWVJLMruumbFhlSJcqHZp7b746hOEXACH/qWS1zf4CtRn/m
TT58c90cZCRWTERO8J/I2wTIvMbmyS39gqw3lYzt1TsAEKDeDzix1LtCArgEhaPGIuwnFOskdjAr
v/Py1APmjEddCSI4ajCZFablvnBVq9wr6qiIO1XrcZ+zKN2yUNpTVPhzRdtyRaYY7hyDOTrXs2VL
FJyQIJkDt6l642iKle+IoECKkzH144njnef5TH1ylbWdviE/pEmvGatOnV/2IwnLpFLGz02PW320
JOwBD3gVKfniJeFoLIq3yqvcC9EqiPJG0invO6u1z9k9vPgKQ7nDNwkauU6PAnJ+/HUU2BnBazDt
/aJkznW8OOVBLub4Tj4GbSStJF9f/JhtCEIntSNAGUPmunf2hkTw4K9slz9VntrFO6sjulWdop7y
cSUYnjrXp4Kdklamu8f/Mt4ofcFYL8qVMyXFK7dsdWQFkV+p3TB4j29ZVnnSXpI8Wr0uHT8vW2/T
01n/Gnr8Dy2QGL1Qg602rHjw08DSMR+vUlcIKRjSuzi8z8l3q1zcWzWP8zPhm69dCxIyyG74vtKU
n1TBbZZgAGnl7r5OZnnt8JkCetejM4//Reuw2q9i5eXRoID/ndLCAJmQjaWdu1drcBxNbbXrJi0w
SZly/cxte0Eg576xjSE7q5BPWfJkq9lV1ihxaeJEiq163F0lqwNXCw9FAjMwAMBm8FukA9dUsT9k
dch9CQYTlCzKFr+bHxKnC5X5cXY/qnMXlMm1VNptaZcfE+UJCe+FA9YTtsb0p1C+v717XxSqVMEY
a6zSEU5D77SNMyxmeZVgX3nkBwSjIqmKGZ7jxvjJLYb5TPn94plgS0iDj/mVxYsCkfp4fxXN0AFr
imgPTvWsqcW4rWAzrFGh59L7XuwxVqKJYGSxss30U26bHTOp0Fs3Wt/KDrFq+cMCoTjz3F9ZhD5u
bRw5rOgnTqaVjo0LlUgV5JbYXAYLVYkPY7/9X6zyc2sR+gL19bQz6jNSgJ1ijg9xNRVfM+yF6BeL
c+zQ166FgSv0SV5IyI3rhOa3BjjDnb2vOyc+qHnBpq3qyNsnnd2+961co4bp8HSLxEpezJNl4ln0
XT6XyUEBYLy3FsPYw5mZDu6Q6uHbW/uVzQZHjnHSOk1e5VEnVySLfqkoYA4FgGKANqXZdp7MbiBS
N2f29c8v1lG/x2Wx0RCpQgEkDujkeBZGl0aJ1hSHMatxOe2p5gc/qQAVA1o6edepins164tQMXS1
GevHsjTda+Qt5cNAIMAzTUfRhp5RFcOWrDjZbi10v9JfsQ7hT4U0EEcnc+N8jhwbmtkIoacKTacf
nY10h+SvyGyo/Pi/aDzspcK8jr5dMXYDrtqhARSbnBFDrJv75JK5Xl5nmtyVFXty5hF2RBXYaJia
plqxy7F33U/ApRhLqI1z73Xucj12Y6Nu8rEv75KmO6fIfbljoW5h7o8ZCj+AD+Px87XNckHXHRcH
4Xb1oarL/A7L5XM0sZcH5Ppc+a5zNnK8n0Zj5bnpZU5tFoe+UOObelJQiEG8VEMQGIM4bHE2bPe1
61ptnNYtSzzJ6czarNwaJCkpD3G/KGXQx0MKDJeZ7z+9VutK+KqUFHgqrpqJ3994kaW6NFKnOlhd
Yh6cnEJpStozGti1YjjeJTgIkQqocROx+LJOXkLhtQ6x630NqJ1IkGwtVx5LSahbYffTI3L9/r4m
T/7TYq5GLm8fAC9C2EkCocpAxWFCluSbejKSz3Ft7lNY+we3ns2bEcxjhE0BXztwnAVUHC9j+bVJ
BeV23UFJ25rjDFFJMt82ApNk6W2f9DEcDVe7SJJpJkcOMxw4IFPcf5gN7t67j3pSDSlVgCUALrAo
O34kWOV2SEhwNHc6RAcWwPDV6NJwvn1fXtlgfBxdrEkBZvDwXP//3476CT/qMrKtaN/GuXYtokr6
jMTKM0/+dBVeFgu6PPUFwl8YEidPHvHmMMMZqQ+yrLEs1/EP0tU5PlNLrnfk9/21vpIY1LGHf8Vy
GMfXQgBbzBwd2RdqkObLYhQVzCnZDZvJmgasl4UWzFlqf3nfHVy55ZR5SENoLCCZnZx9BOVGFelF
1QF/kSxEWU7ekl3VZ+7gC1G3Rxlure5xCM5WdcPJMrlTc2uZMBw4zzMUNp2Yn6veg/KGzn7MdmrU
DMW16yrKvdq25epwnSlXyjzDs+sys3jUNcXclnU1fDBHgSTu7btw+m6vP49ISGitzJTotE4+etLl
ZMcfrTvMfIRz0GJ1vBzGbk7D1BLqwtShtPMgbVv7Adi4l2deltPvO8u7K+GaWAfQqRdCIPxMXXPq
l/6AWljBuLlcmV0UR7mBIebbV3r6Efi5FFXROtNlw53WrXpUz65T2f2hsDR4Acw+24t2npKnuvGg
qnRe3m/fXvGVe4u+irRtDb8pjT12sq9xOlqWWBsOiUrkZ0B5tExMdJLlk6bE7fc8s1BoRLHZebxa
62Dr7eVfubcrL1rlzqLicc2TIwJ/KBsCuDMcMlcxserRmAWpUhrNNifl7lcl8S6o/U3n6SOP6n/r
ZP1/0p8apN3Wf7v3L/ypf0Htr2scV5Di55//o3IEHLcR+QFRkTvxM4v1H7Dd/APONzMTKgYGBKuE
/Z9sa+0PsHn6B2r61b+MhvtfYLv5B9g7nRKV+OqICVr/HrAdWvfJacyPYsPq4CH0kxggnJzGuixy
u/UIXMBYCN5am/Rq2W0qWKhDAd3GUODURVaHua1Py1a3YVOm9eekVxJjI+F3R0EvCbn0HXKL7YON
yjrjUw27wwcBAQMZxzr/Sxv6od57Cf7T2WBiCKeaFJp7dXasjxaSdyuMLUigoT2KUQnTArzvOuqr
ZAoUJqUE+I6m2YbzVDn/xd6ZLMeNZFn7XXqPNMzDFkAEGeKokVJuYKKUwjy4wzE+fX+AOqvEkJL8
Vf+mF52LyjKTpRCYHH7vPec7H51KQlIamG1h8ZtsKvRp1vJLNM4zybG+swzhoNJMHOagC4ZDW9ia
jdSyaxNgJpWVhHCG7SoaK0UqBzqDzbaQ5FX/Kpcc7yS1zLhe19rXI8MrxAYtExk8imADhMnZ1/y4
WGYyhe3aQcSuzA55HnNkhLpV66GkzjwtfZ1UiPKuW2c2jYe+CFzIaSvWzKPTNSOUJr0K7kRSLexY
UIGXsdIRj4XKG8R6CaC+eGsIDxdoTjSSDNtakI9lpkNKQUT8CGwfb/wAV7P5tLLZRhae+c631JgI
xGbtTY1XIAARY5Nok4yg/RPLjwBCtz2tjdWC4wSUiP4wmvgxtpBEr3Ex2SSKtb0vvsyIIO99t6Jh
nHV2H642EWxhvt0iIkyEj7ovddMPfEEqurCixpJkFWP6eRWIl8MG99YS0sDT2TZuUYqxzddNj5Ip
MGVExxfpeZnb0xotVdFOYZ8gcQ9rW6szSGTIbKPcaWhnDzM9aDtoi5GJzxZCN3X2er22qzNFJNO0
wBNtovguGgZGYzwTWTKElaON/WHWstGOenr/ZosUvbUnbPNmIhG4giMkc1qluncvauJCNhk5sKqR
jL/LypPZDe/x8FUGWQAMgrb1qxxl9DaJ4iFAF+7dKrJTrjEAMMCwaLNCFw36DpNCn6X0fkvh4m+o
22yIZ5jC+hsMNVoZI4aub4ehMNrYgpgmD2vXm91BVmXiR4wq4Hp5Q5490CpuHwo5zg+bvPeju0rh
ROwwpouqUsV0cLxBXm0sMofsEdb0NskAaAN0EJeFLxDmg6RbAJWBG7zzpkHmFzzbLWODwhTX04wQ
A552Xfn3VW9DzvYdSSUk+RZ3UA2I/rtwp7UZDiQcdGy4yY3pojnPzLeq8e0JyTmNkzAYOyuLkaI6
LgLxzEkOmW7g2oSIZiyxAAIXHPmcF2zZVznN1zLNhvmwBTZdsdOiof7Donv/fcf4z+ZpOp8YINlM
IRaiWYRz7WznPYs5aAH55Sfsdeqq7E3hHrNgkH/6iOVfNMX8tEy69IvZsW5bCkK2zr6uNkMb35J1
cVINXIk064uYcVd5qGX5UkVxvnPhvOiw4tuhEPLo7J61qLokUcpQU3HSapZbitnhnWEIpBRubn1I
Aj/5/etI6UorjKGkRZPvbN+i3IXNUToUJ1cO06Fap4kmp9vo16putBd24T9/bTg35Dvohvj44Yx7
ukfK5swNEvILT3KRaY9QtK0jPqf6u2zMnLe/+3wA/qSPxLO5w6zOvmyOP9CO7Wwc7llgvepNa71F
m66h7IWn+PyhfnJyMVDYfGmUgBsNjqHC0/MqzWUqeTCqkwRZ20VFYdW3TDdb+96sevKOcpEkMP7M
xLtnhqjR3uypGWOArWVxPZJ29mZQ0vBCI+lz/zc3hvw2fhIOaBddDlUXe5sfa8fVwg+RYtw6WQQ+
HHI3Gz4YqqgBtAKaPjx/Ic4rSI7lOERpcpOR1VHBPz0WDqUWZlfanLp1TI9zz7TRm3P3hZ32vpf9
sYTcDoPqB8ccdTetirNbm/ATXPCb9amdVs2LdXdY3pYEBhaMK3X4K8pT/rvaHu0ysrxeFyi1B7xe
hWc2j1viVXnh5WPeHQieU3nMl7iwQ7y2dRU3+I/yEN6D+96APggysgCCG+IFTK8V/nGIm5pmN0dF
XsH7XrQBUUQ+zpI40Vd1jzY8tT7LyjauaorcMqYdMFgXTLsWEZsqHUgZWmVHn0AwhLxcao0P/ISw
Xx6g1vBCLMzy4Jw12KvCfsTIBd2tcD8Zne+M18EKee1g8/t/+63cLufWMtupZxtw48cnhEFc3mDI
r0/wXIdDkybM9f3lPRVcf3r++fj5/d9iCHF6b2sbFtWz98TKfX3geqKGNlqyyb31E4HlnJlcHn7/
QKgSCSoEB7F1A5+eUs4039CxYJw0L0eFn+g+e9rZjjLHe8nUfN7PYI3RedY5L3QbLNxn79c8l3qX
NhX7W0xtN46uEPtU/YegU5j6SmkdKtv59vzZ/fyaMVXcPg6U8zRSzj8RuppAgtpWfcIsTnwbdrwT
6j7rt28WpQYgOKAGTMPReT+9hqWu4Y4uvOa0iirPo2VS1auMF26JLVy4LyyhAX/Z01eabiOzDCJ7
CClxzke/CHiGKm3W9tRNpQ5j1mW7SMjd0F/2VYAoxqwWPbSkQ+O6aRanRrwzvET2+MVlhV6Gxgzd
HAvLudbPlpxiOQ/tyWPEBrFetmQ1KOGb8/dl8rfK538sip+Uzs8W2f8Ly2eDwpTtEe/IP0vVIxKd
5OfqnyhB//ob/i6hnT94xfim0JRG5unzGP5dQut/bONC/tT4nvT0rxKaP2CFQZHO+8jrgW7h3xW0
9Qd/zyZlJ2mHCRDN5t+poCmpzp5cWEUgUxg2ME/kGf6pKb9i2xyqfoFMmVIJbAZo/uXKVJoPa5L5
3THz9TQ4zPCdq9PQI749sluXSHDNEpitM2f+K2sOGnmsdpnsvCAfh/dbY6x4X7XJ/OfojMY3YeR4
MIHzQrQt3KW1Q10Jl4hFaWhxNwQz5rdiwoyKzdZpLnrDnGewCm4r3tRmLrLXQ2UMZKk5Y2LAK3ZR
1ZlCc0C0kxJbxJaWjPXJ7XJjxf2I8uvVhKHEQ8SY2uWhLDtviNdZAR2bFzWuSBlTVJDEoQUuEMN8
7pnbwnWOMRXWEs30guxm7pGgHeZhA++itde1kMqiEIc21eUb2Wv4sl2adDLCFWa+9UdcURFGLkoQ
0RrtcCBVztAvGifVKVP2kiVrCayKA/jd/j2hpZQ1QtfEtbEXO3hresRDWw1UIboUUb6XRrVO76/b
C6bSC7rjvJdRlWbJq3ovrvxcmy6ErKUT9aL3PpZbHeaWbffgbrVZPqwmljGlUbJZIx21w5pnjTwM
fYpFGAJ1c1tAl65itoZSfwMOOYcwT0lcHGxNMe4Kp61SZEJE0Sj7tVTRsNWSlJL+loSUR3Q8KDUZ
3emvrB6lW1Q5TvalE6Z2s+KUu2RsvnGVwZXpoWvV673GiLkIBxRl/pHEQopca6t3eVLjYPEpgTOR
zf2hWgJK43Yvk4m2mecLzMudEzZm707RuFXV07RSYFt7sT24DmcrEkpw5NTc6XrFVBr5cCoDBpp7
yR7M80ZvMlATG40anEM9jfbXNuH30E5mI9ut7OovkLOmI11XBKxRq2iNhh0fmjQc9EqHMVU065/k
Bw8z1W+fTHeGN5kp70OxWIcJXfdnWaTFnVnP3r3EP/w4NnlLkB/W2FPiLUg1yIkv7oJq7rDj9/bK
CLxv32B/xBzpdj5zqWWd6kcFqpFRrEy1OfKhKjexleXOa61qvDtptOI1+an2Q4JGFha+O083nadX
3dVQOy7WUGuqvyjdWDyaAKbxuIzJlEaTQS0LsRk482EYQUx1tH0ee/JHLvGmE+3ZNqTnhmVptPc8
JZqKyxopEjkIma2OuhxbimGEQYc075ZbrW/zr60MFBrdbhZfc9cXWL9MNwM9Xsv6PTQc6AetSR0T
15MyxEWSeOKetpXAtJghoYqdUe8vmTtWwymX6FLDJS+HV7UzkaTVa0PwwUxJu75k4lG6YVc02TtP
NuZf02qnHxMMi1oojG5syZJC5x7LGrtdyPZ6XQ5+nwCDsWTSIp7NtH66MOwuuGYZBFPb6KDbj9Q1
hbh3Z4dcVVUb3oOyUMFFBfZiHjNMw82xNXKMALmjTxWxA+P4Rs+DZT0CI025LPWgN6EyhwYBgys9
nPjZMFGGwhLN4tZBtooO0VuMuF0cVgc5+jwo/mJrUzgLK8Uhu7SsamWdGu+UaEZiKr2SUAKeleVj
tY5Ecpl0oU7ukpIkOpdppsI27a0bzN9NGnXSTdbIqar8L6efMM2vbdtYkffdTA8mwMZaTvloZb6Z
3wY81RNACFz4JkBiKxy6zRDAukP/Tx+dpg0HOqfsXuoqf1siLybkbLf4G8NC0GjjW9Vy4CEDA0Aj
WbubdjjAunEC+o7aMiTSbngrM1v/ijoapIDe917kNimgAVLD2vfJ6GjVYcyKvnlVWVgvj2hVQRTI
KaDFJDqr8w5ixxiQcyE/LTvcoLAG9xZcQuBfMD/dnAgbCEFjgvVpRZhZXUwbKQGZtR5cp72oonIh
RSoyWom02Mo0ZYb0FcEtSE1r7zUuNQHAG49BOg1ohsXdMA1p7c/ZETW7w5O6kRzKjenQbHSHkW3s
e8CVtnFgcsEsDBQFKIhlx0I0OyLC33ERDHen5bBwkSAj7UiJcczTD84Omlj1Vh+OhUoBUIxwA2be
9A1MMeorLlQiNNoiTBrf6Y4Qd/JHW+hyiv3a440Qypk5dy+TnwtZKEIjeFOptsqUftqyQzJAsw83
45SCzrA3isYk0l670xozP5o7ZsNJrCXj3gGqBDth91/8FQ13iHQYh1BnQkkOyDkC29HMeIBXW42f
FmudT9qO+NBK3cxo+2kQAOoFkFuoFgURZETzGGaJ7Pw4tdo1i+1uGACIbCwRNfG5DbMdMeJutBHB
F3rmq1+znqxCiRm3O2ySOTF1EXo7smRUGX74IjG8mbQIqCa16Ka/ZuKsBIkaG/YkESNIvGzHoVh0
gcldg5GiV2t1KFq13hs7QoUyDjmpt6NVClfrtYt87ECuJDt+ZdpILBNIlnKHs6Tga+ujvjFb1poX
PeQGgHIh/Y9FgJ789Fe3w16o20vAAW1VOQzGWlEchFx92v6zDTPBnc0+zvIKfEyntcWhRAP7jpxl
8DKLP+mYnNm6dFE3jbN33QyjE0S0HPHQFXbbgHZ3ltU5icqkJez4deDcysBvbge2NRKBHqnYE5kP
af+1LqppPI1T0/mRo2BiRHMrB/cmm1Is3Mo0rfcpGHK+XrqiIdYZWtEeNK9TzAgC5MhhY2zfM6Nc
uuAKeFDAKiamOr8E26tVFzWMEiYRsKu7QyM0iW6cRrL2QqPl5yYhvQl0ALiS0IOg/Hxam+XNqHPb
V+uymXhsIkkb+l4tssSabCf9ne0jm9z36L9VszxbjTypW/6xuvnfW7NQIvxzzXL4/M9Y0+8FC//5
3wWL/wfGWqCDlAXAQzfB3N8Fi4X1liExCh5KEyT+/ypYTMaEW+Ac6loT/j19un8XLOYfFFR7HCOD
xM2C5v9WwfKkXKHLi2lz62HDV0UP4Xj87h+bPV3lZAC/VMb0LV9uaDEBO1H98ILV9Wmjh6PQ5NU5
CzBSOGjpLj89ipbMduWriqO0zm6BsW9bSB2XRSCWxx9uxItzgO+HouxEOk3hSefv/FWYWr3xmzo7
zTPbAT/N5LFzxzVURZ6+EH31q7MCl7WRwbbN+Daz/fHaMReBobP26UnUlXOZaHpwaw5edS2Vqz88
f1ZPexHfz2rrbHLxXJry5z05iAMZG0snPaWFl8WLJj405fJS+BntsPOnAW/d5m1EJ+HzqJ63PAxH
9bpnyuzUkWJ/K2quYRoGlT59Aw9S2HFbmXXGRLW2mEQKzIzRyPo74Y2wjOlCF7p+65tCX7DWeNYA
MbRqCNjA0YFDzXbrV60TVJSy5WplUbd4pXMom7JLKXta7HCgWZY7Z0igWAnFzCFuhWd9xGRZXfdo
//3YkX4yxDmxRdNpwZ8wYzMEWBfjogQVowFF9EN4JDjoyBs38OJU2Ikuiu2JpGDUXDqwjujGaE0l
rhBjWlInZFNHLMvUZQ6Bqray7nHsgflK2iavDhCrmYLDAcrtV03WBifHTB2SZhlxP9pFkdYh+tfl
c9knxpt28hSGnrQz1rjXDLrHxqJnPp5LAmfjbK0wQ49LszqXlje2SWjIrGsvpbu6GmptquJo8f2+
Cst1RqHiOAk32yQuLc4bL5GR2UNywRxj6l8zAE9U6BAl/HDsM+1dyrKPM6ryvW90/rlD7DmsbyrV
cDZNVaE+6UUtIHTVZX5i4NuJiASH5BG9gfulop/2AIgGt+Dia4CIAqpi4El8yL6mmmH0ESY/UOl9
Yhqfdd9o6tjr6nSNiR9rP+irM3QxgwYNF5N0Nq6LncDF6IpiQ92US/txahf3nYaWrLpXVcKnrx97
62uW9u4nGZAUH3pZUH8bHD1jMFIbqUCnotl4acp56pnVq/x9rmVZEGPGE28Kb53vfTOBpUTxsVx5
Pm48uhizds0WClsRNhqVhXkeYEYyx0V0kVczGaaGTrkatTlWwXXJOvdFrztrPChV2i5jLoybF2RF
28t12gXJY+eNUoLq6ZYPqB9hRGV1Tl71RH/pCgtQ4+O008Yb/ro+PWIS6ACv+fn8qhyd/l0D/WYK
pymTMtJlHUAcMSYq2jAl+4qoIEiaBiiXBBWzUdLvv3YqqExhUIPNYxbr5+Smmp38StqZehfMWXmr
1hKfActN+nUSMIDxDNvWn1yfgAykZK3cWLhK+tFKBfEg+6nBgpUPeKx9NjbcB8AjfaQJRaRET1jq
5Ri060aT0U0t7IUX3NuTX2sXLKpCP5hmJjRULxs+fzH8rD2MZcHGJR0Sdl3DqB2C2g3+MrJesrcr
iFI8TLLX9bhi7zFHOb4UeVeLsd3K3FFUr4uyGW8E555HZWLX74s8K4YLvS0n5463QJ0kPRkjyt2l
i3W7w+ra4DmFd5rmY8GGdNLfudrSpnEjC1AoNV0q8Ev5DDA1d/UW/YfWaWS1mZXyb4pRHx+Y/sjq
1KI2+BNCocwucZrwbOqphmk4143mddBOFc2BUnl1PEPKgVqG4z6PxGKpVwmLPTlmgTtpCCH6+hND
M8hTHpTO5XpVUL5CQkYpICkS22/QM80bzzGL2641jRtAJ6g66jzReSaGvLrtKmt5NIlMozhxPULR
6EOkdSQqw8k27mvbxpilJ9L6llylx8Fci4UQKXf40Fb+xA6/k70ZkhsIcWvGlgvWJp+BQeWZkT4C
hc7J23RBLEbk6lF5kZtsjPHq1vmKJsHur2bG5XPMszJ9W1wcseSnSDQLpXMqpaRQwUJHcBZANOOO
nlb1UIg5u/Ks0fwkS430tNlmkSeJWlrqQPvUIl7MbCZ4cBXLgmNn8ms3T4sGwjFjc+6njFUP9eDi
VXNzMEOhs9SCtby3guUIv6bMwqDvu0cX8RyvaFM4X1viCEXYggq7MbIZnaEIZPsXNZm+xJ2eW0ac
urXmxusaaMartawTzM8zWudYk9lsg2CspRnJ2rX+onBb0dd0pWeERd2W4qKpjfJNpeuvE5ISaTma
dN4iD6TdRMZbSb9jdnJLRpL84i8qYN6OgbpMtXCFg2XHutnR1cqTdP6c9JX/UGtd9XEht4wYNfBJ
fhysIyUlEXLJXcnCvQBNs4NPjtnbrIViCbIDTllrQf9UtB8L3Zx5NpI8fzAYAd+mZFK1B3pPgNEC
nigLV7LRXPG+VK/tWc0fie/K/YPm1LM4WCP1bdj5ZUFyl1W36UXKmvnBHDr1WNMiPinRfhP+Ao0t
ofwpDlWvhgcbSZITL55mvq/SxXvrNUOVHbNxra6TdchJ/i1TuwuHzslvE7N16wOATqrhuWhh8VU7
l8+xpoyv747rS31tOMoN4lfqLsZoa0P79eaCoCMBeEx+lz14VlivChKgNGHYM1GqvgQzoECcj7ek
NNO3BnxgHtVgEu5Tb3BBc+cM+oujPjntQioD//M5kFA2onqnE3YbqJAKtjRCK0vKD4EYWWO1vm/W
qKmiIWlaohAL07oBFklTB/wb76ex9XqyVOEgoh2/fJz2ZlC/N4bgjRrvmk5XcBz21pG3t5HE3lKy
3ZkeC50RWk1TQxBmWO4tKCNDPXOo99ZUZ2m0qYqU9EpetJnPl67l+nqckF2+cWU/V5Gdpw0EMcf0
mmO+N8EyK81hOzP6fHD2NhkPHC2zem+fUSbQSmOaFlwne4Nt1QuabbpT0HjzFn1ZDv3ekJN7cw48
MdGcZNbwELf4oj+OpmX8pWw3fdfv7b2EXztfyr3rt8m96FTTC8RwyxOr9hahvXULnb1xOBjbSxRs
/cRqby02e5vR4CM9k/5B95GvH43IbG9KMp+WX1vk+bQqFV1L2rTLrYBmuB7Wrasp28ZhG1ZOvhkK
rNlsXdga3afr5BHmqW+tUbl1SXG5Lo8JzK33K6vHfBj3hmruJgScwtTIPvd7yzUwM7qveyO23Zuy
1dafDfZWrTZL+wEqJv3bfPHuVl05r729vQuMlpBCWli0fRcMGY+5ziw99PfGsN6n7RtrHVcuiM+3
asjd/C7Y28k8K/Np2JvMVjHLx3r0vfvGEsXduHWj6SVzLSH1EtTo7g3raW9ez469/FmrgJZ2u7e3
m73Vbe1tb29vgRurLNsLAHbVm2ZvkvMG2l/nmpbUoVwG+SkZyiU7ernqlsiXncMLX1fMLqZaW53Y
52YwidyFddrSIbIzN73dvOg92IldhmdtijwAFB78/F2oBxmTLUC2C/jKciU8c1P1TTSMvuTTJvVb
/d5d4zEQ5og8Y5MDJhBBjWjdZYIip+0QBbt8EIEgS7YeYC5+he0ZieFa9M63ZRceMm1qPpWbGnHd
hYkd6Eua+JtekW0dygZ9lzECbWC92MWN/S50RJVnl3GH7MKieYcW0t5lkesukZS7XDKzxiV/93xF
9bRlsldU/PAtshqXA1XcWUlaEdbp5f3oXZrOeguB8FWeTH4ItfPdqCW/F/LFwVwG58yRsf9S55vn
dgP6b3pjVaoFG8OUDDZbRqBUUiSx4D+bvrdm/h89wN8PRi4KNj0HL6t57gi1DZWCEEyaU+EUZkzL
FfGt1byktzsTOe2H2dXIPvNTeKvmdoF/MKE4DGnaoJ66kw8XdgyrZuhZMc2ya48kmvlv8sIlK3Xw
14RmNYr++WpOM0TEnTEDPJzy7FYoF5CiZfSkJP7mzXW/C8pMNNZkWJyXyw4UXwIGfK730kAeHZJA
v0S/4HzyC+IxkS9Toj5/xDOrx3Y58ChB2ILoZfLPuXK6071EgWCoTjm5rB97z0iuF50RYVr3zUM2
dNa16wxgCnrVurFt1O7barHF1TD7/RVyYOuqX6cr0urzl0xUP7UOkEbZCN828LzO/znrUgRKIe/c
hG+y7yX70noT/fJKP3/+T18n5JcWAV94QuligQTAmfT0aQD80QmXYcfl2Bj4wgm4P1X28NdQVd7R
Hpr6hRu8/egn+hB6YpjCLd7gzV9zLvlSTuF6c1Mnlyzi7ZFiZol1S8qLLMjKF87s6fXbzoz0SOxn
KPkt3tPzM6P69WS+dP6l7g9OVKHKPQ1SZi8c5efrRwsOYv9mFUE3dN6HY79bkBbs+pdoIj8pVOd9
jcY26YbXk7v+j7rm/5q3/4WPFCO3yX1CN4uLAaHSD8/xT96N21aCSfwH78av/qq/e7re1tPd/aQo
hIiR+XdP16Z1i2aJ5BeUQ6ze/+rp2lvfFgGajtR193mY/+rpGn9s8q2AHil/yKKKEO4/D6tCuIuL
AyE0X13WZcc/+7JpQ7ukup2J0+RlWMYWa0Se1ejL+MIj+/TFYMXbjoPUDZ8jzW2s+k9f+VIW+LYc
IU4WjaPIyDL7kNWz+8JR9tnFv1/1/zlMsL0XtI4R1Z2dDkrIdc4KDjM2XfPGXjGGaFOGaLNI0lHG
em1CgmdRug/Wcjzo4JzXoyOrYauOQKD/8Hj8orv8y3P+4cectcvTnlRlF2rzCR279hYNRP1OtVPy
HxzFJnVpW7NRA5xr2TVPdMCFa3Fy7GG9yciWvi+yhFnT75/Mj4c5O5lWGXoxM7M9NZ4zHhtVB5cZ
caSfnz/K05Xt+/3bNJEoE7en8ifr3ZSQwIgh4lRk47WrprfEvggS7BnTg9N6idz29MPw/WhOsMny
gRD79BCePpQ+BLa1ULU6bW7TOfanoqOl6phtE/q5Yb0wAXgqU/x+NG/ba2wzFMB3Z2J5E6yy5bWl
OhlN35Vxo1VJcdFq7by8BqoNwqmnJ9YdQD2n3aGii49cShsZnD5/ibdX4OwVwWhInBWdWfS05ycN
sKC0FxhKpx4h8swuejLWozfXAwxhlVjOowamO70jPr5u73/70DyibGuJecXufB7h02JZoQXsiVOF
RIcL7SYXHt2sHI6GjdXHEMUVBsS+e+GMf/EespTuaj+bTbV/duFXRDzlxCU+VaZG50y1QX5FdIT5
5vmzO0so2m/wZlEw0EOjG/7Jz03eTVci85AnJ0H9EjKaHsn6oHO8HGzhLHf+6KVdiFmsCNMlZbnJ
67TWwy6tlXxhIfzlKTMmRC3NoI4d5tMnu0ydxh5zl7cVvkuINWuD4M5L/PwZ/+IoHvplBo82/g/X
OlvU5dKZg5aW8kSNej3j6Lt0jPWldLmfN8so9RlnbaQSPorG+ZpQDp6ZkDEiTrMDFZxc1sdBiDF0
U7++QrkM1BF4fEsGobUqFOgDga0mH4IrU4z9ZSP7AsVJ77nXeRYAHXz+Cvz8MrGXZ7rBfgw1KDru
p9e5JQxZaShsTkU39W+6rmp6cjQm2sdWULUxDLfKRhBHEMULB/5p+MZFIYvFgf0KzpYv6tMDIzLT
vcniotgt0rkoKFb5qqPDQuikqrEEVNNysr1RYRA01ePvnzQzZZ9ZtO25rCVPjy01lTOINiXjocF7
56nZLaG3L0Z9UdtkRUaNUeW0SJrWXl54xX5eQkFZM4XmOwdPCp7F0yO74CX8VPBFXei03GLSHIzX
PdnK/RHMARZpDfpaEk5AGD8nSJnyzRoRyIfnT//npx4OLme+bbzpCZxjd3nb3BnMX3tKVVJfJRqt
S9fo1OE/OIoFr2ErzRnEmU9P1Wpq6S44YE+DmMsLzRTiflKifuEN/vl7y7mQzohjDJMPXq6nR4EU
4jdFhQGBrRDqwroJvuHRRQUD+rKOdKPufnth4oBMQnWoyGyFzwsk364WOZlmi2d4KqNMDvlFBlX/
hdP6+cO+HYUFCa321m042wbWIwAUoIftqUXszMDZHUIzATVotYn2n5zQtnkHL8v6ZJzdJ0mAgVXw
4T7pkzMc/WFqTlZFy/T5p+GXJwSYm6n+1oU6v098szPDw9hwShjOntJc0oNj0vJmAut/fP5Qv3wk
uD+0Joh9R5n+9JEQheP1ts+DZ2LYmJg/kOEzdjMRA8bieNdG0pkvhIv/8uRItqfxRV+EYz49opm2
7I3xHZ9mq/T+dECBhq3u5W/qwHspMfJX7y6LJheQORbfxrO7BTDTX1wdiCPDt/HgZTPJF5vg4/lL
+KsTcjCkALTnfNgJPD0h4lAZotlpd4K6MLwvYHe+AczUv0qF7rz5/UNhcuSF4lVF5Xm2Io6actG5
caiMOhO6cTkcFtUww8ECf/n/dahzKCFF4ip6RqinwCpEGw+O6t4D5GzLqGPD+fj8wX51o7agAdRO
Bk7drTT+sWFoNAaRYUbanlxywI5l5rgX0mbk+vxRfvWso1ugAYAuB4XUeVEjXNMTooBj3ICGv7bs
kjQsoqqYdDdd3q2Mc3x0G88f9FdPB6my+E7Q6m40yaenVujTRqjErtQuyCHsNMgucVqD2TXL6oV3
+VdXcfPLwUXbWgWB+fRQhIsIpuAs71y7NSYgl6iwTokXVtvtBz+tKKAu0jfllSICArD+06OoVgUc
R/D+Km1yokJCzu09e70hQim5JDFzaa6IpWYK+vyF5IX61ZFZMZgkQ8qjXfL0yC60anulurtctuQn
Sirmrdw+/0GgNPrsW/3oHKxp8e3YrDzGtP0+shXb9HbaB7kL2VAa6XiFQyyakTDsHay51kLQz6/b
bRaMcr0SFz7ePyMcsJcVkdgmx2OT9Sav2zZQ9gwMokC/GwJ0Giys5iu7qlMvFvswuukFDne5zag7
AD4qSnHm3XT7ENtkRf2ae5Lmnb9NuRN9YuCdktazHN19EO7tQ/EBNlwalqJgsJu3QDZIHtuG6BW7
oK/5PlpXizV9c9rRZly6D9+VrkAiiX0o71rM5/NtUi87UT/U2/TeY9yah8U+1Le3+f5awVX2ZA2n
AYPCN/JfKImnTRMwZt4mD9ilAnaag651dwlBussJsk1Z0NF0IcRvFxww2RrKw9ptQoRmFyWQNzN+
MIUqlwjFj0yP0y5hMFEXtfFSgMGOQO0icyhmjOOhscsf2k0JMZp9dVt9l0f0OlIJsasmMmQukGzN
G3vTVKhdXqH1aWaF7i67MHcJRrOpMdpdmMH3DpGGaNPhlbVLNxS5FuzbMHwg6UCt06PtQumxCmQk
l5BISnUgtLJ0T0XDZOhm8YdGiySfKe+AScH4hlUh/xO+iEtdsXbBxVAPHkaFmu0+2cN9ExXBLB7H
uRFvG80rl+uKoLvHZmpQCgV+uWgh7ZTVhTcuCPuyesPfCO8bbkzTtXQ5ZdAs/0zVWhXcT4zIx6TI
yoek85pvs+ME0DnMAcZWqo2WHq7muPoHYO/MsjNHzg/rLDTScI2eQLzSG/N3ql6XL7ma2zXu+C62
2CZ0561XdcjGTVlkF1VmWuyUVF7fL/YykT2ZLuLVUqqhucjZOwnQFBWybklO+ocRU5PBjAS+fpQq
prDHPLVwPdptwGm0gyuIhaceXyJkq8tKjuVQNge7LZFUCK74zSpXOh1Fm8gby+6c4sJyZVHdBCLB
tsw6ZpAZ3RPvHDar0ICDFGbBhDKVq4s0wmTo2Ig0e+3WtRpuyUFFn1e1SGRCNF2Zd8IMWtax0ROE
GDup39056UqYoANRX0YZjgvymleRfe2YKMF31kpOZtNWrLE+sixP6SDqg5l0yBsYHxtJlNtNDUrW
0gsRJ3XWc5W93P+ia85aXjGizJwjYhkji+iKma+nJascYvhqRZrkqtrL1VPLnfJ9xAPdlG56mkl5
W5Bl49+hdXVwI3gLd6oxls4AHm61Y5SbPWw6e9D6MXRQ7aMwSl1pMRj3AUsjHS+LkyEhaTCkcfh4
4OZTl54Pjiaq9AExa2NaRXehPBQskUzX5qs5SaMKZS6WjvBkoncjh8zetzkjg+xgWVK/w5S3lAfL
yMXt4Cdc/bFU2PFKTXxpVVHMUKrl/NW2cvse2zJYSwQMNedIwOoXsWZrcemsnX8yrTGpD5kK/C/E
UK480djySPUsuu7QJuv6AI+mMq+sxUysC09lxV8YIYjUSsd2dNB7Wokba9nsPcDlgcK/gBgyIOSU
6sbKzPrT0JnedCTVbHwvE1O8NopEfJX5uD6qZsw+mopYhAgWi7CiHpHlf1N3HstxI2vavpUTs0cH
vFnMBijHKjqRlEhxg6AoNbw3mcDV/w94+sxRFfmzoidmMdOKaLVlAok0n3kN06dlebES6JX9iWGj
066SRLVeIVFG3/EOFUhq9YAugqzXR3RlRJRdzFRUEZJvIzc+iDCffgGANGqcCS2hIQwjETSaQcyB
Lh3V+jFSov4LeuwslKyb58uCs+ERyhg2dYkUdLPSwU1hNI15ws8H2HarxmbzxWwK70UYbaUH0qqL
QxfOkL8gvzVwBZBHXCEDCp/GgBPa+ZoXimTtpa3+Q8tBygbgC5jZ2FMiDbQJu8wH75pL0Cl9X2wF
F0no65FjiDWata63qBiweSLdHusVpbDhEE54lGEbPO7QCoKxwPziV4wnR/UzT+AuXeAuOmRBb1dc
PRWNrBsroxaxNnKhdkGUZNrPdIyzb445wc2MWNEXZAoDzMK5oHXo6iN3ndckyoD5WGhZK1rm2NsC
7YZKhp1J9IzuomOsNFciRKSbrbHLKenvWm77H4lwx2/jG2ypeoMwOZEBnInzd2rW85hk7jqqHfmE
rXv+JVxQUO4bIApgB+AoxVuAUhChomuQyMlj8gakKlu9fGIjAK8y5RTGUA4X2JWoivB7+gbGyhdc
lvsG0Ure4FqfhysfByuwjRd9SkSET0L1NLXQvS498sPQUXdpgdBapE/+FKERkStdkJlRdiZkfxff
wgug50kNEFF9ukwn8W2iRAqK8XZ54RSKemsDOoQEg9rECuGrc/od72ozy1iOCt0aXCu25Sex2Gjq
NdwWInYXB1InyNzC2OsGGEHE+lojqMqWwNPKwl9Lwx+xLEf8M438n2tU/q/ljyxtrDP8keuhe/nH
w68yil7al98t2tgOsOaXn/BXu1G3/qASicQRqCH+pcWa+BeFBHKJjtoE9RfjjfX+X+1GxYH0Tuka
7Wx4VZQZFoubbrGF+8//ALb9B9ERty5RPuZMUP3+TsNxWXL/ThaQIVUp4GmIToN8QPfWPCkvyEmZ
eJuy3Ztl+iulhHynFYWk64HweTg76VaJTIFPue3e/zZpH3TjjvfC28DQnqjOoZaJfOUbneE3CAqU
VrhUrt3ucSSnNoqbfaBXFZVDXepAUCP1TG75wYvC96J2B4tnaQucZEW1ImenNOtuL2woX33clptZ
Trxk2LurodfEJtVzEUymkW4/f9Pjnbi8KZUvxl3UrSj+n4I4rDIm8+Hq2U/wSn2jDq0gcmYDgB1m
ronuyW0Kl91XCze/HLL0nDXeW0H++BNTtaQigRS3+oZzOc7KQgxV5lDX530168rGaM3xkHOvHJD3
IvLKcRs11MbY2SQ+N3GG0yMqDN7WmpzvFXaiWxNnZKB+enPF0aifUSR//1VoQgM34hcT9aYI8Xtd
gSxDoSw5AkmDTrRx6zhb5xh4bxE+yLczCRhWGkhntS3I5c+/ykcje0wHhXPq9ST/x7MCJaPnqpz1
fVnUyfOgleDHu87dUZQ1N0gpjntNF9NuqDy5+3zk9yufShRSFwupikqvtVxMv638uNHGAUl7Yz8b
YrgYpvS1ItXdxaNtroXTijPL7/2LsuLZSWhasNXewW3MZuIwSWJ7b9Dh9E0dQEGdO8ZmLuoBSoBr
7WY8cdYFdNAzI79/UTAxSNQiSIb+JWqqxy9aTXHCWanYexG5i7hhnfkF0OFa1++8UHZnNvibc8Xx
OnchOaDejMMBa+oNjPDbvA4kG5qiJ/a+nS1hQ7zNc5o/2NjiTzQrw7ru3KoKHC8fQHf3nfYcppN7
S4eiU+HfZ/noj11jpAHc5PJLlOdA3fIMZV+fbA1R6HjUYI5ImKmoS+DYEhVwCTZxoeu7WKoV+tXG
4Jwpuy1enCfHMyAmFwQYVzg14FMARaRhZ6nNbrNPw9zdRrrFQYEESPViIO6BK7ozqxcd7VsbwZC2
+jkaWYZZ9pg62yjUx1cdZ64Lwx2wp07If61+Ep6fQ1456FRG/gwVZXj0hAi/GqjV42mDra2SWPON
p84djCecxe7MzMC8Vo7FfOUmdv5iIon1zRkUbAqga3SPRV6UOIOLtMDelwmd/caEv+yn9TDv9Rof
ad+iiv5twgP9HPDquJ62nKxLNwbxYXRPqTmd1tOatF0OFa/ZY05tXqExpm0oQDh/e7/S61xu70XJ
j+DtZBkrqRjbss+bPRWNJwRGqi1elT/TqlE2iWGfg/wtu/94FS+jOTr+ORYd1lMwWaGYVjdR0d0P
Roo6DHnVKopglhP5R5e41CwClaZ7pnT3fiI9JOWodFGYRD3s1GSwiHpMkYgL9zVI8rVb2Egt6PO5
I/fDUZZoh+ocCuunusaeksxonstmP8tq0X/HdGIMzXOL4v2W4V3YKVT7af1RhTw+dZRQUEfoEgIL
c54ue7iWW5zkahy9+5RU39E2FEQpX3iRfea8++j9KCJD8aSXxu8nGUVoGbJF6qfdg541SJEjY12r
1Dj+7vXh2aB2EXhUba6PU3xsjzbPMI398q2SFDa7hlFbF4sNYKono0+H9X9juGUaWZOo0honL2W5
nQMfKW2JHgZ7VUnyPjZ8vCk9bQyGuTqnYfnR50NfmdDXQorpnQab0aOZbGMJuKeyCoFkJHeHSDYL
zaBKhFIEnVAjSCvt7vPXPO4CLEcJEnMLApjNBwpxCdN/v5T73M4w19PbfdSlaRCPrkpotIgeU3Q4
8wE/GmoZC4wfkFFi7+OhcA0eu7HVm72lgMjP04sG1tHKKaQ4s6vf37/IZS3eugRY9Hjtk3aD7cWK
KXFH32NAe+U0lFMkzEK/IML35yY8J1v+1nE6PbqW5BZXaa5fcJLHL1agc5J0KuPZUYNsjyqtnZb0
+U3kAkVRPPw2TSDdq3xwxcPMyXZjOh2lm5pqdq1N00bE3M/WPFVfYg+CX4hNywbYdRNEBhZiXpMN
WKpFypnj/Q0Wc/rYi4cuCgycGoSEx48tO6njut51+1bk1ksFrewa3WX1u2dl6HJ4meolSA4RxsNY
zMCiIaUxgyJppJv7TQMDA5KPFj22RAVf405ML+6c2cKPFafF1rIb8L1PkNwYfPIsGwQSMluI6OhW
G+GHYYx3DgzWL502QxcEROzgIyOt+UtTQMoIIJ7Vft+2sO+ouCAcpZDGawRst0Ole2dm4qPza1E5
QM1xMVY49WetwzHsVSvr9g2aIYEbi0UICOXjz3faWxx2Mt/oAmpcbQ49UiyZj+c7iV0FN8gK54JQ
71deS/nB5jb1NbAyvkWzqm0VmCRwq1CkjqtdVKlR0CHaceZke5+XLfk1uBmER7GP0062vOi72eqA
8O8jla7DbMFl78rR3uNduTea5Corc/t60qdsRU0z/FvoQ86bpRZAHQhkJXNBq/h4Epp0bCOpTeN+
ABa1Ra5lvOuLGrJrk+MoKhV7Z3emclkTQn+1R8e4P/cRllV99BUWkAkpKdIHAKbefWxS7dCmSmzs
l/T1ARQPPBAEELhNkCGC76zFandRJpm8ntVE0rfoZPtlBjLnrfEzGg+L4yUSqkMedoGrYM+Ahvuk
u0EST4azjj0ndS+ymWaCH+UOlUZPGoO7Bt4y4vA8C6i8Ka08P3N1Y0t2MkLYxyTj69S7qbbuTK9/
Nqt4phNgL7SvsXJ04NBVA0BPpQvVB6qSy73aU9ANPNeiLK/mEsZVoznhvJqrZG79OGssb2U2kSUD
eNu1fhU5Ld2GEfJjvUPzPCbcDfUsXNUzmGB/QL4LIEeXy3AdIldEkDAkQg+qxsLStFWEiZ0J+P6F
hEsbRJ1zJww8+hgvpYKKeDB10GWhaideRonWmlZVbThPfT/36caGWIwygHDdYqPlHU80xFlHxy/M
TINKPppWu8bzhLftsIFVfDOzx/bLQfRy8i7m3pomv9M69640KoSsJF5xXx1XtE8RnCUrkK4VK2st
SmiqenVaH0TbOz85lcpnhPcw6IDggehT44C704exuZSuk7/GCupM6wyBOVzeCWoQpm6MjATByqdw
ndo5SukIIVIZQfVBW9FoSH+4res+WLBs3XUiZ8hWbRc+z14yDv4Y5VPlW/j+lb5iwR13YxjK0q2y
IqCE33CaIe1kBxa6Pt2Z0OvdnaqB+aOSRmCJHKR2imeXTu7gbDdq+wawydrzekhNicC/aeZq/Xzr
vAvQl6EADKhLeIndwsl1AdfEBetoa3uj8iLk0SztoinRgS5lqfzk+I/WRO75Gaed94cmVTpCBq4n
6E8kPCeHVSSRKSjLXtt7iqfvkrgoLgghzKAYWmysuwlpVy9sN5mj1FuBdv22HjOcS9yyOnNwvb/l
uR6YZPIEEF2LxdDxyaWYqOfDXDf2YehqMNCLyvbzVsyrIhcVdhCpsSkSVitsf6eOnU2ihsk1m626
ctV4urf06TDD3F9P1RTMc5feQj+KtoNliduiG7rNnLXVmdl7vzpA/pBkggqDO8ZfHD9ymfT0QDGZ
2mdJpK48c9E/U8fYN1T54/PFob9hVI7PVcYChkskyYp8kyv9PZB0YwkRGGeLPSmIEr8YRuzcJEU6
5OuctfTFrZLhRyXi8XGyM8S/YGUJFAkcBTuI+KeuvmAh3HT3tKFpuDlj+9DW7MN17sUH5KgqP7LH
EqGU2ZwONHBfo8qYv+VFpjwZRdRkfj9CPuZQy+BsOlFHvAzFom13IAqg/zapIhXAzxl9s7QZMHnv
J4mKnYeJk28bFRF9kmjNVwtbdIlqyIiYoQu3ieJkqIYPhpphmy0je9GddI3e3mqoo+Nd4HIuryra
wTfopClgKhRZ7EOpY7MuG/uywS0o87UIwfHVrAko8EWVVEhn14NsaWTX4LJ7XmyTghpvfLuz+qve
zpGSATU932idJW5q8FsS7688SjdIGnIpgz+Iy42m1NazVuVJSVwpje+c2+EVfn72NzGW8PVHxM9w
yZN2hwFoURlfBqC0B7jr7rpQMysJFNgr6HeMJRVnIMz4YmDrlDiBJQUexEgR4PDN35f5BphG/SIX
2b490Qtagym/Rb6bwaqHPBnL56ynAOW7bopLbNiVgEfSNM++xYYbP6e0DKG9aNZ2bJSO2zJ3MFyA
+gcaYIIAv8KIt74MvVGo2zmB5l9isqFu1THTb8o8EvexibJh7KaZhRehixe1nRRYZddo4YkVUILp
JRKde1u0JjQ61Sjrh96UOVomhMzfi9iT97Xr8ilDLx63WBVnHm1DieBCVOtZssLgvlLWemaHaJr2
MDyjuBS3Ib3VuFZuk94sd5qTXBr1mHwrxqEIAyEkF106S/RLLb1u/0QvG7di3LlZGX2SlAIF07a+
iOxOeBvNiMZ+C3E3OtQIaWBMYGAPTb0uqTZzrHhXvZjba9gfqrvRxgjDixHFgOsWaIKK3HsB8qJW
2UeEAhjJrke7cpAQqiq39AcsRH5hjjKgbgH7+lYaJVYsZjwPoEPKRjP9DBioF+XFFVZKS3u0Ja3j
H0pD8wsjRYSDlDp+SOrMfpqVCsyN047eS4w0zrBqqrH/2WfZS4VUznODavZ8lVc12iCmGd+R7mBi
MobN8KU2zNdJQOv308QbL6l+4jNLmI2gXxhliEtYI8UOVaj2nW1KvNr5D17dNLrxWDekFUM6L3r1
aq1vEnvOvjeG8j0McwzbM1jpyFhl23AyspsGKC8YlWbEMHrUuWg3U9tlOn7ZYqzWpj0xuWCjOu7i
ZgyfNbV2vwM/Gr9pboGeYakOCEC5eY5L7hSCdgmlrT6CVkGEmxutuUuQObXX7ew4zQpjUHrZsP2n
LYCXtZiGrNpYmTdcTqicxBu3x8J6QwsYAkkMtR2TPm4OZrhEh9Z3Oi7QQCPGuiM0RLSjikzlh1fm
3khV0nGBzTjx9N1USg8PmrKcbyG/Qe/V7K7kWML847kex/grfZrsHAsVd6XTAJhQwFl+YRuKwdtJ
Gk4lWa+TXrX3RJwJshtWr0VbvY60al1BuP9hD/X3amwac6/YMabvc4qnQJhXr5Vsx5/YqkAQlpD6
/V6NLsKiVw4cQuZrLqFiTSCEeuj0wFncpP6FkgEqJW4TTz+kkedo5JD8/Sxx5D1zOb/FOSe3j024
S9BHnACo8SRMaEgpZBzZ7n5M8CkAeTI81OSUU9DTbw991ZsskxMgTYogm8mKgkyZ5jsslPt6VSUS
2s9IDx89FoUKDL6VJXf70CLaHupa+CNHz9oLhsmEw4GWUQO/BME5cB0CsRdbrRF7GXQDD+4s762Q
OBJtni2gJf2iQPDtT+IqJMnCxEofQXQhBzvqdV2DwcCcpECuCbiY4lloRI4jeTLq8ckYID1XINs8
jo8ga3uUd6bSfpCt7Bp/LL0MhYjarJJgnnL42UitzJzoYGyekadUULwWHhisEkW05x4N7hcTAdp1
ptXmUwj4LyFlURLcsFqpXic0ZO9RsgWC7OCOi4FeiE6yb1fImEaDHm7gRhdREFPRBokP4OjKSqJp
3o9Vae/aCcVVDsFoeCrVWeKEkhYIgfVDzKlc1NVz1kIi9c/EGkvYcvyxwdLTv9X42jDlT60k3WIc
mxEhUq6jDJaNN+KEdx0r+nSDpdVtXaXhVvO435vR1l4cXu1VR1PqFvNCpMVQlqA1kGlJuEoKVcl8
IMpavHeRBvs1NAAhaFRm+WrCsj5E+gfvPa4dXf27/srE6rB+Vdwc6ZCblDSPQzNODLIWs/f2UlPM
oKfj7cemeZbh/z5ox4JUc+mzQzAmaF0Og996Q9IrYi5rxdtHYZRft8OY7tH9mK4BVZbs76FbzyTA
KxG2co32r7VzOyu7RL/ExFHXdK879HO/t8h1wR6Kwy31HFTsVOGeSWPelSTogjIRuHNTEaAYdZJb
lBPHfVuq2aFtxnFVRMmm19DBzrX+wjBLxG6AMq4qNdladf/4+Wp6y1uOV9MytkP5Hx4NDdmlMPvb
FHmxdAccdrODOoQjcCt9bF4RFs7ujKGaN6omb6lLK88tSNtbjhh6LvNWmG50nwHqQ6NlRn8vVptf
VO2qW6EUid/Xg7Ivyji8D5OiHwOZzoL0HQ3qy8kczO9hknolkmBN3K48td6XjqE8WUNbChpvbYSV
8iDH53jMa3R6cZKlExcpiNV9/uLvql7MOUUGG+Yc+ojWKX8Ih/I8Dcs4P1SQLteI4cltpqDM/Pko
bxS/k+ldcD/e4kmB76t28mmpnptzpDTFAdTicv+203qsQdK1hb62lfCXk+b6pjDqAeFbE3mvhmKG
FGq+88aw/Vo5aH9lsJVXYaQBUsK+LkBa9ytli/w6M1yUGgewWJQazsnTvqvH039fLBnoe1su4hgn
7RS7xitH6GV2oEPorCtp608O3nUBZ4Fy0DEc4+Aw49jXDNmdSds+GHrhUcAPAZUPhOJk0xKeGwgv
ddnBHOp8NdSFjnh30oCfdMUVKNlo7YQULbi9z9mHvI8NoELhA7OIvuLSfAqhp4ob43ogskNtqfKC
z2au8YB2iF/kOSPV9y+Jssciv4G0HjN8WnT18smNZvxTD3Rop51WR9PN2Dn1bY4z87pPTWWV5cn4
wwI//vXzJfn+TGR2wT7QZkGRwzx1upJubXKvRcXBZbdtEyKfx9rUIK5X3Aye0iDUPtbamW/6frdR
T0TuGL8nCqDkVsenTE842Q2AcQ+Y91IXn2kEkjEXweev9tGk/j7KSXU108zOiDBAPgzC7DZFxIVn
GzJaR8qU+k6FGJ9Y6hMITEybz0d+u3SP9zniClA86OsszsunaJ9YpH0221N+EOAu/8zIK0B+izBc
RW4jwaELJcKFMRLrETMBI8BpLPyGv1GGplbtqd80pXSvsfoQjwvrUga2iytR0FgDvJdCaYdDhu06
ZfJ6MO5UWQ3PgHXDKkgiVGlWmSwmJzB+hiVSdUGZUHNFb9A0d86cG0+QIMavll3Xz33kji+Nknib
ORzo7o9YD2HecQt/2Lu1cHUOyJ20GyMt2l+At8k2SBoaTEYsL62vS3KCmv6+p0A1GlHQxgOyGXAl
BDKE1wLutRz6IYwLGhsSkT3F6m/K0aXnGqle9aL1Ge/VULCLSHRLTPdIpnQewtZLc4PR4Bj6IRYI
X+u5UuZtLnIT5H0lL+m16+cO/3cbnaOf081G8YPbyz7t/WStbK08zMO9Htkz9pJQ0ey51dclhoRn
7pl3220ZapE3sCn+I31zcpopgOzmyBzCvZyEgWSXyNaKvahndXaFi0hNX1oazt/dCAxqo6QEkgCW
m3uqtQMlREzSScJ9kxesDDD0P6ooovispMlmMCMXoVtFe7VHo959vhHeLrSjjbAMbROdLv5LyyVy
vNN1rSsmmfG+I0omWzU2jLVaxebGHrxhxYEfHyqROldlB+tqTDAXwf2hvtIInP0Z14IzE/HR7NsL
DApwEIXi0za2W4eT0Lox3HOlqH5E0WRTFxASWrduaDwSbKS2/fD5FHwwJuBbmzwMhAuwpJPYthhC
S2+FreyHVnprlU2+xaL3rrFFswfO021aLXv6fMgP1jPIUHpqJr1loGUnk84KiJyCcH6fxIpE6zDR
d3Kss42Zmt8/H+k9NAl1JSAq5B0LpANs2fH39dykRJM1iw7WoOUhEk6Nc4Pxl3E1GTWtTawxvT0+
Etp+gAZVbtx8xsRXYQVcmfmohf7YqjnFMjYLrNaEBphf1Zg0rMnBLNwnNJFRB7ISsW9EDWILPyUd
+Wq4jZewlPMt2To1qE4DDuHX7DtEOFvRtNTz7DjajjLOn3RN7NW4QdI4T0sSJODo0S8ELWnEOKHV
XEYK2l6o1yXFQHKOioGPXrB38fk8va/cL/PEulva4iwE66T4TH84qkyHebKTRNkVjdXf0/7PV5Sp
i10yDPrFQBt8FVdTftWoXXUVoVfx6pQotn7+JG8Q15MdCXJkwSdTwSfYPQnlPHyYvZg+9qEMlfYi
yfN2O3UpiAB8CMNrq67Kb4XTXZjDoKzDxEQE2lOjxkUCsGSTdEpMSmskdnVpKIitBnlT4tMx4cOr
rzSBoseO8LZbVFWb6SkF7VfBi6vtGgU7r8VmuSxw3VCkWV+jCIDaN8UIQGSV0SMDil6hgsmTl/cU
Pkn/v5ml0O5wm8rIbsNpjjbA2cWDPoA8o+XUOsYaVQEcjZBcF49lHA/Krs9CkWLW7uZtQFjXuX6S
AYtdowyiBUsMRn5npiAOOCDCn62DR5w/F0bfPGBSqVFFb5z7zLAmD/kGd7r/fPLfnQVvZw96ZBzH
gGlOdwuBakbPSI0ObMx8Bc0fI/sp1OAvpfIicwGCaFXvbD8flPSWTXj0ycE6c+uwUZdm77tuhDZS
W54jWRwmDeegoLeSTgYlcpSOL5KiPjSGIX9QIVNc2hNCcvRSXNV3Nj4zow9vAzSC9HJRE1qkw4Pe
W+MNCLV0VQwTaq62mupTgKCP6gS9MyvlVc55qEC5a0pU4xXDfY3MEolXiZytXHM3FnhjeUX/0Auo
yn5vLpq1UuTji6PY3bPXNa65UXEDo3lrJLO5SkTkWTurUoYpEEDUu1XvhnOydhB2yTZKFGu279Gy
KAOq4SJZVULtYFX01V4fu+8R2IyodP8smBvEXvsymCUS8YvCOCX/pv2SRAJx+1IPprLvcceybpsq
DPfTrHJqEZWC7oBp2Yp6DRpOu1c7XCH7+WuGC8t9W2sXtt0iCVmT/YTRuouLu7lt4bBgD7oTsYz2
NCVZ1SNtdR9ApfYIGBXR10j5Mfe6vZpw4/Yruq0Q2AbVyoNQbbOgM8XoA/7CHlp5nN18bWbdvVXS
Wk2n7E4TbvVdTxO/ajPcTKtUexJ9DKsj92a8uo0GQKLV3uOm/KUr4xHt6dys9lU5ptdl78idZ+Xm
Bcy7LrBKGYJ7TW8lnMyAwHgp8Ex3duLcDkWZwfwav1iw2GbYwpq4KEv7GZtZnOlcCYfMsjaYcyEy
jo4yflPjFztF3TRMDBaMMT1mb8VdMy2DqbauifXWdJR6pIPDiyEqg0oof8aSNpxpD3iCh9rVbKoX
k7B3kUutewoTJTAbYytirMtwp0kCj9qfgqBMphsFbXxMVSc+uG9p3U3ZlGs1db5OTRFt7TbsipUl
OwWGYZ22v3APDbERirUEdEfr3rZUXVGMHpsZpqnE+6EZSvWqwCbeXixxSC8NSVch0JCrSPrE2JrN
eIs6FvS37FFFpdhvXKhecFS9LR7pP+Ac7JPF5UjEi1pVh4o39DLSqdq6GoZJ+dOiD3aRKJn7HHEG
vcgs31Fh/dPOmg0qBI9TYcwXZt2Ed6hA2b7eNdeKE13ri/YV5h787+0GR8+D0GDxzAXA4xYkLPw5
tk+dB32bX2GSlt+POCGMqr1TDOM+dIs7a9bpl4WAWnSgVq+03fahCLemcF+UTDprlCBrX3fCb0tl
zOeehSOKYREF4YbuYNKhSd5iYOKLubj0YvvejLr5Aj3MVVIpD5qVfwU9ci3z5qIyo8AS6Bza1MhW
bhyDHM7HqNtlcrpW3dj2E8PClCGO4AEaqRKUGLUHUq7KDiwh58NDjt8QSCPncvCKu3LKXkor5otX
CM9jAojTQuTDRXtuNCXojfGKg2vCXEA1BnhT6TQEqHJujCnHJyIJSUw6ee+SEzHQTDU3oOItHkby
mWfDyJPGb5Q6/WIpMNM2iaYzTlRntwhO03ZgCsvKoavftYBsfSXXu8u0RBgYHFKMJjeqvTE1Flhs
xC0lvntTPlDAhoQ9FL7hzhWgHQrRfo6qKg4Eg6IhypyEFX2asWeWjWzQH1070V44NylkVRR+nuzO
6b6kFul9Be/9lYCdf+bRbAoGM7yP+Itio0wOrSMk5aO7sqUns9HN2rgisO+vwkS2V1M8L/TDzqpq
zg9V6TFrcZpnR9TWsCrGsv3ZQ200V59fL++ybBBcOlko+ClUXd6JHjULdD6F3Hog87MopiMpctsV
nQG7sSw2mekoe5iGrKZILf/CT/3Pscv+73oYgUWDM7FkC/9/Etpd8jL8A2T/S/mzO6Kf/ft//ot/
pnp/AIpBE4ysAEnhpaz7F/9MNf5YzMQhZ9Avskh+/4t/Zv1heoZLUV4FnkbJj2DmX+wz7FiXjHnx
PHKAOLzB5v77epeo/FFqZijic2jkyFcdJxF2OYKJhBIJYb9RV6UDoqXGtf5MUeY4K6KczSiLugfR
HmvVNU4CXxSUaqjgs7WtKcfAdnWdgPOTBlylnNkSH42EJhqR1sLeo6Rw/D6iaLSinBx96xT6T0xB
w8fK6aognSP3TKvvePP9851o9BHI8ieqd8uT/Faub4ifdA+Jwm1cmaqfI7i1khb1F3rk0z02G/bB
UCeAXnU1ncsjjmLKf41MOkMevTQplif7beR66NKRK9LY6h29X8qXCAdPRbka0j48M53L5/93+PrX
UHRoF6MtSJDWyXRKV5+NQWWoWGjZ1eQJFfWouP0aK02+x0gve/1tE93+8yf/oxyKWzBoffef/7H8
vJPxaOegc0kpaWEnGsev1oNLNFOLwMMlxVnZY1esDWmdk9/WPxqGrQc/mxWJVdNJ6txFcgx1o9a3
PYkYEiZuVfwQHmoJ2Pg0dOclQJvLqNSsr5MowfNkMqy/qXHCja4mFpksaZl1PWPZ82ih4GH6w6DJ
O7athiNPUeiub8m+u2xE3PzQQt19xZ6D3uVkqhWAPD2zhhsrx2Yg+Hz2Plj8QKg90lyEdNjLJ5mu
ZdA3wixU3yqF7LeowuOfEZLyWJ15rvf50Qwa6tuGNuBSn2LoMcMFPjALfRsqQ76hiN7vbIwZz+Tu
H70QjBhoP5wbUARPlp+jZx3dxMbcJh01UEqwnk/nPveTMUl3f3/urOUEhFyJKq9zuiSGqSoSGtNb
D6cg3Hiy2i/x1NoKT1x/PtJHU2ez9mj02SAE3hbnb9s3Hlv6mHphwoqx5z1kLROTe6348vkoH03d
QnpGUInggAb18U4Cr4EClq4QPk+kM5mg+41LVLjy4lw5cxK+9QxOdy0Md3Cf8A4WDtPxWDQUABh1
qQmM2u43QtgeQdqkrc1I64hzZXlQMqO6tLs5fUirdrqpY1GtgF9Na8WwZr+r8nOh0QcH16LaDtiQ
Q8Sj/Hf8SK7iTVGIZfm2KrvkxrSk/T2ns7jjJkLPeVb6M22Vj8dboCyUF5CjPpnuUs+1JosSC1Mq
Tw3aGbdMR8FHCidZ4E0/P/+2H60gehN8P9pHvODJfHsUcJVRiaxtTMd404WxcdcDbzvzSh+tIIhU
lDOBBSyimsdTmIDZmul1svmstrgewepTKm/znTJGf68p9XbNIGRJIAIbZ5GKP4kPIq/EEXVkKAc2
9LZQctZOaZyjhx2XgP4ahYtM5eDCTeK0AWDWKeahktOkzFA9qRwh12acFA8zwhoX1EXrQ2pX4/rz
b/XR5gCsTPxHOLesxZODxUqpRi21gm0xCPLeGluToI4SddWBbwnQc5LXA4/W+cKxJUebETn3dZPB
bUnRBqEHjS7Mi+qk8/fPH+yDz4tIGKUhMM2UJLWTRVRZ0k1lYRL56b1Yh3Vc3xe2Ym5jJ27OzcEH
uwPdSbr7Syl+6QAcLyVMYWev7pmDhANi8kM1zV47CgB24FJHUoJCa61vgvb9Ky5tGTdtHV552J1J
JE704VZHlBr2mVPlFxLjM+mjTuQ8pZrVnrvWlpc+OckWbTgOTZaJR3B1/KBxVVZ9NWn2FoJCBrYy
D4ec/u8cX6laKHDIdprhLsMrfYWDgrH5+1+ExQCsfSHDvcPINGEPPtipne3Y690WxItAU8q2N4ox
p2e+yAcnCECIfw+1fLDf7qCOdBhBtc7ZDmVrByCmdODBZrX6/IU+GgWLVZhdJqJg/HY8SiLm0QDT
ZG8dmN47U8u9C2oh3pmo58NRCEH4A60OCD0no3ii7Fx4M1uvMKeLzkifJhjbZyq55wY5Ca3QUqZc
jernFr8nKqSWvFdnNzrzVT46oPCA4xKB50zv+uSrGBOimKba2dtM9Jcc/yFU4+Zy6vFkjETygozc
cGbJffRaMKFITiGdLV2J47nT8V1soTXYW3QEksdprrNLkbhgUj9fCMuPOd1WHtxVGMEAnAz19HZU
4gSUb84wiSP3Nu1mv5lDZROrlX7mjd4PBU+fnhgJBHbO72QlwL0WDtah9rZMiEV4IOrglO196jM/
/+5LMRLhDsJtRHOQt4/nDrkGKQH+U2rUMe2zS0VZTVrjrPoGB8nPh1o+/PH8MdSiJLRk0gti73io
3NDmVJq2vaVC232V7DUAAlq4Iu3QN6HdJxefj/fhJDISByHtY8oDJ+NVrTtzE9vbKFP7u0U6ZIWc
prgeG1OsPx/q/QqkJsDs0cEEvv0m3PP7SeSQuKJgULE00jzeqU2tYN9YqWcm8MNRENoH/kVNBdH9
4xdy5lptu5kXSgGC7wa1+H+cnddu3Niyhp+IAHO4ZQe2giVbcr4hZM8Mc858+vMtHWBDzSaakGbP
1TbG1Ysr1ar6A6VNOmYbYipiGS+nCY0bDiEe5qT3i2UeQ59AuBBpVgW1P9cGvr5rh6D38jgajjil
U5gbkbtrUHw+DQqAvOufcm2VQInCk5p8g+7l4ka3WkmFpztwRqWDsstrHXWZpquoUKIiY0/JFoVS
uTyvQNnIKsxNylpQqRdftUAcs+AxZXhYJqAnAL//xfEldQeSMbmRdEl6CFHthp0bNDs/oQE1yHV1
rzp1B1g2CpJ/agxllf2sTvaXkbv2AQbCeEf7qXm6/mUWWAiR+olfKvRtkAWwLjRYFKxsbKcdDI97
qnmxnC5+0oO5M3d5nMChGtAsjHas0RTkcNjFmmukdN1dv8YGbt92jvmPBQ7unUYM//+rEOYmC9Mp
ji2VbxOM7TWdF5Cnqhg0O2ZJF38Ej3N98CubWeHgoAjJaxCJicVm1uOkbe00NLyGz8AKdMYdQB9l
p7b0494fitOdE5Hbiy+9CNWHBZgCbhlPjQerBOiVQvuYnfk5nMrU+0AskU4KKysS+sVqFyQJiF6Z
6YW+Nu9QrUzvo4G7s4RT85FhQSij4ErrnkT+/PRARre28L42vaqWx31h0DZJ4Id5FnWWjZvyMgEF
vcb5pKsC63mRA9ZW7DSqVpMytdb0SQ0GdQ9EEHO/wda/6XoOSZV+lRuVm4fXyhFJIfgVKiHQWK8q
Vm9SQvzWEKyZyNFnPTIONYwyYf69hfdai6KzC7GzF+W9pZlfWlpwEzGA8pR+Hg7VAFxhENqM19fG
ahQc2CGXY29iyOr5hPGE6cIqNQwvrePosdb17JOk9Fsc7rUoBpuXGg4ucbC4z6MMNkB5znzdQ/Ey
uTPwdNybiVxvVFcuoliYmom1QL3fYVVo51GQA+/s0mY2wPEFj1mrpH950r07VRdRIJWid4cNGIKF
51ESORwcO0wzSgpq66pOlu/KWG43krPLcxjFAcShZEUBB8MtuRjMZHW+aZR15kVmUIDzUIIpAiFZ
05WHPB4++XZpai6PdKs/jBilf5fTmmRRShsV3rLm53dY8CIZfH25XJyQrzoIqGmSLrJklgghhyKH
PnFyeZ0x1Sf8uP9W2PjeApbfSoQvrmiWC9k9rRZQW+CAFjcmTYM4wPU787Bxig4TOF1BUUQOeYzb
+XefJlsPvcuhiSOfWRWaIGDEFgGlVstVX58Lr6JH/QAyQDoYfNJT7kDhf+9XpEqLjwBQF6HmuUw/
BtVhbue48DozCg/Q3WlJzoURU8aP841NsTYsUI0kdLTAybUWz7EqqHu4olHhzTYOM5PZRYfWyFS3
5Urdf2BYb0ItzpJMkubJEMaz1Zzj5QJIx7UGtWSRysbGF7xcHXxBA6cENgbrcOmTgAM5pSKzLrzE
SDHeNNLbROnByrUSorYJJLLrI7s8WUQ44dJDRYZbbXGD6k1GWoxbmhe38XwXN4B7uaubjXL30gaK
zOM8zOKY7ADg4fLNXI1OHe6bIfZf7HHCFF0PKshtlrTTJM0ZYFbH0y084Pb3kKX2xljXFgzVJ5IS
8i20cRazCFiqQ9hrZMGgVPyYTpHqTZLcn2pdKQ/XP+taKKEPBdOJpirA0/OjdAoLFAT8RFyf8Wf0
ZWoP5Ijm9qPtbByna+uFFAFlIT4xWfgiUiWTH/AOQaixMiu3tH08x+cGd2GFNqRf/vP+cSGtRcuR
hgIRF9GcNudpU2aZJ/WGupejSTnhCJ2d2l4NNz7hRRbEeN6GEp/4TS6SQN30zSIU10QXhXtQH8bo
ql0XfW4dYzgoJaUxp2yKcY+cSPHn+jjXvirMVIRCScptOvPnwS2ldtQM9X2v7YbgK2lY/R927O1R
lZrxTol7c2MWVwdLjgKIl2segYnzeHjbB9iG8V3LVC72klNlN1bu15+RQAr+jWRpfgQL2N/ClTU2
3qvi8D97r4rPTOGH9hpL0lxq4IxaFI+dxEqtnc66lyb4uDh85EiW0+n9nheZrUKBQtT++gcWC2UZ
VmCjTZ6NuI0ugelzLhmh0WupN4VgVXTI2WS78RYRZG1wEA15n1JMY3yLm68uC569mUUUPsFeawzz
68Th8KQotUKe1ih4cNjdOz0uXw87Wsr05kknAP0vNgnoVQO4tZl6iuTMx5ry8aGWm/7r9S+4wDTz
nmXmqAPRnkHAl7bCYs2kCSofasLgkPNpXtTBNmdUgVpkP7isUn9nD3n7Z+yz4bvcxXdWPAwPLY4L
kksNJNoSlFrbMI6w5jJehZRWNoxcISqVeoOppt+MRkpPQMjro+8XzQ81i1VvY/Ta5QJCvYk3nyg9
0NBZ3P5K1sHECeLUK+KpGD2I8KOz60dUIjytTPX2gJhtDB8eFZDMjcM6qF2QXXa+z8x6UoGZ1p18
UxaafNeWcbl1i68sbwjtMC7gWVHRWhbPyLh4lUwdvw5vpVs5bsoHPS+2PsJaFBr9NN/J2Flr4hu9
OSKDREr0KJ4zj+bRiz5P2bHXpGjjaFoPgqoPLAMFcOTiPa8lsHaMQuXILxOthJGN/jDvB7/YOO/F
kbo4EZCLJQoPQ3LUZauxwCFBDSc98xK5AaysTupdAsnJbaIqudlYPOI3X8SCEKMpFkUDaoHnH06W
NMmCX5h52pTIj6UGIN/V6rY4DjiSfoXEqf1QpWR2lR4UqUi9umNW2NH++s9Y/bI27pvQohn28lU3
Tnlp6zEbuCkq/yAFefCpCKV+AwSwFoVuKok/2QjV8EXWw5mfToCUOODpr+6wliiPuWZtVadXo6An
Cg2eA5fnzfkXBRXQ5JrMBRb1WfhgBJo/gdUYhsa9/s1WXo/kVDYPRyHDJFhj54GqqpKUWJJzL2dW
diVMg12MagpIDbkKnwKojbvMruzP42S0oMHb5iGA/xC6jho5kdv01rv71rROoXbRbYCygDLUIlXQ
gcsPSUlq20iqvEPccTgkUaJ/YBfy14tsktYGlYbzYY9GhMokb1G0aNp6L6m8c4Zc2SoTrt0pogBE
45GKP64Mi40xa9CbOzD6Xm2hLmJl007SHfATw7MatF+ltrnrev220NCrhjcioMTOxgSvLSTaAAhn
UK3F2HJxpgEcbrQsnnNP07L20M88gtpQ2iLGrR02rCPEv9E7ou2wWEXZjKyPk6Y5XLBiOJZdCWGh
ooNTmPEWqGhtQMJtzILfK978i/1nqGNM3ajOvXgoTberTark6D5s5FMrCSS4JWBsVFaRLViWJ2sV
CfMJ1R8PBZ4mdbVBre4R3RnVfV6qY7AXGAAbdl8zM6WTkf97fVuuDhKJbCDIMvGXYDpO0cTMo5xn
JCmqi6pHfV/iKrJx6a/O2psoi7VhqGbZKDqP1Uov+uOsqOMBp6BoZ3bj1gUuFvryhuAcs5gxiDuQ
d873m5bl5Kx6WngqJ8ZDFlXt6ELQ8t0GyRn8bmztmX2yVWRe3X8gH+mkCDERALnnYVOkheYokZjG
pkY7KEr17oWFWhWApMiOgYhov3K7d3CD7NP5uwkX4fdEnQ24Yicr1QeuDl6WFDbxauC5tzgN2rhJ
JKaSWY3TbhfRPUOe0rBa8wN7nvYp4teGwE0t6dpOmMztaCFcV1fRtE9xpIQIBQ3i+hpdm1IOlf8n
SpIzLjaiFsqITRqUwbKp/4miIgQaR3qCuv2jTYbSHaPx+/WA67P5JuJiEQGUSyRL6wtPijPlc4eT
4sHPtGpXOY35VcqCaTdChL1JYdX90kMKPMXcT15rt1sM5LXtSfHPQXmPRO4CLcyZ0cesqsLTeUbv
B1TbXKOptvB2q1GoH5OK8m6+yGd8bJrMEu68R216xN8g+SWnTvSBM4AW7v+CiB/xJuc1wdyYMSJ8
nqFG/mHQp2an8M471ZZSbTyNV8eDtqKoidNQXSKWQINGkalw3GhIIn2jhJXgw+bHG0fnJTiMBIIL
939hxKn3ZkSBXvklrJfC67vhRZnpR9rqsyNHvy25OVRScN823WMIcQul3odUG7B0/K8wt+oAa2er
KRIqGrnswOWNaPLyNyWlII2ZBv8udmBeKX1S3naghDa+q7hcl2erqIGD8gMxSpP6fMByVxgSrkmZ
l2rtf7LWS24s99iNjt/jKow/sOst6jgmj1Na4ku7J8Uc7Tysw9ybraqJUcAtpOpmkKwZHmI+FE9F
4TfzIU7I4U7Xt//aFyVRBaGJ1gyyPov3uVX3dluXkyhgzfPOskd1Bxsf/YtB3rIXWTvaxM0vC5ci
/HUXocI2VUu9p6WCiGD5C70/7b9hLrp6V0lZ6OlA/HSksKvmIyPEi+G1S8m5ugg7mRAQUiPOvdGP
2i9wJrVD2iIfPmnTluD+2l4UwBcwPQKZt5So8itLDQHY5h7GdIGr5YF0NObUeH9LQRi04KZuCui8
tTiw6xDN2lFtci/pSbX7cQwhjnb1ocmkLT/ktSmjTULp3Xzlbi1uo7iY2rSYyxygBjxdt0tKW9sP
wdwcgh7OgDuhB4OBBy6rG7X4lS/JPSvqRuBRBfxgsfuSKkQLEwtLPfG5ENDWplKkzzfXF//K8Mh4
X5/zpk2JYnGo5QpmanD8aKeNeXPTjDPUxiCp6m9VbhQ/kK12wmMtG1ve7St7jh6shuCFkMW9AJkO
RpNpVqKgTDCBH7Yoh3t2beJVEARbSvsr35FQvPpYKAJxI/78zbGdKpOZkp+l3qga4U3Vj9kJm6J3
Yw4BGzgWgCJH4NlArZxHyVQTb8WaKHFaZrseavyutvJ2f3221saCPxF8BAFmo2dxHkXvxponp4gC
KuQv0Phshyud9d/1KGuTQ0eLw5BXsjiQz6PEndnJrURd1M+c+JkGr41Bh1p3N6k0BRup68r6Iwsh
2eEtq1MeXezkiQSlGwYkKnqjKe8RTeBtVzCTxwopr0Or8AJCnyTvNjLZlSEiJgqqQdTUqcyKn/Vm
UQwoD+BUkNCNSTEOaOIy3uXaQB9d2zSWWOupIa8kZoxOIZ2DxdKotDxveiyJyJqVP5IScqGV5gs8
05/2kFmYS7jpg7LTN47IlaUikF4WtQjYplxv5yN0uiqKu2mkaJX31nE28Uw0tdp6f4oA1gYeABgR
qAdLsKODnbBM2zP1ImuGaTXj+DA48000UFbSsk3XjLVBsVZe0Q847yx9yCRZHzGEAJ4kUxE+ob6Y
3GlmMmyQKbaiLNb/gI2yrcNzoesYdK6phgW2vNWW4dfaEhS1G64WxwLwtlgWvTny05WUXYaEIIoM
hYmF9IB5bzDrG6t9dUBvQi3WAq6/ZdYYOMVBgoe03kyIiRlds79+bFxGYQsL8R6qmKJQuhzQlEey
BRQPZtFIFTqorO+5Ntp/3x/FIYMSDAXwvBeEyr5Ff2hoVC/ImJx41ppDJGRZrkdZ2bR0vOCLCrYo
gIwlxSyvEQVG71TxAll3c2n6bKb5cWoRz4vk0kvU+JOlJ6fGzDzoiRup8CVWk3abELlDgIaWEWWG
872LUgfq4jN8sAirArwP9P4GrYjg0FvFdF9l6IQxhajsJs6MK28aYr+dVz6iClX7y+516wDnv75R
u0S5QcN2/oQlbn7rZ0lgvH/KhdUatTmuPKSzFveRqnc8DwJ+qN057SnLEmSU5rDdyFFeS9/nDxEK
LVywfA4HavISImY7cdBRF668sTIqzOSHMdDcILPLv22vF88oaijfB8Uv7msdiQQ3DNDR3KNjhmZP
Y+dUhFqtGAYXv6eu3qMrgN6AMWgI1g4lIneuHGJXfKtaCGHsGizLbDfsi0R29VZN6pOOJ3ZwyFrd
6lx5SqbHrpdDvAyQjBV8Mbl6iYqp+G+OYwet9txvb1F052/NdMVvXFK2etphoInqY0ajI9nBYsJs
YE5zHo95XCeHptCSv4MFD82tar99DHkL1Yfr6/n1+bT4hILxx4oiOwHPtCikdqRzHTUrSjezNv+n
Ta3hjYmw6Q4UJftRlIn6N0R0IjsAkkfbehReFntdzad/m65X7qt5iB7l0pxeQHc5J5UWhTsM8/zV
T+hV70kjgn5vKUMa762YixSDEZjpiEjV3V+EI/QvWjVXomHNVbvzMSiJdjm0+l8qJttfrw/18lwF
z8SFJDIKQZpZHHa6VGhR4DsUHyfZusPsC8FydLGPsrCEvh7q8sQjFGuSLELAJJdnkYE3i5+ztjxL
q7Cm7mak7XssnT4ShTo/RFQkBKzFdZSi/1KONU56ZtqWHk2O9iH0S3njxFsdC2YAPHQgU1n2IorT
9+qoR3bhpTB3ESw3zCNwA//T9bGsTg5lfAoYYMHkpVaoFpeyU6MaD62PqlpRIErVz2j1ZhS+Ns6m
y8ySyaFowWUEagqY2/khmtpVXmG5Vnq4atWf+lFWnpsax7fAGCavVnwN+4Ym/3J9fJflfYJid0Ln
hzvwQia0zKpJBcdQev0wqs8o1wenpimChwwrIJQ9pObYFXT3HEsyNt74K5cGT8XX2wLMD74uix1e
OVYj+TblKdVP0/KEpH0S7JTYsD7HstE+yZGTAZ7HL+OnbvjGL6128PnDPMn3Zg7A56GXWzZlXMg/
W3p3plvKYfO5Gsyqcxtq+ebGiXRZXOLnAgYHFUDqePEC5DgNR1pcBYCrEdRo5vh4iip5+43aUnoc
ynT8fX1qtgIuzgVZCX01zll6spV86frceAxwdX/Cw2t6CJAc/UA0gXiEz8wqVNXz1VeqvlHXHcML
k7x9grDbfdGR7vjay93BT4duY/bXdi/cX1a76CCjXXIeDs+6MM9DDj27L/wfDWionVCE38i91nYv
6R1lUKHMCTvnPIocT5rtyxxCCv03LI0S6TkZtebTNErBz/d/P9iIcGMMKDIXQCs/KnX6+TahoFb+
49R2fpJC2UE4yLE9ewyyjWrL2tBoikEIpwQIYEc7H5pTRdVUBVXhlZmZfip9S92heKIdFDk2NtKZ
lXYD+qmirCOiCVTIeSwp8nvJsKlXh3QCun0SR7bpSvgbd24HUQLKrF0PNG1jU3tWcxMtJHsAjXzQ
qsm+weK231R8F2fhMjsAJEh+hRIEpAmxvN48h0OIQEmb0UXLtL5pkMUwCmStJCP2NAlk0kG2KjTG
QtXP3VaCfzpoVfavXc6YpwQw7r6/f+5JhVCfEXLWF+melE3COiMrPVvysV4wg+CrEcrpXoLPf5CU
dH78QDyaofCJXltbi80Tz/g79ip7taZcCSpBpfWTK2aBGFRq3k6Q3eONy/byLCJdYGkjCQWdk7CL
7z3hpu7kYnWjvOL6FbYhMDn+dub0rZvyLTf3tWgUm3lHUF8BJLnI0uuxClttaCqvn9U8xq5lNJDU
nfA8Q2jt2xhL5ufrH/RyM0FXFm1CuNGw1Zfvl9IvSr5kXNMdlfSD3sjNU1MO9T6EYPfteqi1scG2
MGCL0QK+QA6aWqNzqhulVwJ7esYRoE1c35f1wlW5cm+sJK6zjcm7PGuhqYBoAy2GSAyJ0PnkVZi9
yFHF5CGiEh2MEVnieZy1jShiUs63JFE4IehpUU1nZOdReH/IVhiPpae2SvupGysEC5t5yH5Jw4hr
ZhcISeAh3Kmy8CrxNS3emMS1YcKbE5Lu1NuQJzn/AbmRpX1PH9ILc9/a+aEA8DpJ+O7kFljXmyiL
vWdh9VfHUlF5Gszpfa5H2j5G9W/jY17mgkSB2M60qcjHL/suoz5H2PKM7ACtim+SSVV+dGh9Hwaj
Lr6g6Vzj/JT748a5IqZoOYUIfoiuJLrOFyDscIB3J6V55QVFgV5u2wTDlwK3r588evrfZuyHBx94
S+YaUD321/fF2hZ8G3vxXQst0BK9zSova/30tmgM6dAh7fXdaTflhVaHKaTUZCr6QGcWoawuMQ2j
N0vPmJQwOxRJqexGpdH3uSLRINHtzj52KYZMFr7op+vDXJ1Y4N/US/j3QgPC7MEiY7lewSDHal6T
/w1KKUaGo4X+Fx9RLH25Hm91U7yJt9iVXWc5c1QRz/TLbq/bgHgT1X8/6JrlSlEFzhEkPxSVzrde
nyNtkVtMXo+ZOuRgUvCOe/Z4fSxrSwT45qv9Ni7gS2SuFc1waEu99PK8C0707TjRAqV/rqlYPl8P
tfbZ3oZSzwfUSVoxZSZLpMNewNiRPYTdLqt0/+v1OGvLAZQrT0tuVjFN53EUo7aAHnWVN1mSvG/j
MPuVB4E/upHfzY8Y+iiInzp6ur8edu0SImERjCqaJsDHzsNKOK/Emc4hJhfV9Bf53ZTyZ2pTWTIr
y5PqCdO86xHX5o48hAaaySPjwu0jUEx0gFVWCKj48KTltXHS8dvAq081nq6HWsgiC/y66IyDKOYq
oPK+pE4iiK9BUBlrr5LT8sbpre7b2FmZp8h9c5+nPhKg86QC74AFsnfaxHocIZXvMBPFGhgs3Ld8
jPpHYwhr7/ovW1lVOi4xKkhWS2gFLPKaTo5SumQg9rJsNF/yaewwGMQfLdz42CvFYHI1hHdEQspT
bSlGZMkd5xfmR56UdM6TUprRobaj6k6XK/8e5ID9PWmq+KiPpu2Br3O+G5MUWRu/YmXKKWQYsEAg
bUNZUM8XWaBpE8hWAJdmCpgTDe/iOPVBGGFgaY3vfg0x4DexFvkp5u4xzrQKX3bQpN3kJMj9Vm2x
m2tjPlyfxNVhid6RcJVHl0xs6TdPD8RPGysJm8JDk7Y91Ubb3KhB5H/zwzLeGNXaehGQJ/H0Epj/
xagiGKMW8vWCXxmbp9Eqxp+51Nsb+2UrivjztwPCvCid4Tp4XQRJD9Hg4mmki/7uHhXMX9aiECMF
sPq6ZN9EGWcr0fSEKIbVD6gs+9qhs8phd31y1la+ASiAZoR4qxivBq5vwugZU1OqLDq9775OhlR/
UWlv0+XBXcDEbaAejoMijZgQSsjS1+3G9b7yLQkP/IjKNYj1Jci4brJ6apET9KS0jxrBpMeiGhnh
LWO1lQOc1FB4w/E/aqyLlTG0E8Z/WA94QLpCz7Hn6pA2su2CGddu8HPbchdYGxcIY8rTNgcKB8v5
Ghl6yuYITeQgtpXkZYwd+UmeZmt/ffa2ooit92byZL+16tr0cy/s/fLQDWW/a7P6v/cHodeHZwmV
J9FpPg/SpaNkFIGVe2rlq/e53JsHFsOWWsvaUOjSc9gDq6dzvzglqmzo4zTnqFeMLLrrcT64N7rR
fL4+lpUaKugsjTnhaccJu9S28+fZjGYZdHYNg+JPEsf9T0VNnd9ogDcnK87xS8xx9TlYYRbtpqC3
591EB8ptAn8yaEYm9p3cT8ULXYD2hwMA8oDCenxUuyzdOMvWVixmKUgN0NIRD+Dzz+7rvYU1YUa5
3tHu8tkPdmU+Pqhq97NAVfv9Fy0ldBBdVLRhPl7cf0Yeg80DlkrrqrzLAlO/zRslLt5/wxFGaLrB
XsL0ZzHJumn1ZdhDSlfycPo91HgcknIk+5Da9cbTbG098b6m8kKeaDrm4vM5Tt8ljczWKOYg+w3D
SLnJIMwerq8n8bcsHoAcnQQAIU6HaCknKGVGmsWpxqptVeneH2pjP2S99pB1drBxUq8OiFSIagtw
OB5i5+uhKhWKohqh9KrI9tmQzfs52Uw7V4oSYnZgkpF40RkXq/LNiRL6BRK7vpNDZLOH/ehEux7l
nbLxH02r/pfHfOzSlddcB1TcxuJYHSBLAGUc+CBc3+ehHWjGClKDuVc2yDLVSq/+lhCZ3TgBtqIs
TrNglsI5rRlgOhpx6FaRHt3pcRZs9CJWvyPJJDp7vO643M4Hk1cTSSaeL9RWygEshjzhEZuWwTEK
u/GzLoXhAwY4zS3ev2SZutnZGytz5c0umhP0CviiNIsWW601O2XCRw/0QhI5n4pAiQ+9LMlfJiyY
PuU4ah9sq7A8/mMn2JjIlU1B+5ky/avLFsIa52MPIysNGwkwautY9YMK9exnpozG7wL++PvPLU5H
IMwgbWl+L18utWRUVStFIEQdUz5EnVo8YMJifru+y8UPXuzyt1GWXJAmSEJNSYC8ZrZWo5cZBg9S
pzQnZ5in6jiPUXlI+85KNqZwZamS74t+Pq1hPuZiqTpd1DdJxeCywWhdDRJI7SZTiE/I9eGtzRfd
WlJMgtBXF3/+Zs+XpVzgTJWw59tCuDroB3uIf5RVMX5gQOhpiDYWGS0BzwMp6qywNggUhblzFzbV
o6841kbevDYaUEM4jMEXQr5xMRqshPKow5XY02R2Fqarj+Zshlj0xNM/17/b2rIguYNoze2MXOOi
VFT0Uw9JVSES7iB+BydppxWydki6tu12qYIXO5D3cry5HnZtWZC5CBioAz/AXFwEpip3HC2RULQY
TddWSszdkUh4/3VjQqzi+BLcvAtwMvZkSSZZANmNOEOTXVOHY2RtJgRrY6H+ADoZOXYqt+LP3yy9
tAMLpGFk7dloTLhW1eGVqwXJRk1v5TA2WW2IM3ESAt4Vf/4mSmumZQnehShO2qOs0MrGgdeq/TNI
OmwYw8r+hppTsjPCQMpcu4qVjY+5siYhkanosNGd4U232MlSPSs850GzzzO0g6yDKYcUyXg3Vd2w
sZlXvuhZqMXqKPCkxJ4F3igMQWtv19aLxoX+oSBgwlRuN0jTi2nrMr1MW/pYiG2mFfD15qWXA/P9
T0MggJS+QIYhnL5sT5RKo2ZDwBWa41rnOQOXh8ITYeNMWpsaHCqEECHcYZpM52tDyzTURWK+V5MG
eYEQYivtejyo7iNM37+9e+dyFwumu5Alp7d0HivSKr1BnFFQJyo6no4gvslB+fyBKAIhIJAxaG0s
TtlKgnUCDoXFNsS25Sp6lXrJJM9/rod5xRcvbkUAmrzdgWra3MGLlSa3+ljGUU/uG7fT5953Ep31
Zpv+tzoZOv9ORzypAbyY9O0+Soz65HRNVR0S3OnuLCTo21M4jH57DApTv0vK1OyPWg2O6wNrlaPS
wlGY2iYsgfOPXjY0sXGKzjzMzv5McaQ82EqUbTS5Vk4Y0ItUnMAhCauMxQmTYd+LyCg3m9NpoZuP
cOEDq/9uGO2XUNXutbj/1LdIuSXKvIECX1u/QiEOiSP4Yhf9kQFydq9kGfu9NCy86xP5gD0sGPsq
2TLtXh3kK6CePpDAnZ9/SWQF5lIxIXD5RvtPlaK92Fj10XL8n7M1H6VoRBpH+5Xp6ca2WYFToLDC
NUHriQcx7LHzwG3nB1WSQFPDFSc5grrorV1lBPMvrVIb3K2k2nq2UVX5BNOlHw8RbJ760GljRNtU
jc1042m5+sm5eMGsUN5BIP/852S9JGG352TINAPrABwr9TtZSfuDASBH3Vi+K2UA7gtKp/CtePQt
+dyRXiSVpZFMK5Fs7DEHIgMNqh50rE5twEoM4yMbRuwXUXngrb4kh0y+jrvfwFoeaT8j5yYZ/T7z
ZW3LVVwsl+X5QTWAHhgWkDYoy/PPCGOtkybJzrxecXLU7vt5ZwPs3CijrEeBIY6iKw39JX9B70qN
4YDiLiK4f5JRlvdBPCqH64fh2pIQm5D0mRseVa7zsSRmQzO/15CFbJz4n6JEf8JxguB36g/y+588
olv/v1CLz6bPTVioLauvkORkn2JU7tl6Yj1dH9DaZxOPOEEDB5C6ZO0YmdSVlI2ZnK7BXq8qg/0M
ZPr4gSjkfSJN559ljVv27bTIDcZC2zn5Bzkz3zULW/v3epS1LcRDClYk/0LIWBzOlE3Cmes48wAB
/Yad+aT0jbNLa6l343EL1bHyKIAbRi3NEGnYhegu/AvZThHO8Ka+eQgxWv4kZeb0RXTgnuFlAFjR
tpSm1xaf6BVwNDJfIMDPF182lNiFWhRoeXNVO7SODLcMlXknINsbp9Ha6ChpAA7EPoOe3CJbCpWk
rwJJ5bbBqvc5Uuo8dVvVwO3Tn/0fLU5IB2RLtnbXxWJkCcKvcniMEJnT4nyAc4x/8WA1+cmym/JR
S/DuLlJrC0Ev/paz84govLOhgvIOYfYWG4uaVC1PnZ6dBgxT7bvJlJOD2TbGyQ7tcDgGag3eXRn4
f5Vi1rbUpy8mkeg0YtlrPIR4gy+Ql1IPsr7BhPgElbGG66qHbhs5uJwmzdaVsvI5BWAF6gtoYnKi
xXqBAKEOsWmnp9jvHIyHSV6E2br63m1H6fWVxI6TPJIVSxFbxC5bDZGD5MR6Cm/zwfB/oauKBa2B
a9QuUcxyf32fX35C6l1kQbTnYf5py1dW2DWjMXZVfDLCsH5yJHn461dDdwNpxdlAuV+mJIB+wG0J
UTnItWisni/J3JjaPozr+KSM+ohHqjHc9bhYPvaT3P2qC80+yFLn3Dn90NzlmK2ciiaPPgdgrjYG
fTmZnJ/wy4ROj5hL9fyH9JnR+EaWMegha2/lNimOURwrG1Eu9j19AR4TggkEb5KK1CJKiB5wW9rR
qZZVCeWR0X4anH7aBdHc/alHefpcDLP87oqwiEovF7Q9ZcgLXIKNwgkliCk6yd1UP3eaPD7V1K7f
C4MjCnFw3QGlzkth8QUlJFDt1NCjU4WM2y6p2s6tqH1sfMGVFUMYkcohQyg+ppjIN0UI28xKJRiM
6NSOZcNyaMpnYPnmjTFF1TEurRAV4FBPXV2VoqeJl9W+6PvoBY2ZfCODeD1Lzk86gTGA7iSWL2tm
MZtR1nes6DI+OY2lz7scREN9nJEmfnCkGpMjP6Q+t0dDBF9cyYFQKFG+nk/2XGrYDkN3vZ/mUMnc
zurtF9hX2e+q4FRxae/I/sGetcgzJGM2jgroty++XvZ3aWvbd9LQAPfVWC/6rs5afAcC7GJuLH1I
HtEpxH8IMld0iGh7p5+HMk/+SDYymLtMnY07fdQAFpFLjoo7zRW2f+i2N8Yhz3PlFASBUh2lWsIs
paSn+6WNejOgl6dhSuSHWa7utcxJy72Cg9xwlyKGaN6akz8ciqhB6aaYqkrZZ0kybByCF28mLmYA
c6Bl+daXT36eNPUsa6HkoUUe+NDOuv6Atk7yMsRzT8FasNOiWZHdMC4wl+nSreTg8lYjhaOsSyEA
7PtFfSMctDLg2RYjy1KWR2tuy7s5t+tHu2j6ez315X8mgHfUz51+Y5ldnkwGYA9bQewO7B6grfMF
bw4KIkmmHJ0UKbUPZpMDnYnrLQ3vyw/Ms5vLGisbjnyYqedRjMSuTKUxo1M0m9qjkQ/xIJqYanKE
D9dULtwNrFmMebIq3CLJH3aVmQJivH71XIyVlyDdHg4REETs7kWGkmkBwBdfCk6OZPqym/SSuk/R
pd6Ca1xccbg5gIIWTzNUAqiOnY8WMk9kGvUcnbQ+sT9TNmO9t5GtHtu+nbf4VRd5M8EomAj+Dvxv
tP7Og1UwgK1S66KTNCp/MenTXH1SHgZHepyl+tf1D7g2MJsbDClISmQXffnambtCKszwVKh+fWhT
H+/zaK7ucEzuj9dDvSYeZ8cfNWABrxKCnYAAnEWBzC8QTczaNDqZVoF1vFpRju3nYArcqZtN8J5m
3FChkpGd9IETSzt78v1f5RRJv4ZEtV/A/Nq/uwEIlYtvdYCiYVb7Ln7y2XsLDfxQmvGgFTirkVpa
/FBA6Go2Yop36pte2Zk1N1Pf2slutMctcZ6VBWwKcwYmmu4/mMPzua5HvOU1i21kx0gNYq5Cn0sZ
/I1tsjLLqH0ZFDJolwvUz3kU1P10ew6S+AT3OjykgcRYNDk+zEmxRcC4DEXFSLgLcfhw7i7pWZlZ
BXNth6qXtknyJ7UpLDhaGX8Lanra1xfURXIk2JSIaaAUT7oiL0Pl5JwlAiqqp9XG16wObssueuJW
+l1N+UNTl+/eKroAuIkznUOPw/38I8oRBWsoJIpXhq198jsMVmJDLW9TBH7310e28hGZKoBK5Cws
wCXDsgYIGcK1UDw5t77OdjLfAOJPXEVqw43LYiUS5A46TeJFIqT+zgfVwaSDEK8oXjplGta8Zbcz
S1P2bAvc2fVBXR5rPH6QaUaumCnjuXUeKq+ndDBtJICLoG93HYwjJU3+2rG0r2lsbAS73FcE41qA
qYyTBbnAeTBTC1SZVE/1Gg7zRznq/4+682iO3EjX9V+Z0B468ObGmVkAqCoSNO3YrZY2iFarBQ8k
Eh6//j6gNGe6UAzW6bu7Ci1E0WQhkeYzr8nve/WqB/WLo1BBQJlm8+3aw5M14McCApV26jt7ecxy
1T6oaX4tDb8MYZ95DgSwzsaGJqs7fxgEurHjxU4EB0HRHua8NqPB6eYALjZVSUvG1Z2S9cVnqQ3l
F9GZOPeOlXMYRfPDfrrPn2RTatsY0xclndRNYPIJR0N/cnICbdKIXy1PHEvx41p6DEXoRixDo4vC
925ldoZZKxmonJObSusua+v8pl7kDwtIb6NsGdxmgU20uB8l89zCyy0Nw2Ntuu1qczjGayuvpDra
RbS0aQ+DpobADDSFluj5G0zjdnaTtOBUtDD8mQ04aT6SQ0lAAD8HptZCX1aMniDfG9+lDYrewepY
1b305uSEoVTnN4lCm6Fo23uU9MZoSeY2HCu4hb5BZeiA0ZRXXdlDl2eDtZkV0nGgDIj65f5Du52S
5dJEjzFPvLsK3RG/nz03Slfxw8KJXEugdYDAwUolxNrduMo8x85gztDH0aA+aG5vBZq7XHOhvdyu
GzKIxYSwGWW0PawdbK1KBd9bTlVSTr6T9cIvq+Wa5P5Lo9AR2qohdKQwojt/1yKtVuTv0xXiVToF
VDH0UPTuD1fNoMehz4SmrsY1CD70fBRFKK6Ha+4Mk8U07ty4tv80B1w8arfJfpXripJJ6tWfy6bX
D6+f48+gxP/EcaDUtuI0TZitqQ5b+Rnr+V1GvebKYq8UV05NO6mIXftL3A1xFVp9Ps8H8CdbeJEW
bs2adowTltj5eBI5lUrE0DTZpUdP0lV7P9eWmmen3shLfTnYQtH18dOQQn60fMnL0r7JTHSrRhnc
zerEXxVKpMGkI8DkhiriS9WTArfeCWRpIWWvKzgo3yK5vc43yTis3kmMci6O5MHm1zlOiVc+lluF
wPmoArZTm6M1jEPenZoqngQbsKztxUCFJiu441tp2fExGapYBmlOqlOkfubYlNOA5SlqB5XerYuB
CiVQSh3+4OMSt9A+Fz9Zp2Ws39fUVRQBtxftgNw37L743Yq7JT/1BJ31QeRp3gZTaVi98iaz0unr
3GRmFSyVLlpcfmP7xzxBN40L4hfkubdmFmfqHr+SIF6A/RcN2bhevdCO+zoq3Cx7oyxLcy3U36qm
3y2Rv8aiu7AhWwkq9vjMLsHgp5wBTTo2Rh7IfIhPnp3KKEssJCgHjZZ/0CIL815FVedrXJioWrXE
Qdf41+d78fmZiXa3ZcpCRdVzd64kbTczqaAM4mFJ3k4rIqZYof9QuvDXIKgDIBFMT56H3UXXhSv1
OTNsGncaioy+IuLs7Thb7RPePuufr2++lx6IZBs6OU0HkpPdAymoj2Hbs3UguecDDLV1O5Stp9Th
lXHOo7W/HmpjV3JQIrRAn/D8fAEpiWyJMopT4pX5h3xS7cSfKyeNmrGhBCWHZvkFDere8qmZOffT
MnmFj0NA20WxlVaJb6Ue3uxSL5KPwsmgbHlV276Z83Wefa5ZtlHtORO2R+us/IbqZPy0ZuXwEJeJ
RcKLkD6GZ3kD59CTjXBvRF7DfixTOX9yZLK8tSTSRJh2x55frHOnhs6E87xftyJ9bLqkywNEagzb
z5JRWoeh1bTf0MOYJ4y/lOYXmIbSOEqpUzt1SR1UZCA78bsOTc+5LUiW7hWFlvu1Sb3cFUgubJEi
fDZDvZBCqIEhlR2dV2X2QLsUsfZAvXH9+PqrO688/fXmvh9lW0LfHc853nV6XdAJIyRANGix3KCp
Bv04oiJ1cPO+5GWl4omZuoZmP49y/h6Z5UIgtQWq+zUjCCe6pAQ4GRO63Rh9Ox9iTutAw3/gvdtp
y02rJdmTm+jjQzJq7JXXn/zF8aEokkyDZb64E4WZTEqrgRetu5SC6VTlv6VKMQeVUMpH0ekpmo7m
8tAro/cpE1K7Agm53JtIEW4HKwGlBWdxl3MMZKnci1sDPy7cW9sY1zeILVw70p5D0vOzlRoy6TWh
DNoDNEHO32/nlUU3lmgjccUNrT8oqZeGKk7FFpwozZnRPcwrL0AuBykpbbEputlelXdgJXLxhwMJ
/GM6GErit3HXeod2bPvHyZrRCHVgHL7V22T4KhIXBSvFa/S7RptcJ0TKADG0zYHhT0Nb1k+Fqc8V
zAhiBb9znFkEadmqGReaSWlnHWUWH3uEAyLRFnp2O3b4bTD3dnnTdm3/caYeda1Huj33bl6QtQHl
tSm1ACrbnVhMtVtXGQpB8Tg2qMeWDn6ow5NrKNeYdZdnI5Wa7fRFs5oG0N6hHJiVxAhg06s2V0sD
u7Yo901t1qdWxMI38Bi8ppX70rPRRQYvR/GP7vbu2bRictc55thfmqQ8rHn25EkF50g9Ha+cHi8s
Yo28Tn3mSGMAtoteZ8qRg1aYzQnud3MYJ1M9qmK81pW5PKOQ1Ae/+IwsYsfuuq76Ktx1SA0BVD3+
lWhlDEwYxJzXatDVUg/0Rnm7tObt6+fDC+8N5U62JtkrhfG97WqT1k1vVAhXgYFZyb+mP2cj+ZTV
9be1j39/fawX5pEjkM4dBwJl8ot5zJFYKWohTzWm20FCkTWsTO/va/q/vs7/J/nWvP1reXf/+m++
/op8lcwS/FrOv/zXG/Gt/tDLb9/6hy/iv7df/Z8f/df5l/zm3385/NJ/OfviUPdZv7wbvsnl/bdu
KPvnQfgM20/+b7/5j2/Pf+VpEd/++dOXP6qsDrOul9nX/qe/v3X7xz9/2vq2cA6/m85tjL9/4PFL
xe/ef6nEUCcv/ta3L13/z5+gH/+MCBnlOHIfxEJMdsT07a/vGD9vpCBYy/S+Nz2gn/5R42yd/vMn
xfgZoRai382bGaMuqoY//aNrhufv2T/z03Q0yNyQ798cUH/69xycvYf/vJd/4Ov3tskQkvnnTxev
n1LN5ke1dX7IKPZ6qmbVTooxJCbARHTW4Quqp8k1rnmOXYxCH4vFBbyKCjJktd2N06qyhK08Kaex
LHWQgEocOpa4Vn86r7NuguMq4D/SPg6fLSTcFT6nBNsGu/RiaBjL2vuuXur01Qd7OpluPP7uqEJQ
zU9FdU3y/KWBtx7eJrdLb8DenRKW0FsVcIgCP77iYKgycafhmBd2TTacpOuNYaeW6rvvVtrfb/L7
N7c/JLan3dj4W/mag3YPelSqKce611CwAdDSD4ozdofFkuatMJbxwSqaa8rT24H6/bXFeHT4NwAF
0n1QlrbP8124FqfFsiarq5wSLWv8UXTfal37VHby7eSWH6pYE8cqn24hDF/Bzj5zb/cjAyWnwLZd
mugQ7EZugRwm0PRuCnouv6uzXEJ8GJbD1FvmUbfW9DDXqndUDQo/4CxVv68a78tsth/HIZVfptW+
qpX4wuRvZ7NOjZhYip7e+UdqBzOWWm8kN7Tsc3ZMvRxga/VRkxTzcUJaab4SMu530Db7m0z7tuFR
YdgPaDtpqsiaAZPWnX3PlQKIU3Wto/fyKDh9s5IJ3PZ4OxfFxGr2zOTGRPGUcp8qQ1NNrjn2vDB5
zwEoj0NHFnD9+eRphpjB+NC2sqvYcv3crOWdTJvkPrWtCsAsmNUfn73NcYESFmBSHAO25/5u7aqL
hTyu2TEiLI83vVYMUZFpztPrO3If/PCOOHrYkUg6Yxqo746BMkNUfsFW6UbBq4oCe2I9LtSKTsjw
JofXh3rhxLE4+VEl3rzxSLPPH0iRBLsgnrObvBXt+zTdEk9PnQ9GKuPSXzrM1Aerta4UEOi18HfP
tyJxFcQ9IiGP8uS+XjLos2G2yHqfirmu4e4Zo/5AN8EoA4AMyh9a19UWmkpeHx+EptbfFIrzyl3f
NvltRoWlPYxu0r+nxVaUIdw45BHQMIi9EAtVr/PLXK8SgLFK86FfbUwx0k44YziMhrqEhp2bDyJ1
cDYsXXMy73Kjtm5raVrTMcd39z06740IcF+T9gHcmflxELVV+FRqkw/bxxaH3sI+zIdF6qh+PI/e
17Fp1DHA42BqfXIUtz3pnZRmkHpG/OcUM7e+5STL+IhpR9768Ol1MxzaTulCpA9Buqe16d6bq56/
U63Uear6jI+XjNT2wnpMBPyNvtA3xQKIbL62pjOAg6Yz2pDqWS+Oee9MVWiAOnjvpLLLAmepqzFI
6njT5R1MDbpR3g8deRPel1WgG6uTfjJrs+yPLZ2/5JRXo7uccpT5zENRx5V1gHujvHEAnc++1api
8NOpGBFl54pafUubzCTgaBM55F0vvrc8zsnAGcf5NwSOexKxtWqQ3FunojgaZqnagQpP9NadHRvE
qD7pJMhJ89nT8wLWu2N1X8GooFtYmCY1ENAAyy9IGyqWb5ZthZoy01/RkM7lk4D79ptqCzCoFLi0
J9tZCpQOPV15i4FG82VQEgXRNoSCngY7Kd7GytiFsp/0Pxxk6zJfxO3g+LE1kZFJOCH1AVCW89jm
BANBijpZVFHtBPxDvXby04V3G5Szpr5Jky5dg1S3SuHHibX8id4a/mA4TOkDUCHD+01X5+5RM9p2
OPEugOunY98kwTRZ5VfgoGK9H9L7pF7NQ2lgJ3Gk2lreJn0XTz6+x57nj0MtHT8DXKz5atWmb2er
+ZCX8eoXnWxvvF4Y9lHtDOUNCBdUiMuhaP9wdSE/CK1w15AykvllSOb6ySIz9Hw1B6kXGFmZN0FW
50Xu963WglnJJjNKVGPKQ7fIl+xATFO8laKqK9+RmbXJfw7zfZ0nsjpIOfZjMA3S7v1GT5x3WG4Y
b5YyHj72lIDzoCozE8NyJ1+ZDThOqt/V/WelUufiAHfH+mrEKEP5dC1x+FZIg5D8zMv5pux7Z/TH
DAApyuhaU/h1Zdd2oBeroRyWNbY/O0ms/pLTZnpMtFiLfcXJ2uSg9Dk7cqZJ/DC72+xZbV2robEO
1u/ChY1/zDQF984hLcY0MHLTln6e8UHMuKkKlO4cr7zvzL74pMSWKH3LyucYmwGh3bmuTEt/dOfy
ERH0+I5iJ/59QC4hDMXmknVYpqvug0RjhC5UXnYitLLc/lObcu0p1ZZe3vQJtVP2rayyw6LpWf6n
na72p7SY9Nyvc4+///op/kJks1Gw6L0QPGK1cWEMMWaqXjVmeoPvT/kbHhJIVQscaY9UVKxjiZ8I
Dyf1e1dZbeqLTopLL33o1WnWm9Jw5Y1qz9eUUC7jPPrR4JwB/4GoJg85v1p0ymHGusTpjUu4cZfE
qfyc0aZ+4vgdPqZ9odyQZiehJQh3RhbUlWjv8hLd7rNN1QlkHCjy3fCt0sZWpoG2VNtuuAOutQZx
U+uPWVw7N69P/2W0w1BbN4/eFHXqPaC7Swe1b3Qnu5nr+Q9OizZsjK46/fggyCQAvN8K4QRV59OJ
8HKO+zHP4yLv/lZxFN0Xdr1+eR7lh/Lrh+yrbLrmz/48mf7/PAsHXOYa5HIs0//6d557kYc/bnnz
Px6+cGwO3yfj3/3y3+m47v1Mt54kdOunb52J/0nHdfNnAnm634DLKA1vRe+/03H9ZyI6rHZIKTcA
1LZL/52M6z+ThcO+ApnvbYwbcpN/f8j/RTK+F1pjaAR40f3DOIsFc2Ft4eVlWlvG1ET0KqY7W2pI
rjW6eTf3wjmggoSs4jQoD4rZIgO8ZstdNa1mqDlV5evYIHOMFH8mtnlN9fn8SODJNhgcRXFOBBR4
KEqcr2GlbMfFlm4ZiaLUw6pk05fFKg5GMs8P2egkR81JnVAgb3mYkumaiMpzQvCfqHMbnzLJ5gaJ
xQQ7aA+SqUrwW5oyrFHhVOARMm4/9LW6o+0V8pimUwekvRtvh4ZGkF9mfRxYeZIfhjlujyKe6rtS
9I4/eOV0qCt19ElM5C2qENXtamXJj+kL/PVhQUTSw+Qlol19PlkAmYus54COZC4MX2TKHKTCc0Nk
6bLDd4v8hRLAHnDzPBawHs4WWoaoFu0yqd6k4Fou6RolsZ0e2iKzuSCy7kPZleshybTSz7Ilf9Rw
YQ1npuSJPzE9zFk5Xzm1z/ORv94QrfbNA4SEmDbm+UNn/YxbjuIsUWwsnxRBWd+y6cnV7YaYd2MN
k57pmv/w5ZgQRzSo0ltZCejU7uG9rJ6QW5rHyFOG4q2Z1zX0Yh1wGPyjd0bX6b8mtKev9E7Or6ft
QRl0qztT0Nt8BXZVEPw62saiLxQZ8aj6SIY3NyW4y2M/qNeUTc+vp7+GAjRBZQ4cGvWW3a7zOnRG
16wbI0cZqhsVC6wj2JprVP3nrPR8c20D0ImgSLkldrtXJ2ZlNpRm1qJRj5W7wk21W1VmDY1MzIjB
xC/3aMUUd2hNaid7mbNwe7NfehKncKC/9gukJPdkDeYSjBSFbl1o8qHq9q3vjnp6LAdMRfy1TONf
Xl/7L7yIrXDpQWnb4oQ97MqpU22OXaFFhdZbtH1cJ0hk5gQDNPMrYdoLL4IVBp6EVw7EaC/vIqtq
Vdcq0yJjHpZwGcvqiJz2D6q5sLI2GP5WUdqeCSTT+RYiy1jQlzDUaMTX5CATDYKXWIbw9Wm7fBZG
QaOU+29D6e2hRWmmqaJIXDVying4Lq21+kYvrxJzLvcmU8UdalCqJkHas9WWdQVVj+NGZKO5iDLZ
Eq+/V2OWs7TITlN7w29mI92Gm1FLWuuQUKU9tJP0HhyvaYAJAUqBXKea34q6ngW2EOrUh8qa4a3T
VKbh10nFEutIRQF7DWQLvu32gkRkVOf7buwByMjKKDPfNurh8zCbuC5AM+sjUYvBvaHGNIiwAlTu
+VKdSQ+1RVcwqK8KZz7U5fJRCKNLt1yuswJMltLhWMs1mY5tvSS3Y7ZkuNfLaTYO1JUw0lTsrjxa
9dp8lHAEyVq6VLSB1QnvWtLw0tRuSDf6xlRDsTU8Xyf5rEs5j90SrbH2FTuV4UkHdnmXa8AOhmlS
PpmZ1Qevr5rzss92FAGjotJEwRNxPJrm52MmIMLLfhmWyImV+qjWXhciK0O/PlnSIIfpdvv6eC88
I9o1Oh0QjqSNMXE+HsCJeGtnLJFmNpNfiWl5l5Lk+ZPVFAHeQXNAVP+DXj7bQ242PmB+N7wYu+N8
UFPomVN1+RKpHVO5UJ3y4S8lVzbg5blFeIeYiA00Zuu57B4tKxEN7MZljvqGwsAiZfyUiSoNcBm9
JmV2OYsARnlzm1ueSii8G8oyQeE0edxGs0Chl05jeSxbcGCTYxUPuTcbd4TJyhU+/eXzEUOghoWc
BiKNPOb5LHpLNnvObMioc9oF0iEFjH60kGYR7pUGyLbozi+u7ZgErIpF2rY8d+8LObhUzwfZRro+
x5ZfJBWeNYocldZHk7ipjpaQGGUMSo5RGjWM3PvhXQFAEwwHvSY6LTB8zh+1gQUMnm9ooyxTHb/J
qBuBd+kPHZ7JxyrzrrnCXe5C3AC2+j+xOPC4fcCToGxspsKWkayV6qZzSu+m1+o6qAZqhuOgXnN/
3tbH+QST7xDuAFSgSE8ScP589iKsaWjMKkonr7rtysY8JMr49PpWv3woBuH1USsi+ID6eD7IVFD5
auu1imJn6fy0brU3XjI54UIgdsthNB1eH+9yfSKVwcsiydu6qO7umlXKIVNHV6kivZ+HDQxi+aWM
k7Bu0vT/YSi4y5BvKWOAqt7253ddh2IjMk7xVEWDbX0zVqnTvLGTMBG9eXr9oV5IBIhIobGA9IB4
TDf/fChv0ZsSrHYbTbRAfncoehmBodQi9ZsyGQ9xM9eUEKsmN3y90d32MLCEfiePLH6LYWpeu/8v
Tx7WJ1uSM3Uj3+1zoDXOTMqHloiM0olvaCqDL1atLswrIzsmtEh+w13FC398Era0i92BBRfg7F3A
nFiNqq48dDRZaXuTTksPnkGsj+ViZ794M+Y2DXHAfY1yGuS7tr9NZN3dAU5Xj69/khfWNCEPisn8
Cy9gfzCM80RCDfs7EqWCCoypl+gza5/iWbmd11lcGe25K7fbp5s+8gYdpQgBF/r85dvUhAUlVKoG
tpw+2cbE1ShQcPkjIaJq/Eqpy9qvJyHeGfGKNDmI3scqJzC/8gJeeGyT3j4nBmvxMvN1h271RJlN
0WQ4gz/plrhTk9bw3XTALNMWf/7wLAObMMnEYDnBtd+d/9Nigvfv4yFKncY7anaWhqklrFNf1sNt
gc/A29fH206i3TQ/X9jE5xzB3oVSTJ3Z6D8kY0SxwfUTw1oiSyTdlfvzha2zqUxs3E2KLXTZzl+m
M9WNoc9kfXM+JkeaC93t6DhPSqcdmiW5i7XhWkTy0vohSOA8VLcSCwfJ+ZA5JhZ6phRjZOdZGxYT
XYvZMMDhrcsYmmthn/rYaUJ8obqHhLbkqYvp/bw+uRdrh4VjAtXnViP+Ao9y/hlqlVp8BuWYLSOb
uxzbPjonNHNibmBsk51fXx/u4l0y3LMcCi1OZnuvmpQsbtbXqTJGOMm6N0tOb60u0muCEy+NQnmC
WH0jABLPnj9UpRuLpyjLGLlFU4Z9ZY6+6a3NlTDkYsVsew6AEXpTsJyJ9M5HgbzhDA0wxUgzwPFQ
MAfan27gVqfN37Rm+wn2lXnlaru8cDaFAFSaSfIAIbEfzgfNU2Voq0JOUW+oCE5tYB4EPfR32pjS
bBziPD95BE1ky0AuY8+Tb2Qyqd9S5EmvKRq+sHSAsVrwygwKupSLzz9KbypTphv1FNVx7flL27i3
jjK2fuNhgdtmQv/x+abeBHKXEYni9xygBnx42kuWqrKU+peWWsljOw/DbTzpY7hkTXZbz+01MayL
sGWT30eGwuT9goXZe9gPOET3FLRnYs3cpvmSLbe2Pn+oUiGPr2+Nl0biSKW2RVGF4tPuFlW1yht7
Q6qRtpRZsE5kwc3olQdEb65xcJ+RxmdHKk+F9BZaMywGOj67mytPjGFZQOwgtSB1GGKpkd4sq64f
U4qNp1FdjCe3SPW7uLHUo/QUw1ey0nxL6bYNukFqNz/y6Bucgat/M4Snjg9Xf0+QyGiO90aappFM
HC0kiHC2UfSDEPY1PvX5LP97KI5dyrYg7NXdMd+vbmUmfZJGSBNgEKOZFTDn9AsAguz0+kPtjve/
hyLk3W4U+IN7z8Yis4BHNBVDodnlZ92a/oLiRO1XdCYDM9e1cG6XIYqn9Qae+nLjLp78oavz3x8B
LjJlLbiFe5BphTWyOwkmdragJJPcqKeeW/vKHXJ+3D6PQsiFBCD3M0f6hXp8nsY9sLgE0qnyzWv1
/IAzk7g2nddG2R03tT4DBEQMgOm0l1+XeChOy9qZxyUngbDiYbzJNTu5sxM6/m3WG0Gr2UW0xMtn
e1I+wDgvI2hiU/j6W37pU1F/5wTckjXIkOeHIBpNiLa4TRrlovOOzkJHqJ3AVb0+yvlV89cMg0um
D7bBUy8izcTq67FNZRppJGtHGDZD2Ir3VvtoVsI8Aha5ZnnzDGT6zwnxPCISB7QVKJfA09pLHNCM
G3rod1mE4hWAchRDQkNre1gDSgmmRQNfmVaaj3y4FpZzbYaKUZfvEk1kD7BtigAeR3NAndv7WBZK
clonp4f4pI1hZtdWoGjo+9oDJBzul+KQlnLyV29RkXswzN9s/E2v6UJt+3r/PAR2KgkvT3QR58g5
WZvec7Noyab1gCaSGwwuujNj6VXHQc01PNSr2m+axHwYTbULVxoLV2BcL5w9aFIj64N0+LNs2vla
SWql7ZArT6Ny0aYbWDKuv9jIVGw2Hj8+FJBYOGDg9DcBhF1s0iI31SOpmkeAlVAJsOavhj0PByGz
HxMpf14opNlbyZDVQni+CyDbVBumYXHyaAbI9ViIWv0tA2OCrXB/jZ77fMPvXiI4X1olxI70a/c8
97nnnF2aPI/chkjDn+Eopl/NSo1/LxVDNvdVivQVYjKZCDoL7olvZrGQYZdpm0yHh+CyX7MSyqAb
zcTxjakb+KDkkh+zCT+p2pxbsNiKpmpHXU/Em7FXAJT2HbDTYEpo2PjSinFa4CyHnYZT8psOiEvl
m3IErhNXc/W4xuvnuEzLzjdyt4USKpvpV9Wt4tTv0LtEqK5dqk8Jrjd+VqcYzGZtn72Ni0EWYatu
PERkm/xO2OaxUWtEm4aiROhOHW9HobYfsUgwHl0vMz+6bdc5x7rzzNXPpZKZvptV66+x7cFyGzu1
+Rybqfwk8XjS/FGLO/qUnbEah2XmuvCVtp/sIDdKi25avqYtEEZvEr4cjfHeGw1K6aBnsBWaM90t
jkDrRnx5wRn9ogNI6UHE5daVy+o8ntxW0nP9F24ozbfNt+N8eywINLtqMtWRAnM3UKpuCTsZ5wid
qo/ZUF0ThLzcjdx3z3jb5wr7vuwsUm9J8kKroq5upkDNC/cQo0lLuxohq9eP78tLgqHQbAcyvhWK
9syjapVxK4VdRaNJhVJaZXISTf3H64PsdJ+f548yJzJE1GLYj/sKm0TXOaYXXEXYomUHTWP+JkqU
B7tZwlLL3ySyC6dizqOmarRwVMfssdFDNw486JBBkQ85XcM2vtJSeKYenW9a9itq17CLyV0ujqIe
0bB2Voo6Mus2VkMQvH3oVBCg4zlD0iZJSRMfCw1btzCRxgAmby68+7kZlPlI+Jplfq7U5mc5rEl5
sq3acUnmdAkCzhBKetSs6X3toUPnp3M8Nz4lt6ULQGVwQDSuI0w2k2ksvuinvvZzwxhPujmOkdr0
SRU2ijHaYa2qcfqkVWv5AG0tOXhFrwrfAw0qMXTRmz/iZejjI2bNNXydZlQeZIEsGyR0ywp0aJOt
72idfDLNcblvnlWAltz1Vj/p6rrzJxEDX11NOmq+2nTF56JJMV5nk8vxtEnbX2sbPSvbnM85TVNk
4KnRw325QEQLvESAL0gZIXjdHtNnIcnaVm5Tt+nvlFZXDkZsUxZs9CkE8Zvcq6MYTvHSKlHJj9xi
IgNRzVbU/kANVX+ci64PZGqND2Qp+UGoYxFU3lC+N6fU+6hM9bWj/gLwTEFtYy9Dw9G3S2yvnarp
SM2hzt1FMw6qby3C5fcZ/9x6pRlbb0esBg+TsSr2+8EEeRzg+NQSQShJccyLvjiSJWOMkA/0yXjz
RmGHSQGRMeyFuRzWUoU7vJrmQRmlw7tzezP3taGov+FRnhq/2G23wDEzJKgbLdVbDtCRpOHKqXAZ
1FEJoce3KXdDJdnvV68bHa93O8rURtwckqVYbmK1XGkmVkpAP7U+isJyr8SrO6Ot7ZTYQFhkmBsn
Ckm0XWSQOSMdvjKvo4YpukfBdTkhwu6GaaGlDz3nRWjDNwnXRsn8YrOrlkX/FsG28oATWXJra43j
O3pX3yuqIR9kqqncbHZ6rV++wx799Tk3KKQFBIzCn7nN3ndFfDC0gK5jTrMp00R9qCXqq4muLgc4
TTZd4944mKWsjxoQzpuVyigRx0r3CxjzMfO6GvBPj4JDnCH41tjrER18+5SzmW/sCd/o18/el14l
00qbiEIsnffdpLoUz2Z8kmqwR6sa9BM6P23njsemFu5BL8spFPFyzbxip5f29xQ5aO3A8mKT7HMP
m6yxMm1aKnJexInXoTxXDW/cEXYSzFMXpjp8lXxK40/mGKunODczXNbBRQam6OVRh2R9D6W9DHoO
xtCdmuL0+sS8kATjwkIhjiojGGzcFc5fYyMhBqVFJqKUC+lGSaUMSFQz4OTVGjSWKUNEbeqxCpo5
+1zY5pXKwmVMQcBNyYjq5sb83UenSZtuqpOpiMwFyJqmlcvDVEjnbllF7A/Neq1V+HyVn5+8gAjJ
hTfWFAzvfd7Uz445qza9SVNPJqjWeWrEwSS0CatWwp+Pph7ntL+SMn6jNa73Ke+E+7Y3p+YtYoxE
o4aYxoemG9YviGNrXzStiPsAjSrtnVbn6leKVOkcWE4HY8CQrvJpa7lcK+ztykPPCwuEF+0cao0O
zcHdS6u6rijWwawjQ8vNEwwO4feNMT+utfOmrTVxQyTnvMsq715o/Vcew+mDIintwzB14krq+9Ib
/P6z7BJsJHQ7yLey5pScWDulC/qkrLxQqxP3BFDpWlX3MixktQDJApjsQbrbF8QXVGY4NXl2y6y1
Y82VHulqNYQQpforLQfjpWcjxaaKSoUIJN2uGIXAoJrHscZYVWEc1qZt7hdQqEGn9FMAEWB8hKIy
HEpJxU3pppX/59VBllpmmBjx9Gi0a3mspqkHGpKXCLzm3NL06Rp/SpKIwMJ6IE4pb5xymI4r98FN
b+C93i9IR/mD7cKT4bWWx1p3u7BQlT9Uu6xux3pNP9W6QJvGLuawHIxfE2+Jjzb/FdSTO16Zhsvo
eCOobhxHznqYBLtZUOhyt1rs1JHoUgfiTsdUILF9fP0keuG9Qn7DkIzlzPLcu9b0ijGlVevV0doV
3qldoSUlbc5smk575dB7aSj4BdubJQwn6D0/87hfVgWhiSYykk65UetkPTDSGg1xL67UxF9YQRaq
jWRG1DPBf+52qrrU65iadhOZgw3qw0ZQiMN28ouYO8ctYJb8+CwCj6YUDvYPItquSC0l+M5VShG5
aC7dNnY1h3NCXDWsxTWNQ5o1zNPuLIUX7xAbIWy9CfWezyP1cCeukn7a5rFADx17GJvGxjpp0I70
OvNlj1aXWaReiSwSGKJDpyo2OksryDYuGe9WjJ4tH5H5hYhKvTu2bue0re7LZmKRNZM9P8WOqEiC
Kkxgb3XoStpBzwrhPfRghW4m6VgfxqnvTD9t7PlPxTTju3rJZfYh63L3j2VJW3SN+Wf17WqNqqVv
PiwyRooRmNz8u55r5rdhgSkXSsuLyf31cYSSs8iPeWN188nrrfIDJXcAdPh7GvSQCXGV2fKQqo0d
5RfJ3doHfVc/QftStcCAXMhFwqXypJolBY5Ft+fVx6shQRKK4uBhMv8ve+fR5Daypuu/MjF7dMCb
LQCSRbJKKpmS2yBKLQneI4EEfv19oHNmRgXyFqNnPREdvVG3kgDSfPl+r7H77xhsZtmeIp5shUpP
8ayrjbjDVbpQM39lD7UAGa3eU/vPlo2YhcAYHyFd3vuLVon3taWJj1Ec+4PeR6E7xMs+WagOfKIt
AC4K2+WKXA3uBKuBW9fbgfxVJD+KfTZQ1qV+uXix7ddRiduupLjN4KTa07BznDyN91ZOTo2vNRHA
SaPnapDLtFuvF6V+h9jNmPwJyaLp0zIYzmNsEWiZeGn0qeuWzPQVw52/a0WmxsFs6Ol+zCfHDYq4
ru8Tt8JYwzTwLeHOlcmPSh3F4x7YMv7Y4eIDsRM3//6Yg648xUU9PyuLkh4gbai4TZkJrde6sRcr
wFCwfp9l3QCPWylwLcGW2sjxuI6Rw9VLhR+KGis/JnNcXDr+1fRZFGb36MV19JFkcPsbMjUNImSB
FX3gRSTddQlXJEVJ3M5voGUnvo64MvUHLoaeb2i9Fb/RqJBEUHU9Rkpmqbc7WzFTdVc6uXJvikg9
17Mcj2njLThx13FGvAi3oA8jAA1/0SRtEtMGM638VNT2GBRthyWaMoncCaplMt293rmV49uN7hGL
U9ai9K1hzb0sFRqJc6J+E7T9mQFDKvlUfYNsN6aNNwScMCUiO83KLT+GYix8ARPqp+wm46nmK6W+
CgsCgDjD8NEnjE4tdzG59RF2hZX+2a0n7ydt/UgPbaXrrMDo3cgOF410+9CKZy+7myOlDbB+6k9x
CqnST7mXd6EkNpLlpVjqgz25sV/TGH+f9iA3p3ZyyijAYrr5Sv+kp19EIKPiNzUgqz+Dxz2bKQzV
bHaUN2MX6YBIokF55gnb9OXUjWbgpKbS3kGFlTpaz1z9QccaKoMzp+aEFtoZHuMms/WDUJaEXzhX
3YOMK9J2iNyqNF8Vcfypm9oiFDjiDAcV6tuXzKBFH1SzNtDwWaTdPTsFm1bQOGpsMH9avdw1oGrW
Li+XIXDMMot9jYvwTrfrVgb9PHN4W5WKKxAePs5HgYePFSp1F3H0dmZxklrVj74wuMjubC1eJuyp
xulhKVscp3M9VtK9F6mtTgIc5ePQL1YdmAvMH7837Dyn8jSXD6pAu++NeIAH7qQLUFHiuU6Wm2Sh
NdTND0+bij1hGrLdE9sgJr/HafnzaGUtpnbNnH0qtGZ+LwvNDPCty85yopD3kcR6sW84iVH7dp9N
RpjBtXxfxQ6Tp7CReY1Rm7+rtAjIlByN8d08d8zFWK/r6s5zouUx5dvCJWaT4z+w0m/aVFnvUzVZ
zphrlzS0WziHbA+VLYNVRBQ/aMUUPa5+RyV7IVuX1w/jcz3VsudLauBsiS29XW+1hul7atIXB5Xc
YSNokrS4n1cpKqrxqI59kMK+CktcyTIfO4vWO5Iz0rzxMgKoAwTmXRl2o5U8K8oQNyF+3xCMqxzR
XOhwS/0oNc6axGcB5d4+J4xLgjtkqEMN7q/TXjSL/iO2kXPKSGc6uoiweWMyssXu9RP6CgxIND1T
BigQcdRF9Ko2aF5nm3NLAdvo6G6L7FhksXtyais7tkqu+vbksCBiaey1KmI+LwuBKqPQyNdzo32T
jmfS9+Y701LsH6//uGsVL/ZXUDJWyRf+N5uLshVZUDMAp0+xpHoKJcSltxGZtKWvTYZ1sha1OAxu
mr+BWyG4oZUQ5xKphbikQEqubP0hQgX+d+vyIk3oXj6hzvVDqTWCs6wFLMa/sDmILubtysp+X+cl
SUIVL73eTfi7PCVxXGV4CC0EJOCRWfhJC28CuoV93xFx9MNcuvzjolttchBRl34TrVzeVkUqAYZ7
wbx8/YVcqd9WpjBfCa0JtjKb91GorTtPI/dTrAGJt6jHsMbkKIj77r7MWutGYbpWg5uCyjYB15G6
rYpIZyM5yYWTaWXt1qfKWfAFhl4SNnO+oxZ+NJflDPniBqS//oUXA1J2Q13HnBG53ssKjntqghVL
3pwigg4fdENUYab1wz6ncgwX22l3GrTQ05wvwDfLYN/Anq8UkJBzVuo8xaMB8+jl8ApRE6miFA3P
O/Uh16gkbKPhlgvNlXIftgaSamBuKrNtNHdbGVIVSgTpsq7GQOlnc7dUYDGumt1yI1nf1/Z9om2j
KUsuMD6BmwfqBX4sY81Q5M4jgc89e++iAvCNGdIunYdvnYIwqsrN8caHvDZz8O9bgwdgw+DQ//JN
whSOyipXmpMHb+Hgxcl86pdR3Q2T67EZLt6bBsPVW1vZ1celL8c/gCrIWl6O6olSVPmYtSeyRKIT
kb79nny/6e2okkkpRKHtCbXyHqq2X4Ihh8NiKlBxEStW56iru9T3piT3h6pHFBg7djg29hDOnFM7
JYK2+fpSvjINEG0j1oAXv1JvN9dYG56VToXUnjDs4ahrDWsntVjfs92PN7rZVxqhdIf5CiARsAfh
YL58MWYT2TKxlZ4bh57JvdG2Dr4S0KO+umOmvZ/tDFdc9FlFFOixpARoWfCar4w1PhxWFOlnaxCI
ORPLOS4TTu6a2Xbf8amXv6JUOF9FrtVvgUk+TbKV3zNzYrtoUsv5MtGz4ObkVHDSO9cZFB/AU4v9
Qvb2OVbo7Eyj1fhJk2knvYm1v8FrtMGfZxcz20zM6RcCtdyfypjSizIX+RW3X8AjZXB0UPdBAUfC
yyU0oW1k4RhXjeVPXhKfRyx03yPgiAvfxrC1pcsbRT/x7ixqLAzrFDL5pMTpPde7aj+SRZQGZjyW
Z6HZrfA5H6p7PfbMD0u6lJb/OxncSXl3vtW3rba3sG85dulMyZhEc429fd5as28nybtuSpdH/Gqd
D6oyULiQ+Uinqq7yubyxW105C8AMLfYqACEaeJsJJEUVaVoGeVsk0QP6o+qLMN2fBsDa0ZT5Lfbp
5XS1uVXrrGX4/ysv4uUUcrMmy4vZ6U+j7BgglRZSkSTbS72fb4AUVy7ymFHS6sAVGu9AGrwvx2pj
k+RVKx5OXj9Fh5llcTc3rEdcXKI7teMizH1vPKqoEPae6OqgmPvhgJ2QusdCJdmJtvW+G5Envr2+
ZK/USpyC1EowF9hUL1owo1bNIy1RcWrKXHwYi7lyffi/wt3JRFWOYxz1X6ZhqUx/zAvuw43wxM9y
bvkaNZdZlenjGoJrOVTPnZEpKlcSPLNu7YPrl3+57UN44NWBJaGDhSn38v2R7TWrsdrh+1Dh9DVh
6L+r6FwHpjrpwdgY9YlcmuwgR2rPZEAMrkzR041Xte7w29+AcgPJD0TztVX/8jfEeDBGsdCGUxtr
5acSkn/pR1zGv/exrfhtxp3Cjxbd/oQOPX3Kls5xd/CYk0OWl80tZfpv263NrzFRxtBTRupE+bSB
hlpE6wITyukUe4t8sqqBU6jp5AfPgFrkJ6mJQbwhjZT7Ll76cC16NcdhL9fmKazrVj9NUwUFydIF
rPl88AB4UtP+NRsNFy12O7xSAS8IwnJFRTMnahMV4+Y8UXF0cVE8fTSFSDFfss00D2ddHbiMW+TK
m/XshtIFxIeojmEYKcDNN7U3CyR8ldaf04r+lL9iyY/FoA3Y4o3GucM7vKGS1dNlhzyy+ZKTHPS1
MSw5hJ2hNh+BLs1vmCDB7BDtnI/cfQr5qRXC6X0dH6EZ5+XGFv4Ahwq4KF/i/q7rev2HEs1pd/f6
TLgsBVgseHnhnIg33EVyRtQq3po4Kk5EAndHg87+3hiB5ms1fddiFOdPg/n19SE3rOe1IbE2cPBe
Rw/FKtj6tQwGtLdqEeLUppAYKjbiNmhwvTs0apF91BaiDYBclwerBM2O3YKUyGokiCyp1C+v/5TL
kpJfAiaJZJF+FhEiL5fBCmMJqfTitKSdgo9wn5OuhtvP66NcHgX059FIrRRVINAt63hJSUxLE0ax
C8U8pbXsQhx6USLkJmyuRpg3Coqr49nY4tL2QJu11Zm6EugKNpI4Vb0lQ8WUy51hj/Ih01L9jhl7
KyLg2lvk9FnFgxBkqWZfvkVI7JC2e1OcRvjH3K6J/mkNHCpff4tXR4F0s/YecbbZQv491l5JaSSE
YUwIKuIGZBE45BZOfeUgBeVfVQArRxwY/uWz0ArHhixpxtPU0bTItLknK0eOB1ev7BsPdGXpoSzV
VnGuBq94W4XjSN1lZAuNJyxtrADdpbof2DVOtqxdsLXUA92zlBt17eXcoF+CnAxKlrV6464/6o9G
PIWy0y/ZJE6q0KojEQout2pIAFGvV/sEwObx9a92+T4ZD3egNYlqhb427xNn9nj0eojRVHg/HNiF
GIbhNDyMyi0Lhsv5gX8HDaHfs5D76eZYhQYHXm+im8oJMt/PSl34niaqG6f3783p5Vn1LwI4Jqnc
8vFIffkCY1SymfQkw+hp8yMdJw7uuJsP9IlVPH818yBKrX1DDml+v3S28s5scCLDfit7VuIs3fe5
pexqt4h2+I89idI1cK5LDPI7ErmvhwJ/Ll1PjnmrRkGUACuWY16/L0r6FjfQisv5tzosAx+AIawu
K5tlm4rRW/KCJ3H73n6c7VXlW7WKz4UiP+Efk+4Vt761itdCdPP6MOFA04jEhJ1iy2EfzbbosLib
TiSdWyEH8RRofSF8HMSfjLqAtFYs+d7BwhDul35La3xlNnKlw1ObrqGK8evm4+GVp/X26E4nRWgm
PdPUAF+t433Wjd6Ng/XqUKtCHXUzRPItSzBXjRJFfilPvQtLxWx7EaBytZHxTbfI9BvzkfVA5aa6
NvFW4dlKg3w5Jy1zRCCYJ/IkSdkMEkmaci91JdTVwj5JCq7QkKYSQAVS/GnUPxWDIlIfE3jtiQ5K
/VE4KZAttcdbsZJaI1Wo9ORA4Yif+OihvtoZtHkOr+8M68rfzgR2PaYgxsyr0uDlj65GfO7srJXI
ujLumEbdv5/L+YxMLz57pFDscgT9d3YSpzc61FfmPWIyckrYADVe12ZgadYZgPYgSTayRiwhZxPV
O60Bd10BOG4YoWrYbfj6017Zd6lwARNMvH1WD4iXT2vPEB+ixlNPuCJYd8k85mHSuxhtGrWzH3HX
uDHeFaoO5xhQC0oGG3v8rREKpOWhVcpWgBR3c9CxKuBalVU423St7JJ2kBSQwqq8rI8RYpP3xTzV
N9bA5Za8spmwwwa1w+Fr288Gtle4+LIlc9lQd1qmKn6MDd2Nc/QKCc4FkFz1LlwUqCs3098rEzqW
pTmdSmP5iZi1vy9ymEk5lLiwlnZ7nDE3naQ539lupZ3jcsZLXxbDzsW6ZO8qqXGoRTEf+7R5b3Rp
9taz41vn7uV2AJeXxDF+HnReJsDL7z/Y0VLQs5QnSLEFCDXXv8US3xdF6W5M72sj8dbRlsD1wYNt
M727QppZWQh5alxKJLBMM4xyTEvr2tRvTLJrQ8FxZmKr3BwupPlg/loykEp1GjLh+aVLf6/L4Z85
pEf4r6+fy6m0ooYoE8ndAVLZ4nEEWxWuHFR5WuwRE7JIyY9tDkz2+ihXH4hb6Mowo1zf3kyqXtWW
fnbYGtgiT1pGA1RJR3mwu+hWqsQVGOW37Qb2QdQt4LCb7zS5VmE6TbucetCGsXaxWZ0JGNcaR39j
xFPxqeun+WzbsxKywbe7zIzkDn6Y+aBFevLB1ZKnEb3Qj3/8BtC/IsrkOki9tlUxcwhYOe9VBeP3
vF00g+z30+TuFUbevT7UlU8KhZ66g20KCuvWaKBv8raf8kk9dV3shXpJJycekvrGKJcbL2JoIqfg
gJFBywa8WXgTLjFNuqjIdKomcFQr3tuD91MtKgLlc+WW/9RFfcOrQ9PCmcp6Zxlu1jnfrXZhKLL6
4I0cifozQ69N+juzjiBt9Q1UfqcczkmaLPRs8ZJ7/Z1ecsUZX3PgiyMq5sG3iuJGq5WFOJ75lM5D
sevHNr9z5JJ8bXV7NPw8NSMYG4W+gyph3ylloRwU056PzqiYb4qsc8NiFn2oOIm7p81GmmszjKEc
CNixBch3ZEUyiI1KgQWZ6sHcQSX4/QT/58H5nwiNOAvXg/r/b8H5mVCL/3gj+uf/+PiziuPn7vmF
Eed//w3/9uHUvL+Ya5Qy+BJBblxPlX/HYmjWX9ScKwjKOWDiyfTfPpyK+xdYhMmFjKIfujrtp/9x
4vT+gp7PCQpqYIILgs/8EyfObaUFuEMXlkYT1Z1D2b3++Z+XzWhwMYAa4Wl5KRx9gvcCLV/MvWA/
8HF9gLyP2OMf7uG/B/XInAbbXIOdN4NOPeUADXnrSP1NwuSc/6LJIXdJWnc3zqR16/izgv3XSEDO
bGCYyDubu21fE1jt0hk66g5EDVVAHCKscwdz3P6HCBIjUeKv+zGdXpgrm00sBf/ShIkkH6WJshvL
Tnk2Sy8CSu8YWDe6wx+T7vFfz/BnKsaVDwe5G2tnGpOrqGGDi+WF6K2SrvqxMS0ZzMi1ch+/0niX
cv2+p1x8k9We8vT6oNudGrsO0t15UC5MWDVuH1I4cSaKNo+OdaKyNxdNepoaHZ/1xtSCLBrjGy91
e/78Hg85pYl/HxN026GpJ6mMeFYwHtjuscEyJKzIM7gxysU5vw7D94MWsOJWF346c+sOCqhSdBR9
Mx4jW/mFg/+zmi74ijqV1LHcIxi2mdG0RN2bJSZFyxi69r4o8/pgLYt60Gtv+ocQIT+Kn8MCpwEB
SXf7gVfShq0PZXwyxj45YqaW3EEk60OI5ClLJeuOr3/bi97MOuBvFx9691i3bVXlap/quN71pHZn
NHP3o6bodRiLvG8Col8j+z4qZutxHtT02Wk08ivU3rMKHPQTJ0YQottKOBey+BFl8dIEXeRCMesT
COS713/o5cwHw0T+zYWCFBysu19uWanIFA0XqOSklo0ajuakUwbiiGbZogycZdaO0XzLculi4lOX
oJCiTOFTQE7ZrDarLR3FcqR9jJf0b1FO98hlvnu58ytJolvixW19AjWFsbjtIVOi4bJN98F30cK5
0baPM3ybd1JxEJRFUX+gQgKlaox5hwVLHgBYO6G9dMmN1XCx5tbhsSKkQwkMyfR7+XpxjZ8tXeFR
pxL2tNcWLajE0N64Ef4Wl77YmXGu4owj9QnLMGxdNjdCsFtntTv3jsWUFieD+VMEY8Qm6+sa1Fmr
dO0G2/tKbQKknPPPGtUDNkGdtL83llF/d+t++VzQMnpIFFk+62MOsE3buLECSQtT99tetQ+Kh+2a
r7sld7mimptwiN23TkEcY+iljvbJSwj42qt5MYrQtXPlTU5Dq90Bbjjfc3W0f6SVpj7Nc8+VuKid
2KfJY34sI+kcaqfTK7YHWK69NmTOnTNbsggms+6MO+yw1Dv8z5Y+tFslNg4VhMqDHpVLclSs2Erv
p6iPF78cpvKxHYETgxGh9Ft9iqyncYb/GURGNtPhUxcr9Cq6TQE86an0k0I6MXHiVnyf19MIM7OJ
os7X0EAR8rt4pH3WCZyDVKq/dL12LD8r6kQEyKZN0E+tUX7iLZkiKPaSMYXMmA3vS6tzm6Owlyl9
M6gt4YJJHz80ra698+z8a93ZhzlyeuHr81I9Q0OIv08T5DZYBkbjz2rX2mGjLWMaiF5XPxWLHn21
ooWm7dSbxgF/IwlXdpVr+2pTRJ8T3Rqfql6ONJ89md448y/XKgcxlg1ECOFxSQv85QTGncLMkkL1
jqabyLdwucfdOOjKvZ1knJFOa92KmbwoMlZwj4WikyQKjLLVFcZS08ExXO+oAVodsQFma/RUcFJT
uZXje30ohM1oEIAqnHXx/lGuGREc0Hn2WDUSnrDsx8kvEhfuhSFuxWBdbLPrU62SVlDLlWCzeY0t
5C0KWxaoQjt5L1sbl4+E2BUk/sM7erTznVCLT69v7RdqLq5k8PJ+OxBjG4Fy5uXzSd7jwEU+OS0q
+VJJPZmH2K5KHMEKNrtUh3VvcjUaF7oGg6b2dw2hEqGVze0jfUyakqbQz2MEmcG0ei0sqzHFHbOy
fadvRVi5M7WYhVdAiu/WjaL2t8nVyx2N3849GVCHSyXWFy9/u5I79JPHKj3pMmt37ZiNmAqtGglj
wLvZaoO8L71H1SoFoZxWRBPJ+TDosjiVuRx3cYk/Vz0SD5OlSMbLGL1Mh08+yhm4/o6wx52ZTfBG
6zb5QIZQhG4C+QHUU9rbeArdEZdbfEZAqwTpWjW8/mEuDwUMVzj+aEbwWZh6L58tBoxYZsJFTuyw
IzfTdt7VNVqQ10e5nN2MQqsXZ8c1gGCL/VNhEcjrGOlJc7t5PxvYNbqdkYa51Vs3qp3fperma7FY
uesBv9KG3VLdZnOC7D4p2Qn6SBJM9kiMjOVhZ6PCZGXlkjhD6ed7jZSgEbiXyFzHdXWJsj2FsRoI
+Mw7bBaHHdUyqI8ymDsOHgGhO00Oi9qv8VDGzKQdgc7RJYWRS6a2QYjUntRxK+BuKHCyr7MD8X3l
wUxMK3C0oT8k1IQ/E639pmeRs1NclPfdVN8seleY488XALBPZwnAmz4LdkVbdy8sxVVue3gkIC1w
fzKD0PuiTUBcMMLhFkxIROd4RhOe7UNNxwQZr6qqWanr/Ye6c8ArX//6F59kbbByp11RUUAe53fM
/R+bG2ZDWGfglnRKdEHDJ63s3aBCOU698VcRA5MrUcX5F5u+Oozv3Ujo4aCBanr1QKSxa8zHLBuz
Xd2b+W5WFu1Omo3YZXA0Ap3WNGy8xA4gKCr3uacqu3Sa473XqOlBVpRXi4OuM+8XyDxD34feShHx
emIOSRhSfQVtfggVOt4P9bgQZdzcqr+3kx91Fy41K8OGo8IEnXq5xKDF9RFxXPlpGoYnOUAKL7sa
UxJZ3+K98UIvvv2KweMgShwM5sz2BgLTUrN3anvARAlAPaG3QkUdSvq/gdchEDnUvYpNTmyUGBBh
Gu6k4Sgt5T1prcLw8UXScz+Vq26EQIJoujO7aSb1KdbzYafwje+LSu1koCo9DotzNBRj2Oizo8EN
cuYsEDDKP3hIjiDK21bWBFhY2l8Jak7TIG8a4YStp77RCrLOwrpLcu7rhJt/i7IyemdHWfsxqdzp
4xQDb6F7yKcqbIVVf/RcGaPOqPL6Kyp8N/Ppq7awFa3MroLByNrPVaYL/udqULmsFtF9QybOo5vO
GgHJpoNnhTF3kOQxtTEfurKB7NOUaWYE2NmYmGBEKsdfIqT1VeLL9q20hg7lTDZ51d7E7cAnsTwv
dgmpotyb9MF9dLLe89u27XDX0CbXb+2u6INUVq1ft7b3sAxlUwceZOKfdp7Y93NrtNLXPaf4HENz
IOnRFMuTkZsVAlOzbY9pVsXvFsWs7yMVA2p/KlXnW21XhrFzqHRzf5kb7DXQ+LXsNx75KjW6a8+f
lEjfIV9PCFeCuvBUOpP8rqnK+N40cmR2UKy+tbZyxv5D+m28mGdVEPfOVaTaYdqTnZKsrp/YtFM7
MJDQEPehmmUZzoNSvO2kYf2YtA4m0mzG2i9Xmv1PdkvOOeZ7NQW92yrfGqU13lLZ2zKc5qxF4EzY
CXbVOMCYoawUuswSdcpnV2uK5wRrnB3MrNoMXWvK+4d2tMfzYvTK7EN9D8e67z95VV3/ymTSLX4f
u9M7IrYIdGv7wS1hshpwM0gIoechSQbxf4cb75M0bbAaRe4SVqVZGaGpFt5XjaC/u1o0ThhBlueL
dZE5h8ms9vdamqn5noQ1mGmJbirlvlFmzFsyYkCgvXWahBCGJEf3BRpBlwQnOHFiDTkLsmqqCr/H
CVgyMzCLDETUL0wpA7cJ9MDandHPKYB6RXlMLzdFTOHaffyuHTSNWSAcSNQ2zk67xpy6T0ZepAoU
lLgSu9Rq+mbXz+zS3dgr0NcUURzqiNy4AC3e+DQrkFnRmwyDb3Qi7gKQaLMJI+FY71yB+GZslbQn
OEBhcuA0iFXllHr258jRUukXcNofuoQKOtPrefQRs+gN0pA5Q7vSaoKCI44N9BmosdZM8sYgV67B
Wrrv0BuG9VBBD+v1vK3CohqU951RJu+48MqvaaWPhQ+XMfspImNdcJNrfxz0tJ245enw93qidt5j
DON8KqWMngm+bu7ZJHgLVVF3il/jgE7GnzV3n4umzT6ULNtzvOjvuO5Zq77F1u7jJiFOUEoz/xsB
gbbDByb9xXSLIIiLEl80OSgkxWVVDYmxVzpewVDECiz7wvPCRe+zn3Fml7+cnu2KrFlNvLcwuHiS
vYqxaeWp/ZvUWqLnRRm8d8AF8uhOqaLtx7Ev/0Z0ojDldS3FoKqrpLujWkQtmivegDCmnxUa2sSc
LTtiFXXEnjRUvteZI6De6suTqhftJ28SyuNijPoSzs7gnrm1FV+8JDeR4nN5/GJM0gB+I7NE29n0
BY5sEX1NSNmUPCe2LT63cdIy94Qz3CKSbS9XnFJr/UcnFzIwVd/mlHLmYYktq0ZqnZbliaInCu0Z
lYlu8qRKoiQ3+tNXxgMhgARL29gGktgUnlofjTlM/+Y0mGBfK9yxK71pCFqbYEMDh+sbRcgWfOH5
KOExOwNutFFerH/+Rw1SlOQ7Wd7cnGDa9n6rZdnRXhz5SHSrvpvnvKTThxN9YddKaETmv90y/6+1
8p+0PyDR4WL9R1F4EW/2u7fy+NyIlz2V//lf/91UMay1qULjAmCYW8naOvl3U8XQ/qJby1RZGzm/
myP/FW6mqH/hQbpq4SBcGnj9ryTP/4o3M/8iLXdl+K0lGB8Y25R/EG+2vS3RtYF0D0wIar3Opc3V
mRhLQ8Nwrjq3HkLmI/VFJA/TwOT54+Vc6QFcjkNDf73B0KHlVWyDISrhKhoyk+48yt78Pjuzd3C1
LLplN3qxJjARo6Wv0mxfdWzbWOrMwmxgacr+XMZpB8Ua16pdWQ4aboo18aotxOC9qWfo1Lte/YTM
+h+bIJBWtw4NKR8xI4q6l4uSHc5D2jL3ZwSiUyhkNn/AsKU9J4uufH79lV4yVdZGHRAs3SI8Vi9M
ZLGtbnVRGOMZIUR154plvE+5GO7Gzp5C7qXQVPI5fdNj53OXuhMXxkKP3ogZ1xmLXfwoLDF9EXPS
BTpqdX8GbT2Pnag/vv47Lz49P5MdmAnLZ8dGfAOURJbDMYu7wbnTs+ZNiuuIn6uNvOFqebH7IiKh
bYkMHSyYf292+8hFkWx3JlcRoxRpgH8cZzaWWeV7lyrU9T071W7ZBF5khXoMym5vkcLOGr94NLQe
habiSnA2jZ4a2U7kI4aJ5j2BR+aDbvfDOykt+9hOnvI3RVwcek3XnTHSKw8pQb73Yl5umXitz/ni
rrz+pNXonzsaW85Wxzk1ZaN0Yv1JLXqUQuuru3HU5KGw4igcDS35WvW2E6SEsN6Kvru4Fq5D4xmK
/ThkFG8791un1gxEBdPZQghwZ+pd+gk4PD9YHTGzr8+pdVu6eEpMVCCW2GAwW0hEXZzBplCdziKy
sbGqTAJ2cYbFNNbGRGln970WaOli//36sFemMj6TK9MZmZjBS365uuM0Zn+BZ3JGpGo869VgnkEW
5/D1Ua59Qm7WmP7Q3KLk2uzJbiXt2BuV6YxTch1Mxqh+Wz1NtMAaFV07WWORf0rIIU72pZI1y+H1
0a99RbRm+MYAqGK9sGmqFLpsEmlG0zmO5zKUDv0U8hq/TMtQ3XjOq8sHTiE6RRj4a9zr5nUaRcyl
NZfnRU2in0piGe+0BXMaFGe/sK5tnsd4xg03m73iSzfMeNfMyaCei3wWXwqhpo+dKYYbvcwrJwhX
xzX1AM7LWga8/E3ALSPGAoU8x1iW3Y2LVPYpiVDnCRfrL5WXWd+GZi65UZR1/beT67ec7K++/t92
mMwvyrrN+IWWqpntZPJs43z23QZC3/em2fjTFPe3aHBXn5XOJO0zhGPw4F4+K6M4bZFW8jzoIgsy
OlQImboquRODV7+TlTO+KYaKK1lmkNPSNMP+9al2baJ7UNZA0tlCYeK9HF+zlpJM74l3PbVAteiI
D+Th5Mdu/g44rtOtcnFe5eTTbwF4vz/jZgPhLkNn1ubkBMLaPHozlQhVZ2Y5RqH1u4RcxX3jDeaX
weuqXToaxZMrs6SlqYh+mMuWeOtRbz8QIB/9cjNRHeJoUd7D1a8e474f3yXoMQNrbuLnqXfTY0Lu
wT9fl7g48WspoEAft3vP3K5mJmiMqCyyZt/SVwgNJf17xN787h9/FtYkHBsa4fSltvFPaaJHS+mk
8oxEZiaT1TS+Jm1f78tOam+qaBSn2FL0HSKl9MaEuLK/Qv+EvcjYpDlsn7H2MhXUuZTnVDTjDlAg
24PadTeW+JUlxo2JqpvtzYWRsv75Hxcn+uFlQ1Eiz20zNLtKq6u3gyOm3ZA06Y2q5MoWB4Nu7R6v
MCkY/mYscs5iQmZjeVZn/osAjKJpQdF7RDLcCbIH0oHXOziJ3hVRCzMeUwbJ13mAD0r6Pa7tvAro
0SRHWeSTcuMCefm22ebZ5FR4TRo44+a3ZRVNHq9XxrMysszIEe7vWqdN//FsejnKWrj98bYb2NQY
p8bTWarddwhanyAMHPtJYmCVZj7CFKLgxdPrM3j95S9Xt05LFas++gWg9NtN1O3jdBR435yFUzqf
mrY3vpn5GjlHY0P+/F+MhbPn6iKJAz8ctxfPB05IZTW2jJWbeEWbk9wp+gClEWDwxge7+lh0VHFf
BGBAlPxyKCSrRRXrPFZBqMIdiFxxZ6tltZeueytx/srcgLsHbZke4epZuf75H1+Ny8ssy2Sazlqa
5Pt+6MpTUdTxDQPHyzKO7wR/Z23a4lK3DSaEz9cbhSqn8+Bk7b4AO/aSt40KPCvrBHOiyrrlxnr9
udCnsijRal7k5+FtrtOSYcSJMy01XOW+Htvsn7Lmce9VcSheYwFJFNhqCJgIEJCdZTp3IrV2oxJL
kMTGDSqjqm7MiWsPxDyHpUvFT+W/mX5xpLqJWTLUIDrhw+tQd+1qt/n6JL+8XcFfguIFO5TXxln9
cjrAcHGaisbAucXzMlLwaMPkL8eTaoz9UnCj+18MR8OP2BBoXjgyvhxOqyZD2CVnHbHi7oMYtOkR
CdL/Y+88ltzG0jZ9L/+60QFvJmI2AEhmJtMolUq7QUgqCd4dHNirnwfqmmiRyUmGaj3RHd2LUukQ
x37mNc7PQdWUixzb0zPjnZpEzKN586jE8L9Hn0eDKcVldpj2iFCVEa2UBfhF6vbdmWl8z6NZ0fAe
BpVIWvIaHLsU0LTxjIa6/D6NeWap0y8VGndFbl66HRlViCTG2PmgtRDRbmy4jmCnCqlSruBVCD6e
5BMfvSZs0OdA0dGpOfroGGZhgUuvuu/yadosUfuSUm/afjzIiSvrl5gTzfgVa3AsCkmJf6Y9INS9
2WhrDy2x73USw0uzdRE2/His9+EshCjcWwkcWExW8nDXoN+hx3kshn2a28V2sjNGyF2I83BV7FXi
Jx19aY19kKVK+joLazjzA0597O8/4Dh1qnotqpJ+2HftYEI7VDLfGJTpk6LV0+XH33pq8X4fav3n
v93P9UAf0skl5Q7EJkJ0UAzfyBGd+CejkAoRjPHkHNsuWJFcIjGOw57O5HApjTa/UbKl+vMIgXX7
7yhHG3GZXYee3Ewdy3WnoGFfrhq1XCzdXAR4in/FfsDzO/nHlOnVC5JsHrYqwQKt7MM5NBSiATOh
MGUqRhYSDCch1nbRpyau4x+KOqAxJto/r88wKAztXzv0vd5JshjePLgU7bxSFi9z0Vd7Mxvkpyyy
QfeZCMqldNY+LZHyxyJE6+euXFXqJh6xytGlqrqoQwG6Idwbl+EyjocXd2ioDAJLO3OzvFcfX4da
iVW8s1R7jxX6gWpkFe4M4z6Ds7rTUzkhZSjwFKMR5IZlvKAnVxndfixMwKI17WMAcN4uizPhG1Mn
N1rs0aORs0p4Lp1ttIj2zNY+FZmDIV4fTZPYg/k4XH2kChMbRNa4V8gCfFcry5vGpNaBvE9I/ysO
Xd7usAZCDZySesA4R/qVu4D6nBSpbBY7b758fNpOXR8W5URqpCreRsfIJa0rLU30Kr7hjRXvFDdL
HhFqxFRc0KT8eKgTgRffvlpnQqTgmT06cnOJ7Uyj8fHOQil2m05lWfuZGRcCNqE0blRbgV5Bx7o9
ExmdGpiXjxzvF99dPbq3WqPJTGfOCWETp8hDu+nba0vEGOeUg+0F8ZgDhikb/Wzo/B5Iwp6koMYb
BH5+dbc7XG9ApXnHiir7paspbHntVODZ4yA04US4BuR9UjzpJbrItGOp4SI6X2ApgbzOlbLURhlQ
hPIutLhGXDUbrL4PAPku9hbRltoK9R5jK58MY/gLlKjgTwvXTnx7GjU68I1YUiQHp2QI5kTJnxxE
rVW/n3kXrpDEBLsVm1ahwdqXSRzkQ0Gtb1qs6CcObdFfOlE/8qSJnb5MFgpEgVf2QvpNNsskHBVF
R/rSzO46SvAbZJs6kOwdf6qaVO916dJs9gutTB60WcQZlhVmB25ivQcCp7H02U/tPnGAD6Vq7TeF
LjKaA5nd3BiUSN6mPLF2Ew6hsx/p7vhW9KUN4RcK4ktbDs18Tw6pfPNivZGbBhLXZQaPMvfb3gXU
QosrvcV5SC/wOZiQ829yhCG2njYMiO0Vff1WZGOHJuvSpjbgE8APYdV0nQ3UQo/McMjMFbFsS/4u
c3S7S/5a/aebD2jd5CPUVyB3cw7wq6+j+zrl7fUjkK/X+TK4N3YivGZTxFP/Gdfh+M20lmmrIcGp
3gN1QelVK7MSFdi8z/SgR4wt8RPNVi/SOqtSWt1T5QZYOOeFH1Wufb2YETKm/VgZ8U7FPMm4BkHb
/qWoaftYGq0hfHXI+gd4C6551dMXeBqnAvTFItRau9Wpb+7cKqXI4FA9VInwCjSf0xpbR99yZPRS
lZouAQvQ4wjmqnTni0GaM3eN7NOElZoLK7CtrvtZ2pIigagBiHJUrf5Go1JjBrJH7h4EXpMjgF3Q
kN+0TW/kmwaXWGZLTxz7gqbPfL+YNUjcTjr5EhhLLkGS4Efz2EIpTC6MuKp/lEU5xRfoQaZXNCp6
y0e4Qf3J6UIiMbFiOH+aokVPqt3nYJg0RIfCGjOA5aa05+LJGCStvWpcen+KbUnigzLuTTRVKqN2
3bTvi6557CbHfIYir+o41M3GD+w5MPMpZzZqkCW1BoRcmc23CnXiZ1cAOPF1s642qmI0ayqFXQR4
LbPdCJkBEUmkZ90ls+ck0IbNfLgAnFbYfjfamhI2kz0/pebS/1waarqgqhv+nKOMUgMV45oSa6F+
eAaHkYxotMbGgxEX7eUw6or0o6Sbl0+OwQ/3i1wb0Gxtu/TZsSLwW7FEeiJsljT+JgbbuWKBk5+t
MkudN9xy6wf0ohMkaTMpCsBm1sCrO+ddEqI/tHgPCz/kgVIYgHpgVe5VJ0a0TsdGAKzqWRR1O00U
gTceqveg97VoSjZWgacHtWcCBTZFYSx4D3hSD+l6uoaPPunybKi0bwN0zsEWmSa93U1OxeV7piZm
EkhnsETgdCaoTr1qMfaQCw4hm1TRq1d0spUxzLtYgl2LdAtBf5hbYa8vWA5PRlsHOopzoO9wZCIp
00ELoWpiu34zT7IIbZyY0S2OZifUarP50kcTc5kL5xtRlYJ/Xo/In89G4Z5VcXYPW/DRna+KJfmE
MjmIU2Cs9ePixgZ4Li/JGm63CugYkVh/rU1RrPjIOSZdAH1GrEInQntwlK6VvmxHswiBneQ/9SW1
tABMIoitUW29l6qOayTTRV7ykJYZDoVeg8vaZDhpoA5tC4+VptxTn2Uenk9q1Vq+WnndW0vh4yV2
nUjdONLS6u04xKTwahfBXmhy0Q1gZXUNWN3kKW2o5q2OMkaRIfuwbkW+xrOQTs/rqsDesBjgxaYW
ysasW6s9aGjCf02nlU0BZIs2tKRK/lrkughNWTS3VSfiZ9xX5D3UBmTu1A6QUEhuQc0MikJ6T8Rf
RfxbVokLmmq6X2qk90skEmtsjTBk9RASrvCSRf4rLZbNNNvCus9dOWeXMjOV26qMRbZxJ8WLbvpB
MabPtDlnvcOiHh8oM8GLPICDCh6xQRLRusVcvs3C3i4Qgm4UD8Ah7OSo9d0mceUWmotx7QoXJW4H
TUln21pFMl1rlkKvPZuhs/jEIbNBjdUVG9HhaDfJOS43kFaml64pzeWbLovitjbmAfj8FDmvuDuN
3yn/qm9YvxnrX9D2PF3geCpksGXZhiBto4fRzlYKjd5hwVdqQ46d17zYaFqjQPLZ66v1Ckr6/CIa
9P47fzgPrbyXD0OvGD8dY4yqbVVaqD5zkbnqVSacpUAbvUZyJRAqGpJbtajT51RdiJBS7GRAZlXC
IFRB67lEdoM+nN/gApr73uBaSrDkVvHdGKr2VrdqCM3NmM7NJmMppI9ETjz7CnJ0HsEVVBl/HuT0
mkgAF0GDkPErLJg2DRIg7J2Pokj80CJ8WCDnWvf2Tus1/U4vNP3b1GaZ5iPRaAw8FOi+XpRLS/mx
w8Gv3nKMPWB5qTLeRo5XPeTUJK7VcsDnDRSBe11bwnjpI90Zgr6unRezjZYfVuvMt2qceTzICuhP
3iU9MjaxJfJkZ/Uupjg8nzxDchny/mXtv/KIZrPxquMvkdKm8RwE5rVJdXzhWkm3MTsTo2KrmvWf
maknha+PapaGS9PaJOZdw3fp2azcGaPtGgHHDx5vJdFDv54r1RFbK9XQ9FQG0W4KZPACKuUjd/s8
KPt+cWZAHPFiYB1XFE+q28E2t+bWXJ9Cmgsby2i8x7JrakI9EC7fRIlU/Y7nY4zDCc10G7VtPBvC
xJizL8JZYzY7N9OdaNERxyDKmpSNrCgnhB1QrsKnOt6t+u5wCv3BiDWBTREUTJ8oo30BToxl72iU
aLMLKlrIgzqT+h2JnCwJGxe1763XATe1KBBcZDTyrFAVmbi1hF4A/s2cynnVTCfHaVGyJzdWp88W
qmRZOgZJWfUXSduMOC26aS0D4ldQLZyyIt8UtlHHNzq2LMIfkfZf5xhQf2CPOiBe3erSB9gD5n09
xaa+zdBMUfzJG4YFGxWkoPzGGY3PejXMj+QDVoJKUmU5gdRj41WVNPSvclOR97ohCSKyfpIPYhgq
qBydmLUrDzpl5OfGRHXOMeW61J3qbfA8WPG101BeNUMDWLZYxvwz5ObmqWlcuhi4c+t5KNu5eRWN
7da06zVsVzI9fjJGmtIbeCfLCxeWyxsOxoanNy6tpyRztJ9QiGDW6ERSEMncTF4Io2C6ie7YjRNo
TISYqvVeavW4kgHNpPrOkLQXCQ2NFBMzR0Mmp7HBk0+uh5y7AcQWksu4kO33zXjXgSp4c2NMaNe0
r3kGzQNwQhddPAVtJuKnSJfZd72sI9YAlsEnNGDjcpt7lv1Dy3uFqrU2osxVOUl+n1nc+lmeF3tn
KOK7PM/bm39JuzXLRJ21PTGHc6HEs3OfidwY/H8J0xMS6ZJhj5Jb9Dzlrn2XZlH/6ePs71TxCEjO
SjOnjQ66/jAVQhxYXSAajnvXFUOQWTDvBKiGMyWq98qMa8ZF9W/VDaTQeFyPk+j0pLNnjvs6pY/l
T+Yy+VmtdXeKYlab2raWRw14+ha5w+yqaWzCSc1KRUzg5p7rNJzKrSl7rLkuqSep7+Enc+GNnrsi
N+YR3+FBHWZqE+l8DTl4PFPyXP+qo+YTm5RMEwzaqpt4NBTC/vikFNGwr7xKvTWyEduGUrchFGIm
cqNPyTls3Zq5vh8QBhqSNrQcjrlIwOgVraizcZ9IJCiDwY3BJxjsrXBYlOEqq2HdeXlV3YvK6fRA
9eL5DOdq3TDHv8BRDYOqFoZuHMnD2SXCiDTCTnp8jdrrvmPlyn1vmtnX3pinFyNSq2qDPFqESUzX
nOnmnppuxKDofBD0Usw+GrtYUGRRUjpVXqIlOzH21Ze0Vd39QBLwucP95sy3nhyPvoQKQhQc0K/a
12+VV4HpYZ1MNFxKYYZqm83bplTjS2DsOLe748PHR/X0aDCrsdmmcHEs/KY3EL3sRAWnUCbePTqY
yyOUFCDmBqzGpVvUM+OduhrIMen/U7WjXHi0eeOl0uzU9VjJQeJtiY4Bzdo5M//RMFQjgWCsCO0j
5EfVV3Cd0pkGWSfzz7nWTXcdlfJ/slQOWujw9ICKHYt3zIk9LM0IFk7DmONNSWyQYa6TvhbjWL+M
eX5ONPJUcYuhQNI68MLetTO1SJjjwE2zj6oW/kpnSXkLl9gMlEh2U1AYHggS46xX3Km7bb1t1i6q
YznHuLt8VXRICLf3VCjdjV3lzXb0CmjkkJfP1A1PbsffhjoqmiIYYi1WBWzGMQBZgvZrfJ7KazUy
LwnM/4aYf5/+V/yj/vSfC+Qj4RDkxtCyR09ybaOyV45GW7xIF03LZuyq3L4YKyhyXucl2F175maG
csxTAbRp8+dHjiohEnOMuR7xw8sMpxhcezOOnIu/1GbsJGyRUejXS6K6tS+z7qzk3KlZ5cShGLw6
QNOYPhyxsQgmhoUFTDnvWwdQ6E7ajrhXjCh+dfq0JgNdPR0GrXjWFks8l6h6Xo4YVZJXRMtl7yAA
OgrscaDR6z8apXJ/fDwn73RH1qVwfxEeQdciGXO0FAmZzdQUwNJcNRkjLMys+hYCjLxIHKd8rCfL
8KWqjYCtZ3Wb4MZCuF6UctPlWEk1o35pinl8SdQKl7GPf9qp1w9oOZcWtRIw80c3llJZSu9mFJaW
xe2oyqnjpSoU4y3Kc/ueunZ2Oy0D6nyFVV62DUbvZ8Y/dei5mCkreyaV5Xe9/qj0pkgFxAYnVG4i
3Sj20tSnB0j49uvUlupOVRxEEj7+6lP3NCcDIAjBFQL6R18N/hUcli3AMBWaAz8IpbM+GcSZC/TU
u45CB0BiOiTonB5RWjJ49W0zMIoTz8MndJBqTJ9mZBBgUy2YSBj15bhUtAtKOzqDnDpxqSFtaaCu
CtvBBNF9dCZy1VnoyQBCA+zPKfSswDLL2F+Urjxz4E8OZTGJKp8JIeLo+GF5WxhO2057piF+dowS
KwdUMZxNVuly9/G6nditAC4xX1o1p6GpH10u1izRDdFSos9oWcvYHtXS3uipvaOiqn7uU0ihgF/w
9QhrK5dwQr05ScOPf8QpGAJoS5wasTfgVB/v2Xh0Z+rvYt5DDlIHv5u85Qf5kfeNAEaDIAiZ8y91
FsmwtaYyu57BJWrQEF3nXOh6Yhuvlwn2D7CJ3wuZqurQuFrMtYLTWn7Rmq51Qwm6OJOJnByFhiuR
gL4SZ47yHSCHQiHfnfZW3ZSXOektNfZ02X48qye2kcMjDOtkZWSBBTvcsZVTLlUl+mlfC8t+xnGs
u+lIoZ/Ra2LAj8c6cTBpFIKMAbzKy3Gs9g2HLhaK7XE6+tVfN5VgC41xyd/IRu2Na69Keo4+5nu3
tbQzl8KJLczAgDRp2nuGdXxcXBpci2mQQIET78j/cT+qN7TSVQt+adGWQU9v73UYNUx2KHEh9gco
Anrnn8+ASbgP4I574h2wUpttpVXEDJKmaMrPY+1AC1dqT9zZvdk9lC1WLT5A6qr3FVPxzkUmp+Z/
xYjTSgfqherw4VrTk87cmaLpPselDrfYpFNQZK7npd5ouT63l02dNXdZ0Zl0DPJkOYfcPrGj13yP
2x/ol0118XD8ErgGZLNZ3cPHKEOpOtmd09nW9cdzfGJHA0FfH7c1byYUOxwlwx0cJLil7iu8wvc0
HSj0JrDic3Vwzwz1S0H4KIUke0RccF3PFTlwONZgdsLIF6ntW7SjnnS7Mh8i5s+XRllvlgQojTk6
yLchch/wnno7y8DKE6fUhcKdPlY7fh5qI1jeBvoimh+aTfCtUUf8RMslu2yqsb0oabAQjMOR3yh2
Pt1arRntlNbNd7aTNPjJIGts4rWzjRV3xB65oKaVDSiKn9m7p1aPB2DVGNYNqDL64bdm82wnACHU
vbBQzu4zddjQbCrCj1fv/SgI8kO2gwOEhgBH5HAUIbi7i6xX9+M0Vre9It0LzaH+9/Eo72NXAx4q
52BVLSQIOrr1vAR1ANTMtD3C3lTgPK383uJG+tbYirxVwfj+9fF4778Kih8SeNx56EG+I8cMvaO1
FRTXfZlB9HGsBeC0uXjel38wzOo8TUwJk+m4RJYb1gx7Nu32vd1il9tKfDQNp3v6eJQTDzFfwj4A
Z0+JDFeDozUapV7wwMt9NUTFhQuJvfPzRH6XehtFIXpjmP5JRwlX4O9d3jdpFZQQ24wzEdD7RURg
A2UzADHI2hIKHf4M7sdE4Z/0oMkQhEBHwP4+OxWC6b2k+es7TpRaFx9/+vu7BewEIH9g+CCvgAkd
DplC06LVluMnKR0z9wedSiSkJ+UykaP2+eOx3u8ZYKu8ypihQc0knTwcCyyZVvaYne2NZdUGVptx
k6vIJHw8yi/E0OEV5oGTI02iqKFa6nG0PORxpg8KKNJ2qpW3SKBiFpSeTC6mcnQulUwz1k5loe3y
bowfjRjHWgXVt9nXtQ47YaNe+nMop/cLiwIPQcmqwEpB53gbG3arOaJuSI7GVtt1TT/ulsHKN12d
53eKyKMzccmJVQVzzyzjAkEt4hhUBapAdEs6UYpI5vIrBjxyiw+OGaapNX7/eLrfLSoCTysFj4cO
kjQPx+GiDtVkjaQNBrNtaptBG51tN6TnFJhPjgJTCBEB7h3rOF5PLPAuwEWNPaScn5rb0lQZmunM
8fslkHmwc/gW4gjggAaVKvjeh99CGNPibJrae0dp4wovQhzktgqKsFtHR+PhwlVEI3Yy9hwkPbXs
qbQay/ajoYsQHiym5LlWZL3H7A51Fh3bVBDn3l+msz7aLibDQe6YyF84ZO0vbjGKnzzr1tck8+wn
GoW4gvzxyiDGCOuCh3x9FI6OW1vTzYCjqO49qpRbqSpuYOiJdgZJ9m5r/1IgWqW4id8BzB09bzFn
UOSpp2IDrvU3qTlprq8pXXdjijbdzPYYj2e+693mXiU4ELqknIjJBCXnw1VKo6FB/8PU9lKLk9eZ
BtJ9qebubUk76+2PpxA3iXU/sMltii+HQ0mrQU0kcrV9L6IZhA6+2nNkjruPR3l/Y1E0Wdny+K8Y
5L/HZMdIglQY587a27hf7qdY9jvECrPLAUvs1E+qFACuGpWrmKTMs21s1G1IMFt7G4Gepb6zUutc
ZL1O4uFRWHnUJMi0pda36GhZPbVFCibTrD2QGmpFqapHn/U0pis0jV75KZ3dhYau075+PBXvzznD
uuADQbtSSjp+jtQUm5MeOu6+17LhrkzF/Oo0dXem8fZ+zxLa0qignknqYh0riUYtKghNU9h7Ds+l
UEsZKlazbzVXCbOsffn4k95vVxYURUTw8CjIw5I83EMqatKpWw/WnhVMQ8PD0BjJgipMIySNPh7q
xKKhI006xI3MY6Mf3V8x0txYhs/OHksyZ/5eGjS0fa1bgKJobjoNfu3JKr1oEuGc04A9MaU6XwmT
gZeOW3Sdhd/aMf2QOLmF+tzeJse8oozl0Bj2ZLGzYxU+kYQ/cfnxx56YVyaUkJDiG/89zv2AaTSp
bTfu3q77cQsGrN9GRd6BDxL9mRtnnbejw7C+CGu5aPXVO8bfS7uwGnUe3X1i9x1oi8QSF3bvDCaS
rou8iJe4vsWmxA30TIy7ui7UMwStU98KRHrtdZFPQuA4nN0yTcAG9LYHFd2Zdr3SPqROWlx0lJ8/
ntQTOwiFN8TiWUsSiuNjn2oitrNhiPbEDdVWyHIVeXMHa6PGo/mJfzJuTBkrRvjxsCe+j2YXlx9q
Kxz7Yyoo8KuiTHgy98lkN6afRm7/pnQFzaJxSb/9+Vg0FFYVdNj9kG4O53JMYjURo4z2mY6R3lQ3
9QUiVDd4tthnvurUZFI5xauHDJDA4uhMQM0CWthq0d4WdfZCxm1d616pbap2mkPMipZdE3vn5I9O
3KDMIyEmWkvwho/vgKUq7EydGLRUDH2bO5Rp08z9m7/3/1WH/gcwHeCrtRbw/zZ0+Jx+7Y8sHP7+
d/5WG1KNf1MOJCSiWE9+tdIb/1YbUtV/r7cjeQk65FyW7JmqFjL53/+j/xvgAJB4nGNIkdC0JZL+
v2JD2r/JHtCY4WZfyYX8rX8iNnR4V3OPAQ7gISJ4QiffQDzl8ASkTm0sytjFO0fNSiztUVv+6rbz
sjWKRLuuR+Qqz5yEw/P9nxGp0FGYIB7VsCg/HNEqG8QxrTjZdVWNF6Iws03P/+ztJbLPvIGHJcG/
h+KqgEmNt8I7iqSZt7RDlSXeGS1aX0Ez9+a85S6hAilTqT31I372u34Q5eJnRop43W874USz9PD8
/RqfUg8ruyqy85+jN1iZ8oiAMk13magAzAMbZIiqoWXz8TjvppR6DnV0Co/AaSherJfPbw9u1TeG
V6sWWrA5jzl8qTRwEou7swFC9fFQ7z7JoUAGxhQmEXEMc3s4FCJ7KY32Ltt5dRGthu3ZFrJEdGaP
nBoFMBQWjDa1Afb74Sg8fKDjVSfZuUXSXozIfobe4uZn0pV308a3rEznVTEVsaBjdbi409VKOHOy
I8MApjdB4f4+tjEWOanaDf/gk4gz11NLzsr/H37SMOadq8gx2bVRWn8vexMG6ZBM51qvR/5A7LlV
iYJkf9XXow9hHhWI6wiKai5zZGmnIdIfJ2tBnmVA/77Z1lhAqoD/+0Lb0gAVF8iIijhUDA9IZd/b
cX0xNgamDCbkmCRomhgUGhnsVAUeDCQcqup8cP2MtrPrI2GoKlsKLEUVLsLV7JC0KC72UWc35wRY
jqRB1o9aOxtrVwpAEQ3do/2gjhDzlI4N3k5ltYmlOvT3VjUorxOR/TdjdsCeD8Adh6uyz+rlp0er
od13M0gCfzBt8alfej0JkTRVilDU1A93WCHIaIMxA1BCid851Kqmr+xrNArd5enjQ3NUTPj1+6Fq
rlro9NRoNh7deSCDQdK6WbrTBgOShQu1wu+pOw1+kdHYCStyTm8Dnl73dlI06RSkbjd8FxH0s2c7
Lsb8U6Y15ffaHMo2qCsjD8y0HiZUuzKkdistgXKEEV8Wb2SJIRbBJ6zwzZKCTdsrS6Fm90Ur7XOb
7TAW/s9n6av55RoLI27FQ/n7vUOZvk9qCwnkmFy03ohqWOLNYItZcMtNS/VJA8dtYcaO9sMmjZnl
0ElG1TtztH5dOv+NydffsR4pEFmEV0BTju8/Xc+rVoCd3VEqlSKsUs6Z7xpRVLxigj45X9q+jzBA
R1u/d+Gj1LK8NFoY5eHceoC2LQq+d6kXo9tMGwDV5DiL87AFV1Hjqqe23/jpKqCJenTz7ZLgubVV
6bR/dtAQdm7zxp0lvJXK/vovTHm1AeJDvluoF3wdK6m9Okk3IQqe55Plm1Zdnen9vXvB+Xgeb65D
xDWAxxy94HkKAyd363ynW9jL+YmnVcGyRNqdlsbzjZRRcyYD+gU4O5puUH2U+rk1SZuPNaJqqHiO
BDWyazpXFkFmdjOeEnYK6HdcOP3PtG4ie2umQo8vrNkZXTSQM9PeGCVyGf7YAVu5NDkO3wd9SIwt
zj+qCMm4EHqNHQfSQKYnfRkuUx7/sCMxo06nyGpAtC1Wnc0w9a62xUhuyb9i0JQ56Ccni7unsaR8
+fjgnpjbFfzjcHKpDcC2ONzg3DOgxZsm38EVKR8zNQU6rpb5I/1EO8RFQDnzkJ8cD5EvOGUISAD2
OxwPk8sWYmKc76AGJZ96LHzoIc9OeaEMMBfCaMqmvz7+wsO8ZD06wKmIQXmXVseW42q0Ni6j4xaC
+xAFudQXipZ6G2rj6V09mwq2CFo5wAea8nNFpV933uEuYmTiIg7siio5lnuaBgq5OB5kO1XHyzxQ
yO+NkFsPvkoS5yjIzVnMiam5U6tti6Lul4b6/RjIZJRXUBptcYGIuwdfAoTG949n5X1kQC5IzQv0
CTJBYPgO1yG2kGDMdIPfVs79Jynm6TJVHPdCh9L39PFQ69N1NA08Cr96E2QIzMjhUA6lA6IsPd+p
iVt/ckrbTIMSZZFzBe3Du9qlugVARceqiooZL+hxW2uMbXNUkV7f8c1LtTO9ZHqDh6DBXbK66csc
JXm6AUYAdQbR6cLZTtXQ/SlWcf0Rvwi/4JdIPI7FZeJebTw34fV123gKZxX6hys7+76V0pp86GvG
mYU89dUExzC3VzgaSMzD2cVw2omipM92S+4NHryu1Qw3ccwvlTL9AkDzHhhqbe5oLEOXTcb4D8uL
6xdTXqCKRzEXiMa6/L+F5rWrxKmjztmuaJK1qzTIx6aL3G9kYsZNpCBjH368nw6vkP+sMyvMxbzq
rdLQPhxQ2pLb2NSyHdJg7Y0Sadq9UtXJ10bk+psWl+UZUNipGeb5p8hIDXVFfB+NJ5Y6X2aOypTl
kAn0JhXbKJu1EEY5j2iWdu2dAy8n4FKJ7qd2PFf7IxRiiP8eofWTUbEFdwECHIgvMIvDn6AoFWWO
2s52FiyuL6qW3LhxDPQFQkoyQIe1vMfYwKABmf5CfYmpc39ZEDwpQkSBkmSXmIuqXI284u4jRAGl
2mhGiwxuhyKaBT0JqXofSXE12sha16BiEWG729iKdYK4Op2/DnnUv5qNO8whKAhsQFU78irY4Fm6
8iwlMX8q4ZKk7gQ+gqcMVfTB0frxNi6U9usgUgATEV3nOhQuFLaNXXhxyy1Iy+ip1NO08AXG32o4
K1XkhekikUkx9cGsgrFeonqbT06ykL+YU+IbtsSlt0PGCW6b0xd3uiqTF9eEOT92WufAEk2N1kfP
PMn8vo0bHZXwfOlua2jIoR6XOcq4piXLrWUJ9HkbYZrjNvGilGKn2ariwjMGsiUx2dK7yOnjAo5L
NVu5XUpwgBc6JnAadKwESmbSIs2+sdvevOgSW7abQSIlgTg9+Lfrbmytp16rreKn15aGCOJ6EtFu
cCCpBpO7jGqw2BOgO9lESb1tDE2pH7zS7qqbzDKVBGqFUS4BTK5xutLNkk5uHtcV7F+vQdKpUCBV
+BSiNc0XVV7VO9uN3FtHwWjLl0k0v0AgGvR9OStOfdOgJ5he5xqCNZ9wEclav0cizQ7qAcHPMIL9
xJRJeit+lTVpse0yx+wwHhB9fwEdtf9Z4HDB5EMuFpum0vT+cdK9XNkKJSuibVJM2vjSAOMFohmP
9k/MuLBK6YwJZQtmf/GuuP51AbRFTIWfTX02+hOko+co5jLe4JkwJYHZKpXwm0XTRIAMyuDc5IY9
5X5lJl78tcfqp9kMeC1gTGBBiNgg3SfMa9NATvhGpvVUbqN5nFBhNat5vqxRFW19dnRahSC2XQ96
el2IG0LW5U0XpvoTp0LNxiMDL7BooE6MQVoCaVidotzcJHqpNwExA/5CHihoOM0Kzus+apnVI6cP
mXO78XjAhwVNyaAjdt15qRrhwWTM7henNLwXAvTK8M1aWalspll/0WSdzGFlK+5D5ShJHPaIffa7
pHQVdBIUG6vAGp8kaG2kTUNYNh288YVevoXhi1a8Sk1i6pdaTtcFUx0rz1okjcVXQajk/hh5yZfO
LaY2mPW12KXQjYDIps3Qjp3Irh8NcuYU91thuleyQefTd5AkWoKsrZp9ZzQ0E3C1SdsgiUW9+IBB
ZbVx02HZDTGMjCCBKiX3be14L1pCWOI3dT7XVxjG84GxCjOFYCXCc3ecKy2EhWQ9L8hLQVBcWcQA
Ligi+UUadTeG2WGRSE6O0JSLRYful5VNkAxbOTFCIkiMJO1RjH7vyXEJho5aG9oBU/JXqkirD5hS
+ThmNtr6aj064O6E5hh+r7nFFz2d67dsyH80OXT5QFFU/aZQq4gKiEhL4XeVqVd3Zg8h1VhGjMJc
vZ3uLLNGu8kVHn6hdjN4N1WLJO5mVGqS0T5B8yjAV0GlsgYd8zpbRoNfDtG03BrzSNQfiWicQ01T
i5c26msrYK1xuMBIpX0qRGoFQ1xAOS2knl1D6fRm7lnPenL6CTcfe0m9N7fo2kcEygt8W1q5yKuo
L7Nuu/wf5s5sN25kS9ev0jj3LHAegNPngsxMianBkmzJlm8IWZY5BecpyKc/H1UFlDOlrWzfNVAw
tneVHSIZw4p//QN+CIK7s4ugkJysztsk4Bo3I44Qy8ZmHZSBqdbjpePESh54kKMRuLtN88uISk8i
DWycX46iOinMtUxcubhQotWPs/K20LIC4a/XpzeVaXV4AclxeKzyxrsiKln5NdJ6vpGqJa+KtCr0
wFAxD0NTH1NUUDL2L5lWtTOAS8+Q+GtXocWlsA/SaDU+T9Aq76wew4CzvLa9DBKM0f7TBfwjbP5T
/VJ+7tuXl/7qqf6/6x99ruq5JZqwf3Wp//d3V+lzW3XVr/74vzr4Q93/e/3X6EVWB/6D32xLcNP5
dnhp57uXbhB/D/DPf/k//Zf/9fL6t3yZ65f//j9PPwv2nxQ3w/S5P8LZodKt5fJ/xuYD/qb2SfzX
50E8gbmn7//5f3B63fwL2jq89rXex4OHO8E/OD0hzHCIwelBGGB2qpRc/+D02l8wmLkLU63ByFyL
j39xeuOvtRVJYMBq57kq8PQ/wemPbiQozcD0IO/AIsWXGVrKYY2TdCwGwktGJCawasH+YB/0XRtU
i5WfuN8fURBWVRvRCCvHn4sZXLjj+70rMkI08XAIkyGWV6Y2Y41OxHnMiGp26Ymp2VJUDb5BTP1Z
rZflZZkJ52mKLYd2ncn2/NtHOw2jv/489FopoldmGp51h8/OgjMkGaptSPZSSzqTSaSZ159Cgw8L
57+fejUdo5hdv9ZxY1fttGiRYEAhtkOAPxzkpLbZhrI3+xxbh4gG+h+xAV5HBK2FKu55cHnplB8+
1xKlQENJ14dQEPpPBZXQbja6/FG0i37iVrCWwP+WyOtQkMPXaIJVWUAQwlGVblcuemplLEOsdPLY
txfFugP+ll8+/lJvZ+lqGgp1EsrGiiscPdEsGmPUq4VhetsMKHe6bToMMyVr9mf2lzwRjTmeBAQX
whkPtf4ov12sEGQ1Zt5VS9jgVO0nNa6XOQmdmyFZ2r03Vo8fP9nhCyTlDKo11lxg65DBaEwczUGP
7VxbVG0McSqKA0cxKj8fxKlo8/Vv+fczvY5Ct4MpwSaz2i0fXVdbCXW8s5w+ZBuIfzmpUUy+ojdx
EywpNZ1vjFJH+gZMfKuVlXnKkevt8MAdgBFk+pk0HY8xArhrA6CymEJzqeZfqgGNvk/KBaNkjYRI
CB/kWOeZ9aARWHT2p+93HRriOsQG2DGvmONvn7OviizDGQuhmDc5BD8Nc6hnOIx8PMrh/FzfL6PA
b4Wlr68Byetl9rdRkjxpdUwWpjBtqWwXekKXqKlUJIzLKWz8vaFg7bJpU7VBYzqanxrmDfPUKFOo
1waRg5J7weymzppsfco08ajn8/djQYdcm3+cOUAdh4/VRCreKHUmw1id+x0aE+1sHhvEUphan8dV
KhFqYu+SLRILTPorOzo79UYvjTnHEzlJA9JG9WCp7NjdqqLFY3+c6jvNGawnEivaBwx0yI4eeod0
yaJ9VmOYjR9/GO2910VOxQp98n2gYhw+Qk/+WzbN6RyKhNrYd1wM1AIVawICGg0Nl9CUDtFnbtRd
u9pTFU+ZM9XIHnArfNJRROCg5E7LeZM4VLQINY3AW/2mT8yft7uAy8/GOczxsNoWHL1oo0/1ftCN
MXTNJt+rQ5eeK0PphB+/jHdHsemv0t9XeSlHZ/0sSfZaQ2RCpY4lSakt30r0nz8e5LWHerjX8Cwe
m/SKn5joSA/fuJN7U+lWjJIAHvR+qdCl2MFN7a8iW+XuAqmdXgqmudE9M8UcfH6v3RC4OGtB1qp0
f2fbxgVPUFd3OzvTvYquc2PE1PRtluDppAMiG633zfP67G4Ze27VMh+ai8GK7H4rI9nfzqMuTjzY
e29vNblk7dGcgMF7+FyLknIwrG+PlTbdYSDXvYhqTE98I+2dvZJ9hO0KmjPs4GPm6dI1uc1FY6Km
1xMlcEEhaG1knjjrspo0ck0ju8my4tgOFGFoGO31Rhk4OaYxfp5PDdYl5jI/q9A6nxMYXC2U/m65
dC1SkDD1orj2iWbW683Hn/2dt/MKtq9V0goRHu2AWtYQH5LKKYzw0Nvl5NVeiHpqtx+P8sZnhI2W
KhL6mEop+bbbjWVRGhVsPGHj2kXnz4MB2lSN6nwp8TkkMm9ShIZ73qCrm25x8ZEzCtUIcSWeUt8p
ynw+UdS+99wsJar71V+ZCuVwVuSYpy1zlMvQwc7loszFrZcVp7S57wwCqQVtLIJVuP3Hx0tp6PGE
0YwMRTc3OzfRim2jcMZ8/HLfzjzKOYoR9vqVSnrslx7JmZAWdG2hNXpFSsUdqzduNDmwyVuNlMJU
k/n5gMx0g3jF/vnx4G/2aWhk+EbT9FsZBjT/Dt+jWYxgVq5phVo5EufriijfprNu7qM+S0/YiLiH
JTnn2qonQITKhQw5E9jA4WCU3SNEZ8PBwtKtf6WNbpZnKn6h82Ye14liam2xEvaASghotYp9oS8T
go5Kyx+GuRbnsiTZHNBCi1W/cw2y6nuSsTdNbOWPyGtqwLexxvpwNKJLahINUzr8FakMXKPKAijf
7s8uTWo7mMe8vh+jNA+HtmKtNkWe3KV4huElmHai3iiZMpqUhKX+pUzWKEq1W7QIELwk+lgYeoSj
USyn5wrc+Hs6GPHjuEypu9EtpfjZD0vc7qSrywvhCfHVSCxBvEyckvvsgR4AafUWYItCcXOdyroc
/TohNcGTjY11drPopW8nnYrbiaWY6bVlAKRaqafUm0KbOmwKoAcZV9jw5S9JPVUvSdKb3NWMSQdb
Y3c6U+AFG6glE33wS9Ua6vOslvCxPLPuz/AC4QBWe0uERZGmedCooz755RI714prdo8CkeW0mdTY
/pki2pabmn7fOTlQINcySbyfEWLfiqhQb75q3YQoGW3CqXCUDmXHx/PzsJ/595RZ7zgrew6lg3F0
qhXDACUpNaxQ6dV7wyxMP6nGMyUnpxhGsInT36nk5TfLcRWKYKXEjceETXS8IsCEXc62xg6hVY8h
EeRYMzZCHfap2qQXOPoBKaoKzBi+MR7oHz/umx2HrQziKiZKKw+DJXK4QlJzasUstSUUlotlJNB0
0BfR88eDvLMM1xalud7AOeiOe8ScozBr5loNlSpxgqFkOvhNrfeXZp40N/TD7RM73HtPtVqnEOBh
6txcj9Y9oL9Xu8mohpG3lNcEX3nEsbin+M3vjuJyCLIVAn4eN/eJ8vYKd/LU0B3z8UZWnno/T7jb
ffzy3hsFezC6VpCX3pYj3RInIKS5FiaG3pxnaknecLSkJ6Y9N3m+9EE5B1UaI3GOAy6nkKSONmZk
kxOemD1pri1QwEbo/Xi3lLUNgE+7ZsY8tlYbDA0Lztq6y4xoY2As/DJIoFS/tqRswqFnKtGCAGz1
q8ySDh7I7EkB8u1I+kte9t+cabbVQIXLQi5IUYCt6khUPLx/xeJsZrhiT96k6I5P6EX0sFgCOVur
LsO4y2gq4ZQIUM1mnVTYc5aJN5/3Qo/VYIgL7VHJNTpgcoJXtu10yNiB0EU9s2/ODf8/Rm+kKNvR
1O48wnG+JX2mfgZD9rxg0hZD36TOYsdBPDoxPQqRtFhxGvrUBir+fc/5YHr3CjnsReDaoxL5Llb9
l80Q47A3Dmn+NFaJ1iBjdrUIIN2WWZAWIp6D0pX8xPpYtPeVQwoa6cWdRwiw1PJP5axkn3WtVj4r
A7uDD/VPnc7sdCLLuXdiQO28YOfwDXfiPtv1qKX9qJkI5iV+qLqHxNDNe7uhfUenoNA2S5kWoNVA
akVQQoWbgx4Vw7AZm9ZQNnHmOt+7sdULP6o7FdNKM2oRmTdjF+pG3Gq+Dvq9nOuislUfJWeJueWU
YaxQKJyNMkpT7DILXdJQITn5W9MTV4Nzqb3cpa3V3OJZ3Bh+2o5xFSymmhar8R77Jua/ukDHNcfG
RhIC8hhHk0zOm6hXK+xsJ/MOUbb4Xginf6q6KJ0DDJdmcaahSX9wRNzkG60ninznJKhqfJpKcUdz
1VA631Ic6FdYeJISCFG9upWL6dIIsZbsgWRS3OesGD8835QzXTvyuKuHRkFctsEf2SNiXpswcm3K
JP4Eg35Rd56uiKfOmkV0hU+lk2ydfHKzjaO0xSe8wr01PVxbvs5JkfyaRw3gKIIkOW04TPs9Xtz2
1xFzB92ni+4+ls04f02izPy22Er2RXMqixzrfh60YLW1qAIjGcV4ZkCW+VYnnUNMfGdpnIu4vuQb
Dt9hgnCgxMslIW5RfmYY7YBFJfhKwRtCGkrbJ+UcXfSqKgNYCV638wSawwDeE91BsdRZ72Mvx1Hd
48Mx70Zcsp4L/vxnMzOdzxEDPVsJXwwrzGWMdniMasrOqmMYU0jQh28RzY40iMa5esjxmb2NLRLl
Nm3pxRdpY4tig2Nznm1wAi2+Y3NScVLBmZyDHC1NH7D5xpcERQ3Zxsj17qssrfkyVUvskucaW/Yg
Vs2s2aZqTQE0jmPOZ21mrd0KdOfYa7pGFwdpHkfZWblikj/NRqpfl6FOeLgkl4+1G1f3BWKLOKDD
15abCtO8nTUOYifilsUylP3oBk0xYx5er+ntosBpNlcVPJxrFdGPP0Bpdc+cMrIuqQyHgNRUcat2
E9bvYzth5SvILgBVyssYx71sxDgAP9kUeGBAz8cXmBz9Mh8m2oGd4ckuLMVgsCoKDb4gjNN09mn6
DLixOxWGB8bo1oZveW2j0rG35EOU9SBJo9uWIsz1SJW3lmjia1iEjbUt8SzFTLwsgU9gMVGs47Pu
4SJLG1zfuV5p3WkCI9xwTU7ssKPXx3v4aHCfIuw87wr8Sq7TShkUroLO+IhdCinvhZFn19jNU/Nl
uWmy41UafX/Fqd3mLBqyqNgMiPO6vTs57sLMmS1lo6lRbW1ZgIkNR8G1H1q9YjcYY1smO6hlCnHj
eTZ+n7um0HYmx4YTCELnoiDPShenziFRdrGpFp6/0rUKcs2lV2NArxCGIKyZHl1Zm126w+Ujn4KR
64cKSlAYL0NhYKHt8UBekJqF/pDC0im302RCVsSjvLydzWUZzoYmwS40Q60T1vaQD2iNFssKYCvr
8AFlW+/sVJZ0NkWv8d2GASOIKMdbGKt9t5eBxp36Z6Gm5Y0sjLQPWiHLUMl1El5TSAO5T5JCxmGg
e5np9xGrmC5KpUHJtFOzDqQxTXOgsXQkOUq9BwQ10+nd1pVTWHQDmnTBeVy4rU/gqO1tzWbyruqm
NvWrhJhbmI/5nH9LrVH/qgsDe0kF9WLsi2rIlY30bMg/MSKmfkt6EusOqXp2u2KESTgR5zIEOPfr
Fb4TsisD7jbJzlzSHINld1TOhTEM7tmiIMoPYkU66XmrcmPaRIqrP1l6nQw0dsvhF8jm8lmanOsQ
843phoI3E1vc6mumn2nmFncVdkGOmd5pNjKJh2ZnT+aS7RABqvdTU2rjRdKM1Q8ROWzIVSHWH6wf
swAv3/l6ppnaAxhiQ+B77CFkxFuNfInVvrihnu8y6ojUuZ/qNvlSwy7I/WWIOiYSNrovU24YP0ZI
2j+TcVEvbbeoMpzKety/F/RWd506mEaASnrcc0eT2RbHYwcKgh29uOABaoAPolvgUTxpLGpNlrdR
PIp7LgLL8+KY8mctlq7dJq2afR1jwxUb15TWc2yVWhoMXVImn9K6pAfusvt3G2VG8AGXQi+Mszq1
+k+SSFPtDIi6xPc4SbjbWiUW9YFJeVNuhYuEI1CXbHbORtks+Lg3w5Jgdt8DnzplXdwUS2+phOdx
1mybZuCuZMP3CSDlJRdthalvYIx9AZNiUNlNRK3C9sgr5Wdr9toDKNNcnkeVaStnpH43OmTqvLiS
1eg554Otq8+uMnqwUjwJqKlC+sEPq/b0T4U9xFQj3qB855jHdVtMdXrWlIYSaqxQLOVR0k930sgU
c1MP9SB3MRSxz0kstZuMRB2s1eHElDsnHcsHvPcrZwt/PcWHtoCSJ9hDC2xiq5Xx37tVgnVuoV2K
PMHL2Jhkeq6XbtkERq21WhCDvF3bPf73vrGydiDwqCoggVMvj52qGF/msldkMIzL8qCm+FcHMKx7
Ej2jSnyTFFJXFDepyhp3iQZwrUjdYZ3oYqY2eB1Om1iJbweIw5wzi2svfiKqyDtfMlMVm6pexouJ
Dekxn8o43nVs272fKovzhYTxqgqIBMTRIY10Du48HfsLuJ3dp7QaaoF7Tu8SPUnBgiiDFocf5yZC
2WmsvV2SleJX56T1Tqtz9p9usRsktOqEB1fpBNxhiYKJVI81QozDDlbHqG3ibjES3xT0/3yHPN1+
Y1EPfF9ywu1Iaugn6PDmfN33s7jX8oWvgDukvs65thsC6CK5wd7RtFNgiaJRwxzMhWls8pD7giiX
u65S2T9HHRp0EE2RZn9n/WTmTgNxYBv1mvQHZOnhJqZyxIe6U9A/gbB7X/t5FfzaRV1/Iiquwaml
yuP7dorRd1CKaxY/qS0fDAWP0J1UcrnsgE/q6VzL9DzeRE4vvpRZNlKnerlm7JCB4ydYUhzl7Mf5
bG3ZaQQdjybvf8TNTHVlt4Z+B9xbNUFnI60JhoJjMxjksjLFuq6Kzj3qgyeO9T7ZRjZkn72jC8xb
lZpc16AawKMDx6uzKHDSuDd2bqpEzwQCzdBv7El+8iStpQAvXOUJDbt3mU/d+Ak+SfmUGKP9peo6
/RYBFcEF0Mfmp6HIHeTXmLQbO10a1ZfKWQNHYdEpW7OyzJ8T8Kbis/2R7EAAUnahrRHTgUvSgOOP
NreNwPPGTAtQ3bLLd3aB/iJOTaXxOzGkzgbeS54Ce3ZYmnSTAQffExrxB+g16n3lCu+mzgR4uIMT
8eceVW134tr5FqdDVg36qsFAQDZjH/UQdC+G/DgnVgiTQd8qETc1wRnh4655Cux9e8MlfpBtDM8t
nEGxRzjEIJyCBMCp1K2wJSAnMCS59VnNgvv4Hr0C04f3W1SKSIA0+uUwet31gX9r3dE0JBCmX1wS
Z2T7HYMN3UI8Y+XLVvXyDHqVWYj7pakbcxM1uJycT0gO7j7+Gd4+KdgnRggryqNjM3b0pCNU9EmS
PxYitLC/DmmRPhB8rZ74dO+Ogu8Bahb4u4Z39OnKoelq4r3dELbW8NCMyYBZbiofPn6WI03VipSB
SNC6oH/OP7QPD1+oPoEm5tHshV7LtZ3oEbtQAzCm8bmvXO9HO2ekD6apTmgFjXbKRmh7Lz3X3u/p
6CWPA7c2CnQiSS9RUfc/Sg7RbIefyaJtDCO3b0epuL+oCdsTaNQ7E8FQV9aEReMPzw/98OeeuJW7
gLRuiElm/RM3ObyYMLojlqiyqOICykj4buxyChEd3qK1Z3PVxy8fv713vhGMbtNCywWj3jteXgSy
jHUzSTe0bW75mBJYOzuess3Ho7xdxCvbBaOklUNOjsURHWBIhkoln8mjRqTG09RMDWWc6+eEZ5zy
7nuLm2J7pmswB4FNacIevdUVZzfx7fZCy8yKM5c2hr/UnrpPW7X0ldhSX4z05Jp+5y2ij6VlDWeb
vONj4nZVi0qleohCapgxqFVRBOow1duP3+Jb+BK3JUjdBOxhfQPV5nDCJCiHeg0xWJjMbn1dAWA/
06dT/GHEbr/xYnligr7zKhFa6KshBbJF3unhePUkI9PigAr7eKDTpVYCxwQ7+6Km8eqT0uoXFb4U
y5/vGlT24MAejregfeu7/m1/VK1uTKIpi7jAggS77qSeefri7T5+l+99MQN08VVMYSIEPhxl9nQy
s+cuCo1FPHMHm7ZJ4/5x/5u+JFY7nF2cKGvX5XCQQqWlQ4dLCUdaIpvF1JWdEHZ+orv0zuICr3do
4mpwDvjncJSkKSDQtIkSSlNPg1a3il1hL+LcWsofH7+09ybEbyMdk69UC5Z9HDGSVxtiA0pZXkCQ
ZgkPlVvsnKEjokRAmz8x798iwrxGZjzlIGQCMiUOHxBeXlMnGq9RjGn0oxyi6YeJ3NlPncL8OkEg
hzfs2M2+tf9QkP56tuCZC1/PXUlMkKYOh6YDg2cjlPLQBPC+MTQs9DRKos3QqdYJ5sg7MxJ9P2XL
So/kHFs/82/zHonrYheDE4Up6oEdFOFl02Ecsvn4E743CswaChAIn6Z3bEqSegSddNJUQqUkKCZV
sVpW7UGefzzKO1MSUxdErDA/LHC9o2fplRwKzpzG+8joRGDlJlK8ilw7si7Nm4+HenuKcnLCg1ol
s3jGHn+hqCwyq4g8jwciPi/1MKiXvW1czYYbxrCFbisYn2tiBaFHWMm3J97nmz159aplbsITgGT1
Sqn9/aupyiRNbtNR2MVzsrGcqNktbm9em3M1BriWz2cfP+6btcB4VMIrpZXagcVwOEs0qysyCQU9
LMHTQs2qzeeeDKltJmW3sSsluip1MT5mdq+fWIVvvuk68srYXd33MJc+Og0QfmM23JpRKFDPB3mi
zJ8Q6WVBLObx8eOHfLPPrEOxGOAlcf5gHnL4kB2lylROHDyRNc/fcuEUu7G1m10xx0D+Pa0PnJMQ
cHw86nuvlhKF89vkdoiF9uGoba5xeZbsbiiBvgqPbS3DNl8bhmej6rZ2ttpn2tUpZ8d3XivqY+4D
KFh1A1TwcNRuUIUCfq+EjdNrW0TO46YTjgSRJIHg4wd8d6jVuYHDgkP92Nh3yvR+rq1JCR3s37Z5
ZPZEhAHETsQZnVgW6099cMlxoBRxGHlIcl0WpnH4VDYQn1DAe0O9GetdMg7z1ljU8sRieG8UesV0
Ck0I5XSPD0dRgA4Qk6h8sUkn3hObWyAErzrx2t6ZFxDLqEjwVuJ4PR5FW+plKss426ujU0HUa8Se
uCr9AiUhsH3ZZ1sgqOkOa9XmxDp4+8FW2x48lBgZawDvaG7YRgGfWo7ZHizQ3NOVhRvcse/S14lO
SrbfbKTrYqPQgzO7lnzHxHyb271KKZHvUbzoPzT6c54/SBvrPmw6FB+8vy7PBAEgNR3UTmKISOnj
nnjXx1/U0wmRtjDMwheI2/FxWWbkuFNK9HehGzf9de3K8SqqEMZ/vBDeHYUzkE10pbQeu7Is/TQo
tUaLuVBket1Usr5AE3dqDRy/UJ4F9BthOc6eCCyPL9mwEtEg50O8H8wFTlOOzgkMpSRLLqsjEc6x
Owdx3tS7oUg0uRsX79T6eO8nWJUG+MZj8EY//XB9dNzy+6XI4r1iq+P3bKjdR8IDezRqbkeWKxyb
Bs83oGttk+Mvz4e18khsP37Zx5N4fQ18TT7m6haDE/DhD2G4CUR7xJRh7rY1zSloSDEZH+2YIH7w
0hMq3uOjYx2NSpv0AyyZmMZH52OXk/0jFzXeQ5otdzn1h4vDSJQ+ohDTq03TafHjXHnaHxI91mFh
68CnhSy3+mAdPmQd5dCPoijekxmTbSx96c7Jqc3uX1/lH4mg/qO06UAO9aFU6n+rCAqJ0W9Ta9Vk
/aOgun4qUFB9rmiFrRqn/yyDev0b/pVBQSMCCEBLDda23pb/kUHp6l9cJlDHqPhXYv5BUf+PDErR
/8LUHisH6gB+WYlI/+qg7L9ABmmrcRUw14QuVAWvsrN/84YQlP3H/KG/r88HZyRLkjKK+wX3Gm42
R7t7VtpzT4Jtvk8iZWl8AoGUC0tvya+3EfBd2Sbdbr+rpUwuTISTBU1OEsQDUzflcjGR3Ig7jrOQ
DdorXqnsZwhI4PnkC6UhfTt72bpN1vyYIitLdtOUTvJ8GPVm38zx+FUhKs7ZWFpJixiChbbmPRfi
OSF+/htZetlT6vToYRekojQKafib6JA97yLPi7TfYKIaQ68rJsX2NXOAzlI0wir3yJmLhl9p5fiM
WN9ZtbSx+SHcUTmv2tylDUqbZZeoiijP7KgrIAvWXvtF0TVpEzDaYPOVjVlkbIDG5hfNSoaVXmOw
ZzpScwpfIefoqQUkcwMQ9exaHebKCBoIcaQyJik9OGkrNJGdsottCpusHgPgt+U2jYDjg07FZ9ef
G2W5NmqhvlhK53w1kLDfDUU6WJt66pseaL2Pp7CPsmLLlRrPBTXWtG8RpQG+tfZsur5XJeMXgneQ
6ThYadwhxV0zGkZpd+ftiLWTP9dmSUbejMVUmEe40V3IAhe1oOIGbdKqdaNb2CjoidshUoAfOyPD
t9HOLFIJLKUfoRs68SUUJLmfC6BgR0vGEbmTzvdoKwx+Mn20bBopHMgBKcHA8yTPA9X3r7D9tDRx
C/tjhfN79i7oOq8wPw0aEkjXzFbH119bASZ3wAu4AjQIqtU0AHMg+gbDawuhXrsJxtpXKJtJK+8a
8jKfEl1NPzt6KxRIBKmdns24J407daF54C9QrLhtlabz0k3Ql/1SJxn7U120yydmdt0FldoNI61u
2ZMopaWwTwY9glVVdUodOo7kUKRtE92rNKECdKRqTPdp6lw/MV0eKe3Uy4n8rM6xJmKqm9b6Uqqj
9r3JiBXm39YVb8lQ9E+WhYA8sJeGF9aUgrDYjkDeX2bUGRohOB0vOmG68b8dvbwdS7O+7/Hzcf0h
HVP6mlrfOr5adPEPkp/bK89sh3ZrGxlqibHE18pLBezkuV1mxzdHr1XJbZYxgc1te1XlBCAHEW1t
Z1vGSm1v6ipCOlxFrbBI0NXEzMtW7H5Dxi3sBafoh/sxHefvWc0PQcvdsbm3wpFRnCK/HlfHgCtp
oKLwm8rAEsq0lwUZTDa0Z13aTckVbbU82XSlRmeQuQmFKhdu9DOWSjoGMhGQMkbT6A1/nmbvV1rH
hbLFF6DSfNvtWzaBxh4baxerOlwf4pHsL1NZDUZg0T30rhLLA9Es2yi7EZ50O8JP1O52aXHkRA8f
LXYQYxGgb/OJbuOJdslx+QDQ6VKTri61pM9xcTk8WeO+H6saGnA4WjFT1FXS63nqq9BNG+uEjd47
nQTGguOI8I+RQJEPx1LcbHIaQqtDp8yInSE2SPrSlf2PulGjUEuX/jLWm+FGTaRxDbCv39DqzJ/a
Cp1l1s9G6I3FeFYUanfXQbbei1gStB5ZaeGbfOivninME+DfcYm3vh4wMZRGHCBvkXVRm2qFfEcJ
rZwMaUnM747Y6X4n56rdKaIeQi8p4nMzheuUD8vdbwfwzd+H1e8heq8alKMzjCyRNeuV2x59raMz
DDuKZnGhxu0TpRFdwPdXNvCI4rOortprYyibbRKJdJVbFb4ds+i6vA3Tyqiuva4pn8o0t2FkCumc
/+lPxg2UvczF/gisiwC8w28ppy6T0NfjPfnj+jZhx/4kGs0O56rLr5ekdM4UTOUQiwltwYLcxLd6
KjS27InscL/miBh8B1BupeWRDfjxT/dmUjtrWhQXHG/N17GP7bPpR9jtDDVzbzhCBoRgy/uhHe2A
80IPPx7qraaOex3SPZp8yB3Aqo4+UaTMfZHKvNzjslMSo5RLcScH5gkrQCY3mCFYC61gIa7k0JXF
tpPSec7Vtp/Pur7XrH0CydA618jU/jIMsf6iNeNyMXjLMgWNixsdnAkT3RTsgce+UuABGhkRyhvR
Nsopx7bjixsQCVUM0nUcZYlnOsZIkzaO2nZS8n3JBwoWRWohCRTGiUvo26+z+o9SSegApaivjt4Y
tLS20t1M7E3RKvd5mUZbY16GLe2CU3fEt9jCyqYGo4DxTAl47CPV1cKt43gQe9LDCIgvM/OsFgip
Yw7wIO/TdBOJnjz3xv1j6ISBaX9wTSLek5L3cHl0Qu8i1S3EXs+UYat1yeTXYo5OWPq99ybxnFtJ
/cw88m4OR3FGkh2bchT7eZ7sn6QtQVo2luYbVtj9H97A1qkBWZzKibX+t5/CARA7rB1vnaEir9XB
YOH4um7+8+PF9BbtZUdBrg1lZDVSOO5ou8mSta278Lk4Xm8mKH3LBkBfBnOeo46oXWqnE5PxvSnP
SfJqVAsr4bhL3HWa3c2TEPsCXORxGsRy4WTTqXn43oPR32CuO9xxgF4PP1RSp1pTlanY16Pq7OqU
e4Y3z/zSwQcyx1zd/PGLZE5wLcNOmnbpMcl/bt3axQC+2KepKnF5FA8dwgy/z8fQ07JfHw/2ziKj
Lasy1zkN1kiXw4ezBnvoVW9maribwpHVWWWKz3pCOVGjZ9rChJ19Tz8Vj/POh4MqD5tEpy+B6OQI
fJm9uC/zrBb7XCncb/UYkansxvIUav3OElttmWESuIDmmAkcPlyjdRnOmUuxNwjLC+F8ObsEW1UK
5MU8UYq9/l0Hpz2evxb4+CprprezXo5/X2OYcSaVOkf1viHnZ8EPJrF7H7tmrJu4btvQs5AQfFFb
0d3AVGifUEzqyB4cd16I+ojbAZ5XOv/Q4nh6Qng4fy7zaJVJ9l3yOYPAG29zqBzn8JMjyNItjD1M
IwcDS01CCZ9dayFmgr2GGmMZhGv65NgXX5y0zyG+d3pi+RL9Om5oWm6iuGkTDBglK3Kn9eR6bWjN
5180zFIzv60VW6NQ6yrPd1G8bhDru9CQi8h50CaXWKpp7Gpz01noYYIFZfm8s+IJIWzaZfq0LetM
vVXJYE99nZjLy4jY7CJwjDaFY5DmGPvkRlPF+6rsYydQ9HL4pGWAcQGXSJ2SPY6R262tdK772W1k
gnvucDqE7oFERG99m+TdKkCSpmqBhVKcK3PvVRn+XXp8rXlNW11grlKdqH/fmbEkx6HUZhcgK281
jvn980ZuB0e0zMq9BTnmG4IFeYtbl7f9eDUemdzSKsMJm+mA7BwuG43do1mksRJcMfTlfvaoloei
sZfzPFLbbqcnuYYmRG3HR8+JUANkSuYS9rtQYEDXHrpsD9DAlT6d57jftOpQQ4R2NFn7Xqdoz5rW
zOmmskfjpXYt8mS4/cR3btTWDYrGiFtXiVfIpbd0xa8F16IfSoWjX9gw3frHflQhBROhZeGzhr1t
e2L1vLNQ6WS95qyvJmTHbfpihNvvWma5V5Rc+SZYSWNgT6pGnJBinTLJfG8wMKw1d+bVT/1oP890
xZ41WoT7NqmG817ip4zdeb1DhaOcKDDfSqSRI4Oa8TVB0zlEjjY6p4OLDYZS/H/qzqO3bmRd1//l
zmkwh8GdkCtpWakty5Y9IRyZM1kMv/48pe4+x4tLWwsC7uAeYMPYRkMusVj86gtvOOrGYKK2WvV7
5FO6G3DnWgzEt1yuSNMRfVVGLKZL4dKlynXEBWPe4oXb8vweYxhMvfjcxeNfXWX9TooKspsQdBfy
6T6o8xyxQfpXfgZz0/IxhL0ETjjfaS4y8nhSOJICLs/TjwYUf9Nms50fqzHRAiWi6aBDamAwpGsX
TtD5PSahWo78n8b0/gwHMbpFG5pzcdTQENro801Zl4Er4EaEErFNBCv8WR8uKeW/tKc8mZRw4PyS
pZ4+Yd6B98kNuzhGCYDiWLibxM7NQGvMz4Ib7UJmcB6EQP5QuT0TpSFrrt5gKRFGZeIWR5KieFN0
Bt1P+hcXtvKFtyYvMLjYkpYJ5PL0mZYWzOuAjeqx6NKUy1+t9qkA4gx4ubmw1AsPhNSVhE8xHaCe
WGXaAyy0XFeG+iiKabpPHC86hJliX1jlhZcEfZehKzYp0k59tYo7RxqE6aI+dvWu1wSbVqYjdLNE
2RiXbDlfeCJbNYirbB5buF5riklKKyHqY8SYftcMMdjyOZ8fXr8nVrrK8p6QXF24yOwbueK6cB0N
Uogwtdm4mdKYKgYoeaHl3XawqjiA4T19Qi23QowxtL8vaTXu6JUot1XapxucQMptb9rZp9d/qRfO
DapC3MSoPSNZYK8Kms5pkNanj3ls85bWDqMC3yoUb9NF1ZsRatyQQJ6xV5XzWJSTT4+okarR4HZh
dYzTcdnUVtNv0kZcyuleeCA+avJ+amr6OOsGzkKXuVxavT4uGM8FRdS4D2gPeHtjSO03F4Pc95pk
9PJkCJOtIqVwEjfSjLo5KhYvkaTNCwratsGMPuX29de0ngLKYTlAe5wWwCBI55LV3tFGHFJRNUcT
kgNaOv38jamd+bvuXSQNLb6/z7PRDJeQAi98GJSezHuR12IWuP7UpykRqQGY44jOT4q21ghgXVEu
tSdeWsWD6M2gCrAfEMPTh8vzmX5z79XHJBXqXawsaG0qM+2XC5v4wsUOdx05AMZgMn65xulCVVe4
DUCH4ei5yfAD7Fr30Zi9yqbNnqGjkOt1DTGFlApUhCq6D7PiWSU62KOpbzynzb69/lLPrz/EFriH
8Pymvj/zQB9dHMGduRqOXeflR9znwq3SpfO2COe2gcToJF/q1h0h8w2x6V2Ir+fficyIAd3KNoZ0
vTvdC+SM266YEEOwPNGgi2wPGJIbXdAssMNef87z98tSIMnwUfLo0KzxJp1uD6Cf7OFoM8LYCUOf
dpWjXILZvvhAjB9RZUKEkXbX6QOBmGfCV0NSy7WxuFGchejajZbxcTGV5NKlft4nphRGngBoCgLi
6pnaijCstGvhKR8FvJVsM+ozrCQuxOa9l1jJ59hpZ4aIw8wYC+XczNqixm19glZufGg6Ow9yvUBA
VomFcTXnxSVt87NfDwdW+mC0dhwiO43sVWiy3dx1Y7RUj1HXh5S0hlM0fjKr9s6axfItTyftq4PO
j1AP8I/M98rsMFaqei/5LWAJ+XU/zgf8HZILmFD6PLyGP0tu+Zuhj8OJ4AaECLC6cOraSiFeogRo
Go3X+oVAZnXL3787UR7tELlCNRMCmvWoLYWZbLwuEb+X2oWpOral3vl25s31AZqH8QOmSW5tO1h/
jwvbf99Grqb78Sw9RhC2FdEOZSfvIaWz624bQGHw0r1CnXzPnof8ps3a+JgTVrMPZY5Ah9/Ms/qI
NsCEoUjjuFfFQMF6qyX1/HvpZ/MHwDBRBXnhpsKPIiwfrlojt5xAtZRU3TK+abtti6REvo1ju4Y8
h8BJ6aMzDz0ZqQyAMZlRyToUAZTeiOkhKHVBC4eD1uM+NXHjB4rqhrh3oq/jBCXK913QQr0+Tqq0
OalrpfuaFk75OHVVU4NZVOFpIaxjlztmJLMVdNY4537ULAMJxaxX+WZIe0vbVrHURK9EB//VGvtI
bFNwxgi9iBlWf6IrqE4wHlJjqQM2/OXBMkWFBg2oLwr6r78Ng/HprzIy6TrklEHwopVZsQJ8t7Pf
2uK1+BjhVQEPV3ZEIxxWDJq9sXjQRqNjfFrHJj4GELUDG5e1g/A00UE+NSCS5XEvlSQqVCk2gAVb
GGtzjfQAXF7zL9UUyAi4zNFRCa5j43EKMbbyq8JVow13P7pdaWFXzEnRN0Z2obatp2ZWYwVq38BN
DGdXPJmdUf/UG0jojK9N7wp5uuRng+YZrN4iL76juyDYrbIpJe25zG5TKCvGEdaoPTFimvsLdrXr
sM8XgBgIySbFFSB6e5XZ2hU6lVrYDEfIZvMxy1CGYUCvPTZLr14hFlDdNy0QL+bDRrh7PRKvk2pG
gVgvEyFpVeBxvwZLD0YxtYKAfxzSLvxoC8jcfb6gSajm/Q66n314fb11TJbrIcZHCGLqAN5Q/j5/
QMDpyiytSTw+klooBwNxb39EZGA3ad3P11d66cmQV7QMORuiibUKK3ODwA79wvGY9k61RQBO+F4y
IU6vVfVnE2TCpVxifak9P5oHoI/XSemwfjRnUBFZKp0Rea04CmLD6947RWfCHAira9ftii8cHes9
9gSev8y4R5VNjp84AfOY6gA/ZjAF1yg6VBd+sXWmyO9FTgEtSWLvJX3ndMsRrBuYc4OyyJ1qxlfB
WHDP7KvbuMahpbVT8YC8SnohrJ8talOjORpSuVJ6kRLndNHRKhVzQFEdaAf66xt1GACN1RbeRxs1
M4qPdLGocMDP9hdSqLMDJheWqFxpXs6Nt8pinDhJUAmI52M31lHlu6VpB6GWGZsuMdUvrx+xl9aS
0yX6ljwh9InTh0T5K0xB28xHHVmDfR1PWe7rtZJ/QSlC7F9f6yxG8Fyu1I5iN5lFr4cktYoOvait
hVoJga7AtHs0cQTUoZobxhrFJkulmUSm5MhdEEeytxb5MM0Ynkj9bAk8hIdw+rBLvuBoVrv60azG
+bM11uMmtYzq6vkx34T/+9+G7JPnDCbeH+/zDNh3K71CXwT1/fcP/4vpc96xuVQAqH0Sjh3Owb+Y
PuMdMGSacHSwoY1JHuM/mD7rHeKCEgDAqAkMrISi/+NAqr5jBk8JxaiXP0Gq05NdIfheQ/T9/fn8
T7ImpZx1k4eVCHu0q/jQTk+BEtZFtGiNcZWjv/U4KWHxU2/nAWWCPsoeBW2FHa1/JATsXkehL6sM
h3tfs4+hmRmd76BkQ4t6MvmxOVSyjdWCi/PHPDPuRI3Ml08uh0VAMg99HdARyG9m1bS/A0k17hJB
LuOHFkpC+7xykye0YOzbIcE6Tp2Ym28q0EfhLgHs9kuLR0SHtGGe7/J50LWNWc3dxw7DtTvM5Mbv
Sk9K6fN3rz7UIbxdUqGp7QHSkirRLXOqFiEW1zy0kZqCxKu19oOVNctPA1OL+oDxRvaXCEU77I08
7KRkQGXn911iMOtLkPCztnke2xZYYKUPLEQ8wMu1BXoBSpEicqFAktOO6I7WPt05e8H5xjUfpxHl
b5+0sboXtjLuuKn6EPjhLLASAWjYbqZOIsRSC6mEwCOd+1hbRXufoB1s+UxVqh8z9qzmwa0L+9bp
LGSlDGske9ef2NoRZF2yXXJTEZvIjvWbDtWLJFjsvERhE6XCTdZZ5fsmzvmJAV3FoCzz9H1GL+MH
+BvjJkmUrNwp1FFWkHoOaBhE+zCGEKAJKV30aJl3YdGQug40l67sJvburMFTPzdtunyn/gYDGsaT
NuzNdFQ+wVxtkmMZpt1P2UhX/TlZjCcwo2a6GVD0iHdtveSpH4ZjBNontq+7LMbRI9WXKr5ZFE/W
5sDfNFB6FSgWW2/CMmhHkdS4pHTjht5tGfv2aOcfq8GRKlqhzewwS7UP7QKmxOcHcHewi6pJ/HB2
GoQ6CsoGGpDim4o1yNelndJuS3YGgKbLRV4FsaaLH2S2kPQ1ATqQim1Gg22EfHurFJn5Mc5Lnes/
72oVbaYRVFVfC5R2s9LR7sW4FN+suSufZDG5zeqFsQ+yFnUYzFz9I44c3kipggqv35cxwEc+arx9
JS0cOQslT3xVRDpS0I46qr5osITzFX71Ix9SFW6suJ8iRof1TvCRfvEWyHaYyjSk4JVef53Qu3jb
dOAZEiU7eHgtoCBLOb9q4oV9PeTZ1KnHGdmxXTQw1RtRlj/WhnmpTX+aVPyzFDQi5gL8D9b9afCZ
6JoUXuIuR3AdtZ8J5WNrjn/RFUFHNLYwwll2fwTpF8Bfpznk3wsCsEZgnfud+lT+9z+yVT1p0hml
vuWYF2C4IgdFphnUqm8aTPPL+OH11U4TyOfV6NRL+I9EczGHOF2tbazaBt02HQcnRa2tVcIAC4/m
Qjp4mkjIVWgCoFYtTTglCnC1iQoULa2O+/EYYbT006o0c1NNi9hPTZgfwqYznvI0LXd9NScXdlNm
CH/eHXJlQB70l7iNTCLa6fP1RtgUFsiOI5ZnaBp1S7fRm67b8OvMO7dwqvtuMhwUOozkzkpQmHp9
e0+ztb8fHGQVABpuSEboq45pm0/1gnKUOGaotG5DR1GCJArB74bIILy+1PlBNSSfVrYVbZOSYHVL
TkkFIhne1BFZEnPLTiKSVsMtwjHS3VhZaexqZ8oubO/zHO50f2GIygY36RnX8xpt7/W5GidCG46T
gcmaj4Ji5RIUq+pzWCE6jC2RaX7H2Wf41KuxUDZA5saPqm3kySY2xyL9iAqHOWy0JZxzVHQNfMqy
DhVIFGP60duBw1ajoAIA7ltyUDEX1ng39rX3CVsHx0BGCCSDX4faw9Bn5iFDGuyuiCioCdIdLmRz
2mf3TeQtv17f7POPlHgsdQmg+tJ8X7NvRmQNR32aaJqGc3mFP2V+BTOmvhOpW+28Ib+kofLSetBf
IGIAKiMSrc6RJaok7fQB0VgaDcDTbed6LMZ4E0XEfROxsjcNFeS55ZNhigeGCLweD3r62WRRrJWW
1YujO7n3gMPsG8/t9cc5T9+GmHteiQqRcyvxyBBv5ZP/Ee5UZMDJL+zuKAYvDJKcriRWlH3w+vta
YZD/WQZkI/ktqwAEPV1GRzLfQFKnP/Zh7O46Lvqg4ez6keJO28VRxJUo7A8TQKI9NIyeW9Ke34dk
kYhwoctXtv0vNKY6P6FX5cdJ9Lho0WOTwzGwG+WSR+N50KJ8pi+JxQaiOWcGO0VoLVPqqt3RoPm5
q+Na9duexpZqN/TDwvJnq/colRexG4wwTS8EkvOYxUCJtF2FLA/RZ322E7tIQdzN3jEXSwaQEQpJ
Y+GyZvdWceG1nN8+sjkAzgFKEaut7TchavQdYCP3qOY1zba2S3dRVF/qN51vJyB3ZHlQPKL9zyx3
9e4dc3ZlXDrGDjqEjde5V6ihVwcAViH9JpE9mpPhHcFSJ7t6trM3VdHy6ElOlKQ4MeOUquynyy+F
1BexQufYLLN1Mw/2dVOLCCMTbdmR3MBsF5p2Z6TapRd5HjSk5ybjFUCVfM3rJrce9mTjS+oeTSd/
ipup3mtLmgWLQTnUReqlTOmFl8n9ivA7jS9a68+2UX98yfZktxmwbOcIVMvY4nI2Hjtuxe3rX7Lx
0lPxOqlF5ZCOjPV0O8u6boZhUXRwMaO3bGNN5UZwJOeHiQuXhSoMdUDcj8FWAHJ1g6pr/Iv7vUJ/
DkbWFwOJwP6Km3LqMcPUio+uKUp0fIXm3i/DGNEyaqbwgSZyM6Bz2yBWTJbSf8ubptUDeNlA9AxU
hDEWhmT0eUQoVfdndxqUg+Xh9WFr/U0ecalB4Z86BNCoFrJtiDuhCsO3gjOU0xmNYBSFXXzhe1rZ
pMizBlgIOIRpw7Qnp1slxhA3Z/T2LO04wrk5lvHYiECP899uZGZyg3LjIY37oTqKhbjvI9ACUBBr
D4u5jNa45T5EwR+CRawiVi/1FyJbKd0LAeY8G7SRCQdaSceSGLcegI7h0rc4X+jMyJIEqhuzBvdQ
L9GcbqLSnT+7k+Ng3CniZtiMC56Lb03KJMjCA28gM0PpqXx6gnBc8Gho9fC/YUjsMy9OdlWOau8y
qJfQqiu0BS9EPqMk2cgUCTi6jE1/fBSzGSJ8V5rZEQ9474tZp95tpavNwR1KxLXxRcSovE63ogz1
60ZRP8deM2/yNO4OKbp/D2EVXpo/n4V3A0grLWrJxcSdZY3RoYlMH2EZsyMY+eSgqSWXXV7jrZlb
F0YMZwFBrsR4Eos7SCNgTk6fvU3aHtIg6GdQGHCyrZkyOnHHC6fppecxuDuewRwAH1fhtcYb0kQU
PAEp5jgbO631m0oXS2Do+fgmMPzzy5SKEpAkGJggLbYKPV2Ob8xop/BLNBraCmECMGntXDieL50Z
IHaI5SEkI8fiq32Dyw6KEZ3rozkp7bZAzDTgaLQ3bqeIwJtCZ7NYXXad1329zz2r2rUzLjJWXWQ7
z4icg06z78KrPLtCeZWkJJxihHnJ9FfpExK/eekVZXIUY+v+1WeLuUWe0NpnzNc2/WyHNAeUZq8i
U7x1lfySWuEKM/H3zstciAPFsIO/nx4lK9WRfMUQ46jNotu4rVNep0NU7VEbbA/t4unbGoKhHzsi
fWiNIt7ozmhvU7tYLpw2ufcn9Q5VMuUJF5wcoIGfOv1F0IqYTXDQIGZ1Bb/cBjXSkrz9whE4u+NY
hX8bJL9DXgxa4XQVD8ebBRmM7Ng1aER49oLmfIGAplaNPVeJeSkPOy/j5IJg0JkJ0lSB3HW6YByj
qDAXkjTtYoKqakhMl9027d+XVV/smRVH+6gefxul2u36ssDMl1rXp/RzkeYU+RZoZhiQvyU3KTIA
u9Gwf2ejOdyMgMiOaUYrKgdltyG6J9cz4qI+CBhx0Kosf6/N3gwvOcUYaWi+qya62m2ZaBdA2C/t
KMKMQL7AIwApXcVhJ4rpLSpjfdRQwN4uOH0H40TG5XZavNNqYNOvpylnJpkSz88lw0ExKKZIw053
tJpF3fUNsCx8u407u0npq4VJ3WDAUZdthGR0Fb0H6GYXUjGZJINR8YKjZD7G9zSzB7GPjBrw/Ou/
1nmwRBTCAjFCmiCZn6sIJmrdGtxwaY4GGvobXvtPlXwqQHL5UhQ7jxisxF4TKRkGctmcPn8UtaXm
ln1zFJ0X3jA7+2nWfb5fSqvdeG2R75reNTbZZHkHC0LghUj9wnNCwCILYhaoIRK3et34EkBFTvrq
6GjLtC8mBv3NNDc0L7NLHJ+Vs4aMTRJFKdULUFKF2LYK12Gmhp6GPTRYv9jbwM9Pdl0Yiw8ou+RB
Yjjmseqn/q5qJCu6xJ5CaSy8sqtGOdjI8b5fLLSDRWZh3YOM/n40Y/MOowdUPenM/Xj9/Z81ieTv
CuSYBAztFBpGp28FqHWIRXOH57QR0+sP+/naVuf53mnm8h51O+1esytxYdFnePhp0IT1i+QgWnqw
FMhuT1eNCBF4NUEz0OCjHzydicpUp8YWstAv/BtUMm40kZex+2xSoQudv8wGAxcFPYObSMesCMuQ
+dFVhmSDorEJr6Trts2MyHVtVrxfty+/6V1tIFRW9h9KTVt8RzTaBkUE86YB9LIb6lE7lEM6X6cx
yssWamL7siqmbcS3fwUIJN+GBRWLXtnzZspN8zrWDfhL8FX2C5q1b75GaHZQ7zJzI5cAXXy6I7Pd
lcYoXOWqlI7iaeTgCB2/UT9TnkxkNWgjsAbyYvART1dBXBkb3ASSN7IF8T1G7Z/yPksfXj9S5zci
XSkA5ZYNwgKXnNWRynR0zRum0kin8VWXc95L/exLmjvnHzQDT6DYEuqmusz3Tx8lMzInxt4rouOf
QVGd+v5YFbaCpfq/QND/d+PgE0mY/ygc8/+rHMyzmN5/9sT+/OtZCab4hjP2C37Y3Kv/DI1V7R15
MFNj+tuy1iQl+3to7LnvoHDCDGQyrLoMSfnc/xkaq+9Inqi9aGlRuwNhkFTPf8bGivGOa4IgStg2
Gfy7b/LDXp1K6I90ZcEu8E/Rez9De0I6sEhLE3VnYPy+B1827vrJiC5cM/bpMgygZGkD0gdyDOuA
eTk9liL1sn6YkXho+ir8nSGdhjZ8pJphYJooroCvGRwHTlpKR7MYCm/Ycl2Mn0oNF50rg9HaVZWM
yLpoWER8xaY1oRhrVXH0Oi3xtokdmT8VqakaDPlMk8IEL9ZsMkvLtU3aOm66RXChROlCuOYvvWiS
J0/hLh2WBaClgbcgTtgMHXA6CqP895CY0XcXci3K9HH+qappJW5IYbCcMqs0ag9WVS4xWixONviN
Wrjv9UJJS79T+/mhtlF83CCPb3+iL4A3zzB6Zbdplx4Di0VTszYQUZ/jC7BQT5MaWHjEKWWp3Bhl
19ypqaE/4kHGAFTR8a8A5osu+NeusET9GXsV+JUYBxa/4gkXGWxxNEzhCqOusRhAx6vDCtI0f70l
cD2/O3Bakr0K94c+56oNwERX2IxhDJpwS3mI2bKgcNu3FQxyFc4yjT9ToysGRHcVHmMzSydHn52d
VqjZbUUr8FiptXl4/VnkDfo/N+zfq4DlI86T3VKZrPI6yFIa9kqOgwoKVhNmMSm7UYnm2zhDPrNF
FOwL3oTGxhRi2L15Za50NFwJzcjpeas7psLZvXKF7e5MTRzsCS2fuTa+W0gAm1l5i0cgwHGkOi7k
sevvDrC6QWkEOZ1RB2XL6rvTSlefSru1diN2xGQO07xLGqb5rz/b6aUjtR1IWNAQl07QOtGKEPdn
8yaCJhAlWGDstBYWtRIl7veej3hXJFZ8oV544YGAN9mAMZ//WKdIc91W0A4ma6dm9RAY+SSe8LBa
LpTxp1XQ8wMx1AHlYzPIhty8fqChNFoqfWsHbFzKHC1L+zGsxmz0m27yvrlWDXvyzXvIvJeWJJgB
2pNrCvyYU+DC47N3DDVGVIDadAfbft7m/Zxt374U3WfmSECGzLPOlrDLVnNmlhKOMfjpoosgVem0
ximqPq8v9dJGyqMnuWfM49Z6sVa0UHYAzd0Rr/LARXT9a1R3jQ9YN7wfl8q5sIsvrCeFKhnt8geK
NKv0Zylzq9YUzdll5oijU4PGqK1l8x40ULeh53OJE/nSelybOp80hEBu+dOTr1Mb5yFzu12TJs41
q5S7uVjqve0gOYqcVfnx9f184UuDG01poFOyMQ1axS8ztVNiG+tZrl1+rpp8uOpQhP6CoEF6IVSe
EaUl0QXpOppYjMqRcFnFfW1scXdp8nDnTKJ9inIbLH4NZT4KJKRp8Mc5rBq/1A3M/EKw/RE9t6lT
/DmukpheqRiKQ1OGbRf0pttavtsDZArcBf4aSJ1u0nyvHpVh09aDnfqWFs3vK+4ZEWQAhx6QNe9E
0DZatXBtFqisOJmBwtVUKdkPggtjvrSIjatEbasLT34eY3iVKgcTS1D6iut5kImAWt2YCmg5a8k3
JpjyTTF2v15/ky8tAg6BwSH9Ql7nanehPAEziTrug9QTG6wG2TgbXN3rq5x2F2QgQ+hHsunpSpJ2
rVeZozpPsRr2dkACu6sx7xRoCIO6naxB3M9VGF0hDqpunUGPHhxxEX/Ep766cJH9AWUsGffQ4egr
yQv5j76+YlQee+ck+ylphvGrkZDb+omaOf0VGmrz3lM8806LXfsJHnfzvawzd/jo4JW3iXBmwynG
au/o7WkC34Y4H7yDGsazui+yCf8b0c+Qz/gg2l+E1PxzMYfTh2nJ8Xg0SuV3sjgxDhZFbMd+6Qkn
9pOsiR7rtlx+OsusVTBtxsb0bWNorvO5D7VDhw1ddxWV8E42FpIJKWKpuWJuF8/BaDcCIe2W+C1h
Z5bHn/oGHTKQG/pycBuPfw4p8OQb/X3M7my0bG2/0m18sayefsht2jXie2a3+i2iUxirjbYGfzp1
RZtvs0zRPpUdOp6BpdawJ3AIK4Mlw/5ok1SNfa9bTedtdHJ0AaCuN/OtMhRpt3NwHe2ZPYdoPri9
Uj/O0eR9dYdJDnDj1v5kOL03+0Wvp9d4sgIbLJgDAHEMm086mOScvHeocLfS1PxJaQGgbJxcsXMf
Kt1c7Jh/GKrP5CK5nixIG76AMoJXkwJvhl9dV9ytUwvvxms9C39T7K0AidKCvjOXsQZbObTGU1+a
OqZAoVq0vhVbYe6Hiqrf9KbTKyAuy196HdVfQxDvHzPuJbjyBU0if0rtASNDU+sf56TEnnnBCPTn
2KGUHMA/HBcIN14z+sowtre2GcfGpiCnpmlWoVbpi8GGsQVnEBfqIgm7m5G6H1BpPAALFGmF01w2
WtZnnrjUcHeu4lvTbltokzauUdQZy1gd9XgYyNP63nuCJobf+Rh1M4Zurb7s7azvS9yn2moBb4Ac
XKCicjYEAmz7e3durSUYaqilPkwy86eK7e/1OPd4zkWVneyAk9XzVejorYIpV6mqDDsHcdvlyexh
durZP2scj4PcajlyuFAVj8tEDuKUDboc5QT9yet1EKRVDSIDl682UCaSVvnfSrg6rjM+xKbmdhtA
ZqBsQ9IzvygKYmnlIemMRkmi+1Hi4CVQa9g1wMMKR+lG5+QZNmIhpdAC2hLvbtWEaRwXOrZtVVfr
H5Yh9VDgA3Q07OiGmx+memjjvSbSJtz2jhEig8KGQe8RmUbq5JX4aHXj0HmYYMc0poyFWZCPH0uR
BqZWF7+zPjKU296oWvvIyc2K+0adPOWmUODnBhr7ZQZN04sIg7lwKQ5e2A7GvvI6RDdDZi39Hr2M
qQgyQLj4286hVkR+CuK2O2BGJ30mJwFm8a/Q5ifvei/UP3hVNuQYb5v9Z1eY2o+wDLNIGoxp38Ja
mWwMMqfxugMg9YT7Znxfi8EsfKOq4jFIHb2THtyq/UTwE5/UNtLJ36WPWlNJ0UKgV2m+CV1szXw9
En2ypdnIqUuY0P7GZNz6NReGM6KZr1RHMx2a7IBZKaZl6KBjKiWaxpjuPc6K2M1ZIaoNW5WYW74w
o7/VU7OF1Yb3RLPvxin70bLzzn5Ss8hF669W1S/JkPTKhTzu/LaiYgKVSAUhB1tr6R2EhGoB+S7a
pyN+wllkaDu7zr6/flm9kHGQu8i6jPEV2emaegqg2K0qb4r2maG3N0zYp+uJaUvku6FXPKDjiv9X
m5flQ+Uk37WwVc09jsfGD1xAk/66mezsF8pAUbEROSFjZ0BnwhCu0yMAcYY73w4ezY4NiKESYC/D
wO9Qean7HNxRv4SFtih+2OohMo8MIR41J01+VGY3f6BRnD15TrJc6IqcbyqEDRJwRvwQzM78WZQE
U9zBjOJ9N432HntPaz+0RX1BkvrFVdhUJoIkhTBUTm/gJjQrI0EKHOcCGaS6PGZuFV8iMr24Cn19
Slum5ghdna7SQ42GHF3Fe8OtDB9twTIA295dSGdeWsWjUWaDuLfo1a6yiWLMiaOWGu8LHAr5o2EQ
ZPTlBX7U2Sp4vND1x8SBKRj/f5Vki8kLI7MiqBWal2y7GqYmzoOXZokvrYJ1GNQhqDsoEqwSQNfg
yktTJd4ruR0S+DzlK07SFc3G/25K3v/d2vhTIvNZ5+vPjoc0rAEPyUxaVpYcgtMXsyiGjbAi1sEq
wL3fScU0/KrurVhHvRlbXZ/6NrpHw0pUfj9Y7lOUpp3tQ2hQPuXjhDGREpvVQZ0d91Nam+6v2YuV
3+Szc+HD+QzLXZFbS/FebYcGK6jFgUyR98mYbDCrKLY585MPRoUKE4Fc8aSddtwjIYyxLTJY2oLC
aZpPPfLTnpY91KnJmE8UjrhJMRz7ljUxAkVGjJQ52vCLFe9F3BtJAOUU62saconmq+hU/MXcNS/9
paYRuH19/+S7Xm8fMowSmwFSyHlubP6Rv85u7yAUrSVsH1wGQLrV+6xMl6NSZZeG2S8tBfKOyRhZ
DuPQ1SekQn2o0WJK9lZuY6la9DVUX9SeUy/JLnxHp+MtygI5cwUgwHuS4PkzbFjq2OPYecleNMWh
j+3It4T1nSrgw1za94NhXYjsLzyajgY6s2763BYPeHoIlSbWatfs0r2V2o2kQC83XR66Pr7Vb9Ut
4dHQSQcPwpGnRlxPjFIvits0a9J9nen53lPbEVC3Uf71+rF44eOVHRTIq8inUl6tGkQtsDV90ft0
rwByCLCkLpHI7i7pV764Cr07G8wBQ6M1wtSY+lko6ZTuE4qK7ThqZB82xMnXn0UGzdURR0IKYQRQ
FOAO13o61mQ1TZJo6V44RLrGLM33Lb7dHfma0vW+bnXi16yB3DbLov3y+tovPSHryvGD/MScVf+k
KsYoc1rWppPXbDyEGTYK9c4FUMOLq4DhIqtAIYuP+fT4IWVd4SfspPsqi60NAtUQq5burSRMefLw
mgC+KhvZZEunq+S5ES2iUNN9VjC3dgBLoz6mXtKve+FZ0MsA9MS3K8eWq2sja4deUAlne31R4oNX
DHSTu/zx9ddyVrVL/RgQqoxCOQ/cGqePMibwksTS5Pu+GcINIiOT3xsW9mpDKJKdU7faz+cF3zRL
/I8TwpM54v9GAioAwj/2/4yASub6TEA9myVK/unzz/47SrTf4RnDSIgXL+F1nI2/R4mcvHey707c
g+gF5IoX+q+nhPaO659+Fkk1Urg0lfjGOrni//0/ivmO2bcD50eifYAcO28ioMoofhJI5GQbBI/B
d4Zs1hr81sWh3bvl0u+jsq3u5lIpHqABjDpVtwerXHHsg5mWzocprZdbZBzmLcNq8PJLgSH5Hxv4
QtqzAsJxw0GUIEtkwMr3CLpFnvA/7u1+aNOhwzxv78QjunTYA4dI8DsdMhO6AHGzjxlV/Lbserxu
kEJUNg0tvw828KenutPacfv67wNAbL05zxgGWnFglGRnenUFhrxqVuvMfYggHJ0QlcgHiikcHtvC
MO7gJTp/VQs76DctVvFB60YdathuNl27tGyqvYJ+RuFrdZ3dZyJdkm3kwH6gOWCax6HRmmw3w/5E
uyTBIS0Yc9wNgngqIrIynNc/Sm7SNy1FXgXPiLp9qM2l+YmQyICZWptE91YymvYui5fmIMwYOT8M
lRn1xfcxhGcNRwsPQ4KxBkbhK10HY2moi+LKcMMw3KqtF280e/wl4muIn+1yLUYr/6FlWR0FnZ5E
2G+3C3xcTZ2622UxvK9aWjJ7QJRV9WhiYAoCeo/ahzsnT5YgmzT1zgMipAZ27VgjwplxrvmaOU5H
W4CFCoCiOVgn2Wa5xd5CF5gbNIMDUD1BOcWwFf2nzhW26e0ouy8qbf5YuENIh65Nq29hmUR/WdBa
6eglk/ZxsWu3CXJkJL+Obtp+bNuWbN8UEyTaVmJGfSfSps8QsJCG6SNlGPyMftwPV8d4XraUqidt
cXU6jyWXs6LUIdoqWeheo5ySjEGiM/y7tcYlXr5MM4BzHxyLlm5zyIbpVrHHMpWTuUH3PYyhkr9A
SWvqMcYyPjmgwaS4N/lC/r1xeiP3aDfikTXFWqtdUyljFN3VtmA8rXVeS8epTj5NozW2vsxOfjrx
f7F3Js1xI2ma/itjc0ca9uUwFwQiSCJEUhTFlFQXmFasjn3/9f04s7qbAYYxjD2nMZusQ6WZquQB
X7/lXVqcITKRpj+USaOYjXW7StjV11oTmJ2x9nsMBFnS2jXGT7midDkauNWIDj3XSxfgj6GMe4ta
hnnIbQ+5WjthGii1lHECybMa4AjNSbn4JqTb9thlg4jvZItX/WCpa4EZLV15GLF4yf+Iklxx/ZLW
Lu2ZEbUCf5pVao992da/Z6esrNBpjBXIX5vN5aF1XXooE2mDCBUkFqLAy2ZrJnEX2epPrMAT2nFw
q+epSL/1bpbm1zYuEzWbRcsG3JbhwvuQjpzh0Pbx+hleEgUptvB6m1XrYBxb6pPOTh+SEYMTpeyR
btCzOMa8gmm7qrO+7B+KfG0XoPcdyDgzy5OfObor9c0UVwjSmDgxjLumi53iOnHWvgZsEBnhONbE
7k05YE6bJE52h0hP/6vxKhejK022SzQhMNqbekpWvr5k8JYMXenUoNLc5g9fXP+IVA1tHq1RrA7R
aAiYfpQt0b1jpSjSFmicfRBmPM0B8Lj2b3vK5kfqKcMXWB81VQwUPBAnSkr6CeZoUY1qhdVTSOys
AZkts9NFMBupftdSxht9OIUCw3F6QBnHbTa+Fwl5F2wOt9T8RNc7donAziR0c1v76sxYgATlGuEQ
2vcN/vAQoewbWlFhnZTlROkVpnVXIqpC43SmqlhkKh3AFD63Dq/RBKa9xgj4BKOIogRDIRd7FU1J
OFy1icDhboK+eedNa+3uUyWzv2dwR35gJG98XNUYowSdy32f6ARzEMO9WVzhFMyBRXQJXqrddorp
wwaPk92ktAWaJiPFSx88n8Jiz4ShfqwBptvNOpO1L6qofEpK0XWH3Jm846zqlRVkaeZihFROsbob
FL14oPCuPdi2EH3gLbb3jZt7/TlP6oybmbLkDX0Bnmy/cIb0J3bMy73IS7EiKiUG028cxbE+6kNq
A01eEv07ujKQafVVK2NkyJb8Y625CL5M8PyznaVRNMXnvkimwEO/AIlCmTHh04BEC///pWiuB6tx
H5I4FzQyOucqjswkNGaLd1SDo4cmAsoCKGctZhL5A2J+xh69QfEhBbUHu6bPY89PBSr/h2XM8r/X
ou3/1AnpQZBEg/6rRZYRncLW0fIDnFFLOaB2lH9qra5L98OaJvc4vaDxpTuK+S3XqoKfG0FY5czy
n305xpTX576rf4s2aaLDOKcA4THXGaPd2vfgS9FrWT4NRAvLDVwcE+UI16jLfYa0HwVubY5uvaIq
DTDASXcbzVQ0d51b0nooK5s8HOnBCSo9i9L4FLPWb3YZc/B57ahNF1G/mj7omiUOyd4Kd6dHZUm/
ss6sn5ml0k931ZFCB1RjnysY06f/H8z2y82v//O/sXtBIYqWJSU4ieuHWvYiDjof2MoI9X99/F4P
31/C5M7+Tf8Ocw2JcMOvHeF6yR3+ryBX9/6SZChgLMSq0NUJsf4d5Gp/UTEGmk8GSZYH/YJ4+z9j
XP0vKcRMXAIdAaIAUpLvCXJPG6pARS0JcSHPI6Qmad4m/vNaldzBrRqiAJAd1G5Q/jVOg/kZk5Pk
kGDdgOSBNgeGEf1GLNm7eTF9Z8La0zrKP6MDanBoqIIOpPpwGtVSlCtnmJDYySeaebRRwcABu0xB
T6fNx7eHOi0R/TOUxayC+5LiWeYmm81slP+cHOkIdUnW3YKE/OSae0XPp73jiA+rqN7XY5AjErCj
dUbdX6NWtJUvTY1KGAurHLbtMHNFoKgu60OXUoPXc8jlQq4u5W1Rj9jicNXFwLhqiNRQMWrI9SOi
YBoZwF6rne767Tk8MxTFDaQVAFnyX1vMV1bjizYMhRaqZRn9nvpZSvcjq2fUg3qhZn1mKKr7oOup
ikt33c1yeeW44vPQRmE0VykkRSBShOVpR4iNas+F7Oq0BvG8UgwGohMIKgUweRBfJldTmUidrywK
MdxJ/9ilgf2D3gxXb8/e61EcFZ8Tj/oD8DUgPaejtEWEFFGUOyFqr+V+qHUMAaO2ujDK631ONA0y
VRLJ4btsC7yu0tlJpOZ2qDRpdcjTOAcyNOXuvszj9CYappl2ibNe2Blnvo03HlYu95sF5XpTYCnj
uM+lIlRo1MZEXoMAuGLWl9y65Qz9d0Iu1wlWOh+HyptLyrlV1aCziZZIpBuh0WBCZRtN8pAlbhHS
b3U+YFFTXQDnnW5CrnQscICTAZkD2CLz3dMVQxhbtVt4X6FalfqfhZ4t6o8RskXIN1kXnMdOv+2f
sUBTWjIZ4jHY0hm7qoub3FK0cG4qZe+W1HmFWYj7avWSG5QuL0mznK6YfK44xbSJadcB4f8H6PKi
oNBmbR4pVcrtlM9IFpaxB5vZ8vJLzKMNq/F5ICo88P2pYyNxvtXswQUxz5SRS4M2M4aSvMRZ7qvL
rOwdWU0klcjvJywAjzoS03Adu/FXBedwZw6dcWsJM7q3jGQugrcP44b59vyzUPKACCxteigmbc68
M3hVPy2jGs4kG5Clc3c5TG1mXZce+RydW+tmXrsejom7BMOiTsEw6Qk1464JosoZj8KwisMM0x65
Wh2KPSI4+7moPCg2/XoouFMWf6wKJ8iWAh9E5hbteHuKruexAlDdpGOgQTDf0VJvPkRNk90hIUmM
HotLV8KZpUYHhxIShSxu7ucVerHUeVcnjgAtT/TYmbvUGpObKAGm/faMvjosHH56vlDeiKKwIJJ/
/mKUWRnnGXqLhjRKl19DdlN2bRp5oSxqXXgc5OX/3/fAP2vHbfCcd1M13A4VlTiOjLQPQhLuEfuE
zNmriuXduAqwCYxCjSDS1OW+vdxbOPeRHmqPcCZh1/DLTz8ysycj9tpWo19mjbeKYJSoaeufpT2N
7+ymc0BBYkq2Nsq+sCfkRf9iPkW/dD2gLi1sU2BiDcXOa70oi3d2059HoTsHFsKS1f7NKEpe0Mxa
DK44IBFXaatLCLdx4bCdWS/YJzjUcM8AndvasqUUFKpUSfQwtkd9H3d6fUT/pdsNRo/Az5LrzmOB
cjDmnt184Tk8OzQgfBDWtAbpcJ3O4mBHQokMNAeifCk+1qITP+1caE/rYI9fVLTcAn4xLNvO9i58
9KsLXa4f6tfEnHBbiDpPR45ai7Yx+E9E58zxNsYx8jD2ffoNnZ95hx9dc6EpdGZrEv1JQykwnqBN
NgVZydDSppQHpEwd7UEoiCioa5NVlLW6S/YYZ24Uyhi8U+QNaJ5vCfENEnzQK1YWtJjLIBN5cqgS
6xLYeqNq8XzOGYaQgp1Drf+5Bv3iCHQLLIJ8MfXQjqrjXFDcqJUbI1E+0CR/EgoR4ej8bgzzI54Z
37UW3X5t3g8WjlRLqTu7xLYu7KZz3/2stkX/gTB4qybUabPqlmWm80j35c7uo/wosAB+/03KqwwC
m1AKHKa5CTuUOkuGtW4MHAmEeBzyOA/jLLX2K+5WFyLfc5uU7IQ3gYYJCSd55stLRlWbocmoUoYq
6MofiAqPIVJc9lMElAejZa+/kPDx3vM3bu5u2a2XjFmOJA5rpyM6QsCvjGsrBFrtdYGXTNajwvGx
fOw5UNTGNHSdgsUylU8ZuD3NL9ZMnX1nzusbAyRcvFusxTR8HcjYregoR+5wqtbma0D7E8D4mXaH
7Bk4N/WQabRfARM+1HE0fQaLhB7+UOjWuu8tFALEXKRuoDaeWWJQrDSfdNSipSZZrj7hNuHc91mb
UuF1ajRkwH8bnyn1Wl/iZiwe0dAol4MaG2LfLh48Ig8o6aPWFhCqJ5GqR2/U2j8uEd1DpFhmuy/M
Yv1dcWUkB7VyxRH5Se+zZa8L0qNJweuBfDxSD61liEOnjfEj4SAE+SWRGi08rq64Bj809v6yzNZx
HjJ3DqhD9tW10SzoDpdelvxpIVAFqzrcKBqOZ0Eyd+bXGrdDIhNd7d3AaBWzQI2Gh2QH+ryIgmTK
LDfQW+I3Cn+1iT00hEswprMT/U0Zov8JaNxVIJKJ8Qk7n+jJK5f0o7Wm7oMRZYq5IxpQ4IChRwzY
14spCRaADZFgi3Lx6DqR/muJq2Xa4fboxcCB2/UzlcrIOFhqpHzNl2Wx9hU6XYjkl7HYT4qg+WKL
0s4wpRFdSCMJXPHQmO3fgDpBzBmJipzqQFP355rFUHdjs4bIQgD6rVbUHA/mXpgJ5V41noNJNYsb
wes8+qVhdmFZiALZArHmV1M66z/HqLRnvEXybvFxBLC+1GhYI+ypQ8feCeHl/4oLoNC7RseHOGiw
M7aBsjjzhcfizKmgMSoDCjA54Ac20ajtkEwbOPSFoprG2zoX9iO4bN0XU7oetaarPxfIjl4Y9Mxt
Bo7+ufdKTwTBsdOjiNH8CsVO6GFauQNdMG+G3+BYh3fHhVLsh5oslFE0LTajxErSm3o1G2GG3V4w
xd5XlZoFMHDK3W+PdC7VwGaWmAmKB9ezK2+7F+8FtgOZ3ZLOhWunTij889Xw8nEEtxXAcSCXBxwG
ZSFlv1olarr5DHKZXDOwIiN6rMuKVhZVri9v/6wzdyx6ahIJRcxIhWFzxxbAw80Vy8Wwgwl6X/Qo
EXs1TadKUSOsTxrn/YGj1GCXIoU8oUDxTmdBy1otBvSrh60u1puCNnsA3ibbvf1VZ8IN4lKKk5IF
Ab5rs2Nbm7p5KRwjdB1JCjXQ1Fh1wOnxSpn/7aHO7FOLfUqFVhZpYZicflCtG1FHS8YIk65sPk1O
HF/X7nQpS3rmbm1fJj4GQQe4JXD/NsNMYzOZRawaYbz23hUeWkiiTmV0v4gFI43BbAD6pRio+Uo1
j3T8hmg/6cUlhsu53UJFFPEM9Fl5PjdhHF1ldQU0bIQFdlgqgv6gsBSF9jowM6+gtJJFF1by3PQi
FiBL07BpX8FD58VoEWShz4dx4wJLxNV3ZU0K+/YinrnhwGXAmZHOhtJb+HQRR6dF+YGrOrSs6ZeN
r2mDKN6c9g+kOI9uujy8PdyZjyK2QENRhhoy/j4djtK54vWYk4b9WKJOQNM9aCb7vSRfsif2AaA8
6vHU9raHoCqBQHgTHxUrOrLky2DuFHO5JKnyrNew2Zmgo2Dj4UwL8nl7g8yYdNKO1sFFlKYz7GCk
xOpNkqA7GoN15J2cgf7ukIqsxn2PjypFdEPNdlQCSW1KLSa4Kruo/pIZS/WrbBd9n3HM4FWMNTJj
VqstV7oxGVjwtNUIb6DWh19taiOciN7yRwDqNb2QN1G8zP72g4ijWRd0VKkZbjb5SD3LWQfNDNtu
SAJjnJ39jDD6+zc2FklQ0mTuB8dwk/tN3IE42EWsjqWOn1c1n76KMb+EqD13b/B6cIKo2sElsDav
TrJUuWpEihnaSWx/QedG+7RkioNRrbCMa+zzOog7bMgfSzvlB+Qq8YswLtbZzm14jGbBooKJloC9
0w3f24JY3gJzoLdCu5uiOvnXGhHUvb1wZ2597FSgosIopG64lVNaXVNR0oUEiKjy55JF8dUIwWtX
DOOwf3ukM98DY5G+EGQC5D+2iXuxwOUtmkgPk3ly/dQq3Z1QnO7CrXRulJdx13YjWoj0EWITAg1a
ekAv3/UnQCAXZu3MKMQlMvZhxujcbV4WQEWtVcSWEbYUIOjQl9Y+GZKLmoMyktqcKu4gMivp7mM8
A+Nehj+NsmRz5RUmOo7tR6wL/oyCyL1oh4OrWD+8NA0y5YvTKHdcJo9rvug7dOkf3FxBs1+3g85t
MUwepk9ptzz0rb3utPXS/jk3E1zKlLcpGtD83My3YcaU+BdmAqJjc4yX1T3EWaNc2DvnCgfP9uuU
6eiK0Vo8PQyy10lZZzDDKDFtBPLNqhmpu67mfQqPDxBAi3jHQah0BH2Sg7K41decAngEkeqpauO4
26WNMP429XrV9kMSlY7fmhUlq3dvcrQMWCk6QxCvdDldLwLWuDYyr5QQG2CvDuZ3idjjAHFJBPnc
pFOkAYOBIRtQ202oNlPf6/lqM2ysuT8gkmjiW9G0X/4H3wKnAI4xAlUIGZ9+S7pOSxIV7D6Sv3Hf
qHZ5ZSvL+4TVZUlItszpAIGt5nu27S2CNHguVW2G5qDGhxFbapyWtP5QV/37p00OBasAgXMLgZrN
tOGqnRVGV3GvqzFCFtQCpq8Ohg4XLofXVyoKWbwc3BAcWp7503kb4aGlikF+BMoyw709o84Vowp2
SLWoenh7jc6NRWuQvo+Uh4KRfTpW5RhFa9rst7hx4g8zttI79HKVcGmrS7ju1/Ee7zvvrosIHCHL
9j2iraOns2JZyHPimGdBQLovzb68ohnj/kijhIx97NVLe/DsqFLDnK+UKnTyz18cqFT0peZ0qoWJ
Qqreazn2sr5aKiumDQ3HCxSNI36bdTodgYQZBiGbEzuHEXfpbB+p3SJJQ4Ut9ms3CCOIYSvcN17u
fMULOoNA0LTzl97S64d2MJJfwJdMz4+KtvuKWXQ77sq1NO60pja+qI3wHiJtdjNweymUVgo9d2ht
dI8ThGaXLk+ZXIHHE+T1wkZqx2rw0bDqavgYYdz3PWvnRkPvnaLRLgc4j/Sw8OKHtqrSB0jH2hMl
77b19S6LPtcDLFJfdWL7d6pTFblwRz13v0+fFdpkPCko5hJRc4ts5rTJm9TqPDvsFxH5jSWM65an
Zpcjlbw38bkN8sz+1OHVel1EFe6NOSAkf05T8cFT0ip4ewu/vsz4FZL/xXtKwLV9QZR0biBSz3Yo
MtQUK0Adu8ha3AsffW4fEeZImgop7qtOMxjK1cpb3Q7NVJm/zZPe7fIqFddRl6bhuva2DyjSu6DS
cubT6MfCUnhGjACvO53oUdNhKg2pQ/ki/qYJI3tox9L++vb8PXvRbZYTqg/XGlAY4qrt2wj7xXRX
1NfDAQEYCGy2mo/+ApBXQRBJ0UHtYjN2bApalUE/FvZxQIPWvS4cFcnCebRtYOeu8qTmKU1Zoggz
DkGmr3ftape/QJ178Z78IfIAILf6ITbWieaqFCuILWzPg67PRhCEQs8pxYDV5R5I2hLattE0lh/h
d/9x6GJMITykFVyuwwibIgpxtE+UqCw+pymo5BCOeeH4orP70qe2CzTz7Vk6c1FyeQA1oPoDO+VZ
BuLFPTLPU8k/sRN25VQFi54kPtjQal81xiXwyZmheJqpa1D8s0EobVZ9XUtYg43mEIIiYdNEFMUV
wEhXeT30F56aMxsMaAEfBQSRa1bfPDXUrUdK7Rj4dEDg93ba2ldJ5VyKQ8+NAglUFjDk92ybQ706
ejp+Cm6orADbSQNLf9TXaP/2Cp0ZBSE5HnuyBNRWt0UhXXQwP5PUDGX38tDb6XyFv6RyAQFybhSk
aXiV0U59XXpaas9MsxRGQukO1qGdveG6rqgavv0tcok3R5KSE4EGy0IUsDU6W8yc6hdXA70XQaVJ
zZ/MZLl2jJUeRZIivmbvk1X58/agMi19NShMXdmIUWU8fnrb1I7de1j3AVLnASHyVZKHnJjrq4uA
61UijUDev/skgkf6bEtVSukc9/JtHkeeUICuSmh6VbqrTSML0s4WV29/1usVY5kkogW1aEB3W0Wh
MYoz1YG3Gxpu1hw8JA8AElPif/8o8IzAPAFrkUir028BOez0+lJ4YQxY+CGqZv2QwlJ9/yg6aRKx
DA5NhFFyCV/cQmM7zjjXtV7oyG7MoLfddzunY/7ubwGOxspQiAEXubXJSLPIKTvoWSEYkfhhHpz5
UKx5/vQ/GAXujuTp8kVbyuzUWkuiaRJj1w319epaCA4ubv7u2jeqjFLqCOaYVKXbxn+AwGtIWFEI
f0X15xW59glWxYV1eWZbnZ4d0hDAspK6Rod62zmxpYQK9BwvLCFP71yitGvakVnQImVytdqJRDQt
VdCNy/wBLcTqg9Kb0XWdNf0OsQZ3b7apONZxbNwuOm37g7l43uO751tqe1OloVgjS9qne6fMzdVo
KILyEzX3BkTgGNgIcVyYidePFxgqug2wQ13AZFvcn4uQyJgWIgqTtVJuinHBYX2p83BCwucC6OfM
wSbykzkf4RGJ0qbAxXc2lYvPehi5afWLrnV6V1eNewFFcXYUwkpMl0yqadtulUcFYJ2cJgp1tenh
ryTNtUqT+fPbi3N22mj1YaVHwR2Az+niZG6SJm7NKC4aSXsVb/CDhaYFoj7jJRDFuaHAoUB7lYfv
Vbyc6J7Ar7CPWJKm22k6ZIoyQpWo6ItLiJdzc8dFYppAwABHSTrny+vK6jFYqVX6FSV2kXcusv2H
FbJc8P65k9JbnHEQNoAwTkfJG61PJoX4NYmcGvUhj9cqsaugmMrh5u2hzn2QxIwTn1GxelW3Gy2c
yW11icK86PJAx5z9gLH7cOEMnR2FVhrwOWYNp6/TD1JjJH/c1KDNk6z533k5P5XoE10I+1+/9oQQ
gPzZAUwbb+PpIKNiirRo0igkO1WugFTkd2hEIeIzquLRUQEwvH/q0JuTygwSALWFsya03esOiGnY
21n1SPhv3HJNXArTz02dQ8MWKQG8aF89kDa6PWNWsEDUb7DzMuIlNM3V+/T2t5w7QujMSPcwqvtc
pqdzt9oCMEg3RYjna2kQq4VyG5udct1A9z+8PdTZD5KEezpKdK+2+qZoIWla4TFUQ1D6vULU55gC
j7s0b2e/6MUw8s9fBBaQVLVM9CuXAuaBt3jT3yuVl1zVynBJRODcvuMAyR4ckQw9rNORsJpfnK7T
yTa7/mk00CyIlXny6TP1e9uqiguxzLkPk+omUCL4BubwdLhl6VchMcPhmpvO527Imy9V1FsQRdN5
uXBun9d9EwXwruLVQrOWPHrblutzutUrgs7H1bHa/UIN9yeAm+rrODpXSmzNoYps0FVGckF5Umtu
cri/kMzm6DPdxPYak+DiZ+fyb+/eQwh0Y8PMlQ8C4FWndVqtIh9HO3TEUO5LLreP/ewYP989CueN
HQp+HDrD1vvcUnoMamLDDpNkrX1ZZ9jju6BfmOMz50FWD2HsIO/Kq79Zz6lpI6pJfItmF8jHjOp0
Gzdq+v7QQvb7eU2kWxENlNNd48xx7XbIbYXRmo0g0GZ1b7dO//6zLZ3L0IIGYkAQbJyOYi11k1dU
G0JVF/PRTbSM9kTSvDtjJVkgkLeITSnAbgXzUyBRaa81TihWExb55KJiZ/WXcvzX5wzpBTITHi0m
TN3WBL0ERI2WwTKpUNMO4HB7t7RB3X2R9Oq7H2GGchHwYBQyre0HmaIuCkWt7bCGqRuoXWrQQzXf
TfWQX4GAEG8kwjSvesVdrVv4tTCKUIH8JemA49IIt7Qa1ksFVblnT68NORQBhSS0cFI3u02ZlUnX
E/b0MrhfhlwJMTz7FTvDrVg4SWLpLpQVz60V+CMA3ji5w9vaXPZQcYcyz+XuVtQF7N007VOB5RvK
aen/5VDyNXjxrii9USbrzCwmparvZncaH91Gtz4URu8Eb98/rx8WNjd3rnQOeJYDPx1Ko5wvUI+3
wym1ED9ofxlx9xX92c5v6/LX22O9voXkWEAVoIpQNt2WTIWNmHUrq4Gp4jXIh67tfujW+MJdd2ad
ZJ2dKAOgGHq5m6dyGBCJ9MzZCau4h6LYpIq1G6e50gPRje6FU3VuMPlm0SAlDuBfTqdP1Qo362Lb
CeN4Lnws4uF6F+tPhAaNd197YPHY8KwT+/3VtTdNwmunRHfDhTL6Ti2QgWwBAF6YvDNLBBhdzpwU
nyPOPf2etnHmtklWN4Qc4u0WZ6GK2la/370PSDx5jMinYJ9sJe7IhKe00KkuaDjc+X3Vi+ui0pVL
nyIXenNBEMzSE6aNRV14G6tPul0pkyii0LGiddirdWT9LKcx+9RCl/g8Vaid+Y2+2PqV5wzZHdjV
IglyPA0TePJmifUlxpbZXp+M5Ga0DJzrK6za2VbrMgKNjrBCyqPG9XZoiw7U3KMxOtqgcVCwc6IV
r9sm7e7NDkNy9Mbs+iGNrPpPgZ2mCQ5DH4brzqmVn7MNsnFHA8ZGnAMgYH7VTvb4qULzOtrBAULw
EsPB8XpQXPdX12nC3SELWtn7JjKM3G/dSiw3sWK6YtcVwribGiUVfocZGeiIqgWehMxJpoBJ0pQL
m/+50P3GDG/RYfgkaEDv3SjM7NG+bSanxjKoi792rtEHtVtTyak8PcCKTf80GtF45a4Vxpj5isrC
2FX7AgHUXVQbpl8WlXqw87XeTYu9PqD1+1QaEQLiaprf21Pn3S1l9v7w3cJmheq6LBfzJG5udLN0
o8G0OiW0vKrYtU2dHXAOnI5omv98e8efuSYA+8jatIVuFhnJ6bEa3chYEpmbqubsBu6oKntK+Yh3
eEl8IXQ/c4KJJalyOsw9hLzNsxi5WW+qaamESizifeQW9RVz0F44XOc+CC4JHFI5fyR1px+EHuqq
1GWqQFTFYtkd6nynNfE3s1et4O2pO/c98rmlYAVa4XXxwBCiEIuthJSg3WCc0twCWzTNlyA1576I
egvAYmYNuthmM9CmSuq+SuKj41RVsIqu/NuBZ369rs509fYnvVKhkvUqegBU/Ci8ILS4GQtnmZVC
dauE2jjf8nx8ao3qaan1YieKJUN8AqEluyw/IT5zZY7KUzIvl8o/538DEG+6cxwAeGunK0jQ1LQa
KKbQKOzujxX1zTfomSuCJaByC0SRfS3qIkTrWieYXL19cIde22U8Qu/OsyRpnFozL5usN29yE0TV
rV5EWhQiYDIckdKMadLHl3xWzmwjmAG0GoChaAY0ttPPRb6mabAb4jHIXWunUfHcY4o5XTh8Z0CM
HHCaaWTq0ul0G5S266IUSVcrcAF07agXZv+UJegzppGJpjZohPGmHxXtIV1W736t1eFzvFb5x7f3
17lvJd0DlYlxDnn1ZkZNrbG11eNes6F1P8YCibNRb6oLPYIzB0aCekgowTTIsvXpjBp6OXmZnsdH
5HqmoPcq/VE2XG8TLcbF6d1fBFSBIjwKwg6gs83qlX0r1jVSlDBSOSAIt4yfmz5vjQvDPMfwmwcN
+QysJ0nIwEUYm0OROX2+4HPJ8o3rbYXFiwIu2M/K5MM6Wjd4vFzjiILwofgwT+ndYsQ3nbvMfjfE
94WNnBLYjR4U8KyJQynEv/qiOSA6uke5/TqNlWq3SP8ACY9JDfPCpSIX9dVPf2Yq4K1L93Oz6NrS
5XOhmvERWOTXAVCGT5kSqjQBhDD478p+P3uRAyt7x5SJKE5u4ysBG8OO1zY+GlbS+6bQlhveufFC
In7uomIArkneM0jK2wfNa1JMYeYyPqpugUmAyK6SooDwAfrOsu/saJx8FuVH25W7JbM/ToPz/guK
2J5KokZei7nr5rYuathpabLER0he2q8UNBQiWC3gqPfvcdn+keqdSJBsicoUYJukXlnAZHbNIMP0
wK/gLF54uM/cDdSBQJPhwwtObos8RjgWwTcMPo7FZMYUNqoRAIiOLljw9tecuQmpAfCPhvwD22Or
yY2RFtRgvA+OhSYcdJe8vnzQEY5Bgx8lHPCiK2gWP9YHJ/tYTF7yifRKFPu4n+s/b/+U1xcVYE00
E6R3CmBZbxMRgdksDFet8iOqvTcuZkNXyFEgZTfln94e6AzES/K/2SvcibRvtqatWV70qgu+6Zh3
CWpmkS2+tzCnr1IgsoTqpTIGFQLf+6RZ+l0rCACZigUt3UVLPqhFFl3iw51bBRJTyYcDfEaxZHNx
roDxLNwry2PNsj80dRPfU0ypb3MEHoHGVMsNvsX9Aypt1n2pamMIE6J6d1mQLYAtMq8h5+cVWtLJ
XNwn+zLlbdeGb5HdqDe5Vhb/ltdC5TX+XX3856p7KWn+epnJWEkpGYdzSgh8+h55qaf1Y2qXRwHD
Zz+to31FD2C+wi7uUi5+Ziiq1RIaTvsbjvjmRsjKNqdDrvMcxYviG1ad7iutGAA46Rd75M99q5OL
nb6zjOXRgsB79pVytZPWNOfsuT460djVwQw7MNo3GeHYse862wlSZAGexOQUdOrrtpn9tp1QYVsJ
d8KOEgHC/k3tPK44vHmPEFOwHBexAXseTo9efbBh088+0jN6Higzzr9XdtUPOm4OS/KnGaltaPUc
/zDtOqsxN5yHT64VxZNvNl36ReTaKHxl5dj6XtIt68cW3xZYkHFX3QyGWB8jqze4Z0xn/NKDY+2D
kZmCXMpPwn4HvSrNz8x1+ONp5fo3qa+GS49HTOpHKy4X1xif8L/r68q+B/JWxb5aaVazLyetu84R
EkUoMUrLvZu2SNrhvzh9QVvO+pcSpTpk3kUTJPM5CbOfNKn5O091TT90CNx/6YuufmIC56OoHWhh
5RyXtxOlF2NfN6ORhBRj5/FRK6Mo3lflpDS7xksbw08ihAj8NquV1R+NDv5BtLT1k1NlMDgQnlxR
WRUL8jM+RDhcftKOeYsH9AMXHio60zfuOs96YCv5+H3J+6kIqnK2ij3pNF3ewVsx0116YStHE0Nj
ZD7TNAn513wJpgEBiBKvFFVllLjPrhuEQr9P5trgw+IAIPTXocvtnankk/c06J0yw0jNvMcGNVPC
mV6lGGuMovvULY5KmXR2piPPkWX6eGzYzW5BTXD6hVdKVdx1uoapIxbQTk3V2MWwRROa9hvFkOJx
1GwgsllcdSPhThx90zplWql5NNgPtUhO1YemzEV1SNMh/hXlHom/meFF49N41rJdVHXlFx7VpvWN
DMuB67lQLDQc9XUpgRPn03DE66/MrxSQa0oweb21oJoZw/t28AgbAnsxKtT/vNF0AO32ZrNfCB+Q
ydWTyd6tdpFZvpnTuwkKXdQwMhZltnZOUs6IDzml0NmCVFZBvaIJuY+koaqfeq3LIqFLs+7XZeZv
i+Je95BBUNr6KlPWZd8PJPO7fnbXOlhSvUn9wRI8ah5gy9qvCMDuRQn7lVoRsm8BGPLkbjbB8fne
4BT3uc50HCx7LuIdNp4pUrRNwpcNU4/5iLkm1WenMqMRLVYj/TPFmDf581wXGJMokXdfKtacIp+J
xYJvZ0X7NyhFD18NJTGweyb8Gz66dYFNEoD86YOuTbqH1qSW2b6yYGQaWENfzR/6VrO/PD997xLq
/n9NghvcCFE+PQpAKlLMHIz9i/f+lWrh7jdpxvfijGbhub/nPzULXbQJgfXgbqDJbOPfutyG+RdJ
L1RmQjBT/tF/SRYq+l+21HCXfUd+GEHvf0sWWn+BkEPLBrwLHr9ENMZ7JAtfVf5hLFOOZ39oCCfC
eDt9L7Gj5QUzhHlclmr5k7X2/EONBYa5Q2x/UKzR0S5kV68GlNko7RqgOhq/fyt1naLaNqWVYxEd
2fPnJFW13VwhF4jMgdg7k1G8r2LOqmhgyygpgI0Ffr7NiAY1aut8QDWpRzDm0Vit+l9jbVyqhG0C
6udRPFXij3ikEUzfhB2dp46LKxTvaMbp9IjysH1YU7t/n77Qv0ehgkFtgc7aVjCpaz2wTsLlW2at
CsY6iQNvvQg5lkv+ItSQo7jAteFRyR6Nu21Gl/rSeksze8cqIUnep6udX3nCM6ZAr9GNfXF6zsRr
28TueTSKFBpCkgyGsNHpBrRNRZs6I/KOrYlvqp8lC1XRLB7ueCD0H6vO0/BcEuI+xsVOybENwmri
P7g7057ItWxN/5Wj+m7keZD6XqltRwQBQTJlksAXi2TwPM/+9f2Y4RQEnKROx1Ff1CFVVhUE3vb2
3muv4V3vO3poHw/F5e9vZmttzvdCMgOQEhTxZBi20eOc5fjCdeMdamqp2zo4JTvXggVEWJfBmH0W
HH00Gj0DdHeRZJij9bdPPnRCi/ba5B3iX8rXQ0HpyIrh5KG5RkZzxdfUxd99PJKMRJbAvchOvUsK
i20rWkJZBBuw3aVbwusLv082IhQowDC2CmNJ+qQ28H5bgDeYQQ3sDP7dntCQPs2mb7x8E/addu/F
gXBSab5//vvnej/KvOWo9M0pPdpLsKOvC6U0UyAFnkzlJvUU+btVeOXPfpTLv5cAYHHMo8xdwVhq
nYD27Sgwm/S6X4jlBlqWHHYtI3QLtEOc3z/LVgKHUQjQKCTCpkErLab/7SgljCpZrzftxsom4zgW
w3LRgRc9UKK2d2K9R/O3kKRPFobJRd/ueMByc48XsRNbYDuSabXEUMittRs5NadzRY9UqHKUECps
BcB8MsQozgXJmt7Wz6QP3tuatyPPe+RVjTtRKw3G/KHdBEadLmFOiFzEolLQzFnj/n5mt3HG89SS
VUEEA6iNSHfA1lhTO2iZOMrthqpTsI6DBolBPcnd1ox9p/fgAujqyYYiwliVtdBJthfU/R1cPaUL
6Z+8P6GWem8YUbZUVCFYJHCYf/IePpgNktNQOXEmi6zorRwFb6CYqqHtN5LZa+tiEoRjIzQzmBCz
9JNw/IN1RtUL7ASODwt6GycZFkKpNGowbLo6SlaEuDogVpJo0lAltkbn0KIrA+WTLfThoDPSFAQK
nKPbPLTkTPpEEKZhAylHRpIhg1a9ULtNiFjniTGl1a/IjITV33/vc3ZS5pCZCR/EefW/WmO1jugf
SpndJhXzcR/tTmQ1B+xggqaiNn6Pykyj/Nzf5y2ufipSxJr8bHQSX4fbvwgFtyaaWElp18lz+2N/
0mkkMj5ZnR+8epM2aqgV6NmE1m/r1Wt5SFjf+P2m07x2ORhj6JbdrGPW+sMnRnk7QTVvBFNWaVGQ
8CEwMlsT0llBEEFU0m+Cwa8zO6bR8gGWNCuypTiDAV+JBu8m4ykn2wioUNlQBUgXSaOi8TN1pWg5
XhX5n5X4PpoBTCyVN8iD6Z3YmoGihX9XM1j8QtqLtqF1ltP0AkXztPpsRcz5ri17Z7LoaWuh4st/
b02AXvVAoNpw2MAmZo6OX6Xhum2GdhGBNrzMimi4VBpyabYJaTy9c41Z2h1VJSRqS/UTjPxjb9X7
m2Fh0lBOgnS7TiN6KsX7jp0odzVtfLFltYsCspEjTU61DTYgg1EsGxQ7pFfqkkLCOhDN75Pms1Gt
lq5AS05VVmsuPxSyoK9KERVQQvAU+vtPdtJ8kG7fKjBxYBv8O3O0vN1J7Rj5uhaLwwbEXKNDU5YW
KBIUbYcyWMLjwecLfaFdKpFxNRXYW1sVkh6R3FRuUQAeuDO3nfr2E7PygQ+p40ZBvIn7PVMJbt1X
qBm51QnNsGnTvHIQso18t/BMw0310ltL0aQ7phW3DkwvDyIK41e4XfWiK7Txs0Tde58Oz3yW4AL6
iJHbXsRZY1almGDhwrZYq10yfJON0HNSPOf9svgMnvjhTgaXO0N0ODWAKb59IWlRQ9AaReOmgnts
bciJft7pkO0PihrBkDWaC0UoZDpi/G+miICOl+b1ppC96lAQ0/bH75fHowbh1vKwCBtokyGaxZHe
uhsvjAIPNoxxQ0AL714ca2RgSKUMcOGdCF4BNVwxkLMRkKSRxCI4j3MkrAuka51mGurFkMnIBquJ
ehzxfo6rUrEWFiIdt7Kakhm3DG9BNW5YGECdXS8ZTRoJ4/zIlxJhA5u0cm7KyT0tsvXKT9p+IVf6
TZaTiFOy4jOPaV5R24/K6yXYoyRFAWzLgphCX8vjWI8b+PaTJUrWtd2gffOJoZpdynejcHmgwQAf
yGu/fb1K0UkFfQXjZsyz4BvtxBXpNF9yB8SJF20fk4jKtfIMTZXqV2KE7c/fv9CPPCaIDWjXhFKB
Wsa2+w4OabQKzsLN6LfDaupNfyGLgUC9wtQWVe615xD4xt99zLpjaknrmKjT2EESUpUbBESJ4J2x
R59Wviiuh4VZ1Z37yS3OQdL2FGGN5rYpeKnYfG+nqII6tOm6cdz0glU4WlvFyJD3wzGdu2dzm7BL
0jhbGLlnuSpcBk5CkPm9ZM0ddIZi2UFmfFYQJaT66J5mCkAKSszedg8gjAq52GrCuDGmbLxv8RmW
MYybbubL8q8ChtBV72UqWdb6gqbLqrBRBGotuKWkYjokfR4egwcP1HXVTF1lB0Nk+AuAQ8icK9Vk
ZO6kIm9rNF3h+kDRTuh/8JKFp5YSXxZK9YIAoflOQpFjYMJephslueyq0r9IFb9D1D2AusSGJTQp
HR0pckgg6SZMHNraygjpH/RuHE0Y8mw/UOXyV916fbffhZkVw2rjte1iEAeUlUKoZmhfF5vsJGnA
sFEg79vrtJ7EyMU3FmPCB5atU6Edo9hplCE5lpVEvC71GfOhUCaUuGO9xB9vQcotlComN96mQX5g
wbx7RSGpjuw0972bKM/EIy2WpQniEDE8R50lqhd5p8QHhsWkLixFidYGWZcY3zXQFRtqE/E6NMNk
E9VaEC7jRDdOh9KrVFszivS+q/riR8iG6lCy0ZpvlZH4J7VZlrcS0mqXLSxU+YIsdhLbAMQ4vOKp
U6+jSRlyO5dgNXdSaGxu9EEm0R1OXns9wZs/OJoWFdcTglDfIoQYu6Ms8IbKTpH4ua+MboKbArma
m3IUetR0hCH6KeR9Qf9YFMoQk4paCM15BBEPotZ9cCaDgLnVkzH9WRQTiZCqN4yrREyommmRCJYV
1ZsYTgtfQImI7jBBc00qQ3CZ+lmjUdatkugoVeWqcui1R8o+a7t6HaW9Ujq91mJnSZj5NhFhltht
2CWXWjOooqtko3AmBD0YGUjWl6bn60ckMWJ4SPNinOzKM4PRRgQuOq8iNfTtQp/FmrpC0M8R0CyR
B9KsYHSVUVJAEBcUsY1uyJUl6cCO5T6q3oaE2VjZ7J/qDKUipXP9aRLOmzrKYTc1tOAq0nNmsVDF
jdzk/JWh+krkhHHXmGs5bYvbEZsZOnVptGdSQHexTWlKhm7PLBga6Ht7n4LR7Ny2SsJ6kY2DKS4V
L+4fprHNy32dvFbronOQBHZRpOTtkyApE1cuk3JAiK/N7nWoZDM7wt0n6YSbEztlM8m6rWSl4lPN
8s1Dr/TZqL5cRAstUFOKQXLS+rOieF3alFsNcxmTnPCpCanFL6mP83jR9K151Qx5etF4o9SvSEfN
heFCL3JHj6T8yJJzn2hUK62zIivF2OkCvboibLVOhNqDghP5p/LO4Ae+2/hKeWfGTXJED6SPBUCu
VQGHQVnMtsxI8Z1oVJPDsK+gT1FiHpo+hiJcm9xzs5gaxftVpF0xnupWp1zGbapXtty0/XVPTDUi
uaepK7lP82s1ivTiKE/kiibdOhRzyoBtYKDo1SijXVSJ3DlobNUDhZvKjxAzS4PzkSb10ZYjYN7U
q+LiCNaEyq6lVlx4chMdd4IgA3sdqUYOeVA3wM3KuHPUQA8vU1pTCzc0e+/OmgrvQawgY3PiRoa2
WEAvQHL1QMkQHx0FKT/QrVISob8Y4wvILvzOYXWMoa0NPeDXoTL1AG8+rFK4qMLuTmoHknvwBWea
a1n+hLhhp7Ut+gE5OvYg0819VJBlDKHZjAc5yIS1RB+m6rR9Cduc2YjxhZAG1NKoUR0IxliqtuEl
ZXTZl9AvjsCxJlut6wA6MNNq636dcvD46zxQy3It6gF6dG00yP43DYXAeNEHqirgxUEC7Ai0lndo
Zo/DbZMI/ugIXZyXDsiQwrezOMnLJYWopraH3iovi1IovhtN6ffEqZOablSjEHG8J8//VdZ1QhWI
OtphPIWytRKCsvpZxyNNBG1gaudhkzTt2silXnOHxJS/sdqqfKFbTQTvoTA0PxA5YKLMwVfO1bGC
RbsPpUuIjwnRvHaAQtv06IW0DT22rjAbbWTL3Whl9hDjPODyQ3jsWKma00mQZdVZZ9X5NWXuNnFB
sFtr3wrCDEK/vC4WKdV6UCie3P0qPISagUfRRkLpr2gvNJX2GBre9WjtTX0TLgIs4h3FBKNAJ3Pq
OPXFHpWPJNPSW8RhoA6k0YlaYTNphj0xDxFk1UDa5x4U+FYqhR/LTQr4ZcxK/vcnbslH/qEC+cTM
zgAOYdsVFsopUSIctI1ptOJmNEHbOG1diuIKIUFM7uiHieiEY5wf58h8jg6hQvBDAKmcreNeCjVX
y+OqtiefHWnLQWOd/P4OPwhU8FCohXKLdCxsh0yWkHjgS4kcfEg5qHYi28FBEBgUnQFzHQ3IS/9N
aoQ57YBHBP8gtnju19nKdytehiekNeNmAhl+KAyJfja1gOh+/2AfxUQMMwuYQ9BGhmsrj9CEPFuG
yOFmKqoeoEFeBwdpQDu1kxahCcER5g6eM6OUT7OyUB/0MtAfBKPN/WUVCqAJu1aWPuOl+fCuVKhV
YJ8AF0qTzVs/tcks3zQgoNi0QeqdUo/zVzgQw0kYyW6On3ocwJ28SNKpCW0h9Zv9vsi/m4rvuYmi
Vr8e5+j/9zotuRqWD6lI2jAhHWRJ/0mT+q5OC5IySG6yuw8Lte8v9FyoVcW9ueRKMZQOLyDtDPFS
qzX2GJv0HFlZmgTm2PdZXk5Q9kCK8sZmYM5ch5jf/Yu+nLZHSg940NzBD+B//rv//l9vwEz11v9/
DW4iCfwuJOS2ZrwleVuAsOgavF1HY96ERlCm0dGk1RMgAF2eVp2YtLOwKVmqsUVAoZ3odIY69Qqy
6dMElIcXNS6g3KUo5NJxZvobQN3aPsLK8pp4wY4G8Uefaed1E541jXLJRb8XkFG46SgfW3l1p/te
hmNh+CtfiRUnUG6rzORvLTi3i96/66NuUUjxavBUp/a7+zo6lZvmSPVSy/UC+bopvR9JWyKd2t00
RleeiqG/JB9Alk+5LAK9PipE/SIozXxpVTBBxzC2OQJkbll/23fGT8R6Q0AqNc+nRPvF0BerLE+h
2wcnqTdjvKQOc1bE91mBVHBRB+DXR9jxO6I/v9qvvaNM6uzBHA98MLoUEf2juD6Ykh60EjAOQSqb
Q8pL1pnfjA4pv2XQEYgkwz4UDEt5yuulSUurLZLR4vwVa4cVdBQNwUE9RYqdtVoBsNZckvb6mabC
ClX0K/DsrS3K3dnkdQRJxa8OJbkgOi08Lz0y8ylwLMH/1fflVQTek1x7e5qESDlRvOqcgayVG3kx
NAwh5G8ycgtSN3iOr2TRvjVaeDVERmYoDmu/qtTF0KXuaPQ/BpRENlNTH+W6eFBWZkeVKq32fbVf
VFPpQoRw1ao9Cc3SOmhi7yIoZGPZtkAPu6k6DorqVm8oOtJJdVmQU6MEWV7BmXZS580qzuWjsgRu
K42Ses5au9E6qF1rqblJJHL5gmiP8mgeTrkyrXpQ7tKorxSrPh3UCXBM9stAH5dA0zDOcPc84nCW
iyyE8iJtNe8w1jpkInxkhO3GTwuOPCSKT3SpzY+yMBDPaau5UbqxO2TFVGsEguJvg2xIuU30nzux
2DW5I4JjiBwBDFjtDl2vfxNCgRwofGj9csbLHRmNBTU/Gj31QmVsQFyEsNcDPWi2kYrNAxCwcL/T
MoYvFWl0NCNp74bSTM4ScLluAJv9PCmht849T1urQYrur5zT9KTSrI1+BiGKPYlTdC7nFouOcHJt
KmF0DOuuDDa6byMSYmk62CN6tu6g6tmJAB3hfZiE+Y0wTt3ppBS92/d5vfDDIj1uEq8DPaShAOEn
kXWcKEZwxA1qcEAmlTNlclHaOGPjSumzgU4R2tnIVCfRxlNCVXRytglQfFQbJk+rL5OpVZdAm82r
Kkc0Gw+uFw87+OBuUO3oCQy6iKa2GNKx9Zh5yX6ilr0raKSn7Qb+68zuowxphxgPL7bjIUqPwFdO
56GAIFmYT+VZNgXkWzWJTrOeN+qWcZS6opHXbtX4hhMGaoWO1XiqAJ5cp2CxHgQVEK6fq6VbSfGh
MeinTTNJdq2iLttNrXgm1MIdrkO1aIwBqiMhvyNDnix0WkZPmLFrT0jiw0oyGwReu+O41x4SItel
GIbNoQr75EnW9hdgrxQ7Ljx93Q8CwZ3YNqdFKwRn6CbIDkuK/riBKEYQlJxWv6zbN+RIWolpgtsm
R8KRitrAYqgtHDV/dNWRJMhMfm0WFu+xNZqNmYwxcWHqNnH/LVakTTxIF23TyDYtCtRyEPw9REMh
QiCYiq6XXaWNuJ9NQncmapm2xH4oNqDgYjG1xkPRSobdWm3mZqOiLbwask0DIs2hqdwkTtJF4Ylo
bxri/hAVmJeYPDbltu9Br5wkepvvd4J/GEEUsSYiz8jdJEdlqk8E3oX6kxQ9UuetOBwXmXfUesba
TKWzyYJeJO9icSlICgZPzZXDWjI3kjzmTiBw40qZZQuf5X0sB6i4AWETVqFnXPtkkBCjjsyHcUru
8B6rTa4kx0Ll33SiHyJIXQJPnarQznWtdAKj9297IVsr3uSvFKFLF7DTunTCUHJErkPpSNYLVbYc
LT09HklmGGM7IWrS3+WpsUjC4lCqi3Ld6IN/pg4irVrjmC2qTgjnEHplxM1h7heNq4nDD38qjnXa
EuimR8499xO7JGVyLrPKE/CiRWdsOmWsFwZCOSSncm/fh9wnqS3fTogHL4S68Pfp0kLBIBNUd9KH
yYbLkY5EgwbPrB3SkXaDAJoDr4TUOPDPyzCpL3wfpCl+JRfpHb+xbFE/7WVUYjSLwrrmFPKPob4N
snVedDQ3dk44zYejTOJvyM6LMTwLRGs/HRMSpzSfXmhZ9d1T4p9jZ5KOyLXUNoRqgVsPvXyvrZrm
UCKmFYkXRn4oLUoygk4hASC0EqNu7TDJjz2hhAHSVDnJBfPCYiUDanWrglOg1cA/+hsh7B6yXvT2
CWmiC1jy5eUYWu4AMakfdHdCnB2PSnlg1EiAeBCyR/kKvpoVtXDFYTkRgxUK9R3lRg2bpSeZPybI
sdPkBOxPv/br+NwSLFf3ymKdDWJrT0njIC9VHAm5mAP8ZP1E2gojb3uaIB6qbXIMwXe83/ctxJr+
pDgiBNwChdEBHHMcKNZy8O5junWRgk8XXQhyOS3T7ADaEtONR988aJL1WAYgk31VuCSvBzFmJgE0
yiJ+ZAnkauKLQs/987YzK0efLkiEaE4SW7/m51lkuerGaXql5wE9wrnPESm0h6kYLKAUKknK0IlI
IVhrzlpdCUl/TYjZJ9mm1KrVBJoZG1hK+0GUHoAR1Vc8Q7lpTcSmAT2EqwrmaAXKPneMjG+epN/r
jXFtzXBT0fMv+oLEnp4Mql2NJ74MPWcIXgEkkrHMROOk8sSjLi3P80L4kU6FhFC44p1CEx3/GMVE
sSlqkwWEikYzfIlEIOYxClNx0XVtsqC1/CcYIcGpC1h7wxG/qqPtcBH3wzX8LudKOH3rSRraba8v
lX4SD3xPYFfm1X6S9Oda2N2TEjTX06DeapGEbnqB1FAjhbbp61eNBpI1msRLDfxr14kyYSWg48Ia
ePtpPLlq5uUPYabUJ1o2SNdgARtXMEhrrZJYKWw4DhblYDSuXsrx/pBJJ7I6NasQJNZpnU/tEnKd
6YQypLgs0KfPC8XJtBa4VqoA7J1qu+xG/5ecC5QCvDCl9ar5maRIwBchIpIGzPQgvCqnrOKI1xWZ
pcN6L87HsZf2eylbCDr117oAfwwv6rrVqtD1smFcZFNVnGsW/laphg8tXuS31vd4c/GxppYrUtQa
WVk/WmrVrVKXEuhb/zCu4k0WeTi76pXfNGhN4XOIbD2S+Woo1heDp/NsYabfjmVKwp4krncESsK8
a80GvLBGX/wqmahJLypl1Fa9El5AIasXpLiz0knbVnFLVDnP2onUfsk2Oq0MCAGKYpT20XVcppp6
0ujdchr95nCUUD2ZhATjKn8fikBbNH6pOPhp0eFYpGQXe7uRxk3S5/tq468KFHDXQBqXQ6Y5MLv/
GJLmWCmb07jlXs1RW6d++pOsxc+xzjbNSLq8H8dVo1NUNzVg+vq0mQJrXeVpYOt1t08ayuklNG4S
qXYlqXSKzDqTchJbKBcEzlSmJ0EjWesOXl3bN7poWXvBidRkwZ0vpzoMnpSQEq1QWUpkp5NqOlD8
YDilE4N2d0OYUOTMascYAu3c0MeJTv6ycDUpkzhPR9VuJQhWDOleG0ndyYNuZ9QoLupMjh0aX9wh
VimhsGggxY4cOBwu5dA67rtatLVO7VZhEBUHQUeFg/6TwvEUQVpNHeYuLfBFh2A4BI/tn/jhYC2q
NGoBaxm//C7W6IiH6FSuxPOCE63Qxf0RpEPpX4+wH0MfsWb/Hau9oh+rRgocHYWhqb62dMFNByRM
FdodfgnFqUzmeT+WpyOdakBqDY7ajLY+mGDOK+uY1R6iy9T/LOruJJCNu07Tf5VWd+7HNcxX8VoI
6lOjGdZDLEgPZdP0TI+X2sBjixWZ+dadyNsvqNEoZ8FYtbY2GstGkE9k2bOtNLkuAHA6UyXX+1Qi
UjsM2H6B+J3mGPpfQkKSSY5Odb2WDr2MPu0jUYhI3BMJcKlZr2kpdoSbQixKdgyWf7DVStkIYI4d
o4un/WzI7mQjCs6DWJfxepIbIZIvInN6MOBL4HlT47RKevRXvKpfZnG1MutYcvOaSKcc/dtUoIpk
SCSVzVUiZvJ+0LU/6X+nNio8oBpONrfppnUWqadahEtNLj+09UL9RsHxinYGDoowD/frzDoYcoyi
GXGCylKUnZnQOGOYkmahlWbvamb2K4pC8xDPK3etqbMWHRlQO80o9SnkqoFxGD3C6IVgLrVyjB1d
4TyhcaE9kC0xvyiy5But4Ysqmxaa3p7JeX0TwbvdlOl3KUvpO8jjm1aVl1JKF6ryELfxWdWbV608
KgeWEB9ZqSCTqDIuIlScF1YrN24dWAF1u1oRzz1TVaWfEbz0tsKf1A9qEutnauB1a5p1zWEhtL0Z
2zWtArXdxaXQUNIhlLjT+5LWjKwRHCMsj0o/2VdKPPPJWuq15+a9tByDzh0bLE8+mUTgOVIX2YSn
LzRm5qhRlyy0OLfbSKEYQFmJQkSI6iDR89wh+FAQOixVoV+0CNqGSmsrlrCJu3vqu9yIrpYFOXmt
+jYhJRGU3XUvqEd099w1hbIKZQ8pyla8bXJkoypTJDoyT+GSWDTFsFSMbDUbGc/QFuZYPSQ50X6v
napRQiZfla6zNtr3zIEIwqSTSAjs0RQvh04sHX9QzzIh9S6oLap270foWkBOnclnzZwISC3oXCic
GAd6vc82VtYgYLjPfjDtQan3e8KVqVFPJkXFP/L79ej1y9JvKUIavZPlZuC0tDVt0LqM13FTXZtd
e+wVZnbcJXXnGH2zQek5xJ6Pa79IvisylG5DoCy9vP9BzNLh11aDSXk2XTXlj6qLSXnrRuJknVif
jpN+WSbEg+DE3Lb2TFfIswLyfNMCppi1bpTMJ7CWUI0qWnE5qWqPyEMYLeC9Shykf4XzwDBWbRCv
5Bzq4lq+Lts5aDPxw66oVyyhGi7sqlWjZSv3nmPEWYeCn17/zDj64Ec76cpBcjy9rQ4jOY0XmdVX
PychWpTySpJ5r2H2hfKXz0nUOaG4yJqwGU/b+2o8u6/bpPkzVzf/9iQPs+Y7SN//my+9JP0+vtAf
NJkw8vexuP+vf93cpWEGeXNThbfNv55/tb77r3/BsEU2ckZuvkmDPt7X403/7jLJDSO0d1xf3JsZ
uSnjzd0mT59//YFsDsxmj79nmD0YhjXUCsjYM9SrGfqrOfj94z1N5u+/8+beb9ESbOaX4Id59mYK
ZijYf/L0W1f499MLZHyBG86i9ADiHz/Ucl4/vqTuSeAERRgBXmbnf2QSfrcOoNubW6v/k5nYusy/
Z0LdQ4AQpA8EzE8f4808WMYebGcwIZJWePz8Ty2GrQd42irzflDp2CBdvtMk0HilQpsDPYj19JSz
JMbr1aCYe7DDME9zu8aXWwezPeC17TYF5h4IPok3/bze50Ld6ymQ5g60WRd0lpD+YlOgS8ByH9HT
u82BvEff3czV9LwXZoaE13OgKKwT2gYB/X5Ro/A0E3P9aKeZEPdA1c7M/GBrnz5b5lE29qhmzsxM
T6b4//3p8JcGYZZjeCQk2WkGBH0P7te5MexlLWBpX68F0diD1wDro365GXh2EYDa7zoFkkELF81j
z4tgyySIzBE244mXgKG+0CKQnk3Crm4SJwNpFHoCdWbzzevX9yB5gpVmpgzj8xUXAf0UswLvbosA
N9CiWeRxo7+eAEnZI2hFC+fZBfmCL//pnTzV3f90uf+Gj4wNAOYNnFdGWvDx89Y5AgCwJyH5O6tE
f7kz8SlMeHJXdpgCZQ8EDyJhLyfe9pEoymAdaKWHlvRpir7aROAjwy638zwYzIMJ68TMnfxmG4g4
0BDpIbP6NZ//2RLOEuY7GQJxb9bxksgPPD/o7HK+ngkZJ1rDINLW/TUt4uwYgELbcR4EaY93jdQk
7s/Thyu+ngdR2YPswIBT4gmq9IUM45NrtLNfgOcD/RGNec8TMNP/vZ4BiZVAMEVu72nbfbkZ2MaQ
/d3kiWDA7DHTF2P1PlwDkrgHvwe8w18wWIL2A2d+J1tA+oRmZaz+S9IAk7C1BKQ9JLSB1M2Qua/l
GhqEihxZu06BvGfNYuXQbD5/tjeBtjf3ciN68kUPRqKE2UH8B84FUJMYg5fUydz49MYa6HvsFMvi
lPxyS4GKCChtCSFH1OPptRN3tY0K6TLiAjb++0kQafaFjebLTQK4WIClu+4H8LDAZym0vQTMW/Gy
bO3NhNsGnDxfbQZeXKSd5wCzCLkzNJAvLtK2WRRn7ic4HjT9y00CZpGWAGDzu50M6pxCg8AEDPPT
h0l9bQ1EjR2CTw6K+dFufrnj4cks7j4R5t7coM0J8bIYttxEydiDCYvkCcwP8+erTsTTfe0QQZp7
zAHY/a2FIJNjBMmOq/xFc6m0keAo7OwnEA3MAk+PXCuvN4Jk7c08/bOL9NXs4eOTzwotO5kC3i+W
gEDpT2O4vQJUfETo4JiCrzYDz77RrlMwx4oze5Q585u9fvksfjqtoWGZKf6+lnv8+OgkM3Z8+/TH
UEaZnYG/CJFkac+gl2UmLP+SUwB12a5TQI19Jggme/xo4flnaxmI7BFIfRWoQx6/8eVmYrYEKEPu
OBEylUO8YolWqafPW9fQsvaoqc2Cms+x1BedhicrtcNJSMiIoDJMOs+19O0qM94hniFE3U8T/h+l
Tf6DL/2JX3GCMLl7RK6E9/VHAJe/+sILaOP9718DU0BlvPniDGR5GvvfwJb/flO2e6wYvfrlSwXp
cZznP39+wPdDvxnr5alefrgf3lc31W0AQHfG1Dzf5rebFOjLz/u6+ePwJgnTm6y5eYsseUqO/PuW
3gFx/jwSfzfCyQ1sO68RK88ghV2ve17c34bQ0D5BYv7IH/64yv3xJr6pmjfD/Znz3nXAb3nVBH+c
t+kN9LevH+hPw7DrCOd5+7sR2HO7jvDyDMkNTZ3hy/Vm6Miffs6uQ7w8xF8MMTuRuw5xdJO0cfty
nae7f47bd7305iYt2szfuvZTMLjrtZ9m5uPN9mcibtdBFjds6IObbmuFzjAA3Ktdr/7C/fzxADgJ
uw7waI8+vjpe2K5XP7hJf22t+ucyyK5X/t+398HL/T0jE58Rabte+XHVzM3ZmJ73e+rfHuqu4zzO
/AfW7dn9/wfe7cvi+XgHPI9DLmjXJ3ncAr8dBJ9r10FeHuYvXwqp7t1HeXwp39r65o/v9yhP3Lw9
eJ6mbE7P7Po0j1P22TjS7uOchTdv7DZP8Azg3fUJbOYnbpOPrv4PnJsvzsbtTRHSzv3K6Th473E8
P9Q/YG5tHLOXSX+2Ks/4xl2na34Rf6zpH8nu6jcjPIPm/oHt/mxQPrBZz2P8A1t9ldOmzQvJP3qG
f2CXP/lL7/2Nlyz5P7XF3znJL5itf2Bv23j29289+2dA2D+wobm4H98I9n0CVj7zf7Ok5urvrqv2
6XV8bNopNbyvX+064OPh288x0rs3RL0XEDTFrbnyK8JbPGse7zrey6nyfjSQR+80OnYd7e8yxPx1
S8Z/FAk++b8fPRp5L9DmOuwwrEz+89lEfhQH/wm5fB8dv3RbfPRnb0P/+Ru3yf1N9d//BwAA//8=
</cx:binary>
              </cx:geoCache>
            </cx:geography>
          </cx:layoutPr>
          <cx:valueColors>
            <cx:minColor>
              <a:schemeClr val="bg1">
                <a:lumMod val="65000"/>
              </a:schemeClr>
            </cx:minColor>
            <cx:maxColor>
              <a:schemeClr val="accent6"/>
            </cx:maxColor>
          </cx:valueColors>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2.xml"/><Relationship Id="rId7" Type="http://schemas.microsoft.com/office/2014/relationships/chartEx" Target="../charts/chartEx2.xml"/><Relationship Id="rId2" Type="http://schemas.openxmlformats.org/officeDocument/2006/relationships/chart" Target="../charts/chart1.xml"/><Relationship Id="rId1" Type="http://schemas.openxmlformats.org/officeDocument/2006/relationships/image" Target="../media/image1.jpeg"/><Relationship Id="rId6" Type="http://schemas.microsoft.com/office/2014/relationships/chartEx" Target="../charts/chartEx1.xml"/><Relationship Id="rId5" Type="http://schemas.openxmlformats.org/officeDocument/2006/relationships/chart" Target="../charts/chart4.xml"/><Relationship Id="rId10" Type="http://schemas.openxmlformats.org/officeDocument/2006/relationships/image" Target="../media/image2.emf"/><Relationship Id="rId4" Type="http://schemas.openxmlformats.org/officeDocument/2006/relationships/chart" Target="../charts/chart3.xml"/><Relationship Id="rId9" Type="http://schemas.openxmlformats.org/officeDocument/2006/relationships/chart" Target="../charts/chart6.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2</xdr:col>
      <xdr:colOff>99402</xdr:colOff>
      <xdr:row>0</xdr:row>
      <xdr:rowOff>0</xdr:rowOff>
    </xdr:from>
    <xdr:to>
      <xdr:col>21</xdr:col>
      <xdr:colOff>77931</xdr:colOff>
      <xdr:row>37</xdr:row>
      <xdr:rowOff>93133</xdr:rowOff>
    </xdr:to>
    <xdr:sp macro="" textlink="">
      <xdr:nvSpPr>
        <xdr:cNvPr id="3" name="Rectangle 2">
          <a:extLst>
            <a:ext uri="{FF2B5EF4-FFF2-40B4-BE49-F238E27FC236}">
              <a16:creationId xmlns:a16="http://schemas.microsoft.com/office/drawing/2014/main" id="{151C882F-19D9-4C80-B2D1-064EC99D76DB}"/>
            </a:ext>
          </a:extLst>
        </xdr:cNvPr>
        <xdr:cNvSpPr/>
      </xdr:nvSpPr>
      <xdr:spPr>
        <a:xfrm>
          <a:off x="1311675" y="0"/>
          <a:ext cx="11495120" cy="6821247"/>
        </a:xfrm>
        <a:prstGeom prst="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Aptos" panose="020B0004020202020204" pitchFamily="34" charset="0"/>
          </a:endParaRPr>
        </a:p>
      </xdr:txBody>
    </xdr:sp>
    <xdr:clientData/>
  </xdr:twoCellAnchor>
  <xdr:twoCellAnchor>
    <xdr:from>
      <xdr:col>0</xdr:col>
      <xdr:colOff>0</xdr:colOff>
      <xdr:row>0</xdr:row>
      <xdr:rowOff>0</xdr:rowOff>
    </xdr:from>
    <xdr:to>
      <xdr:col>2</xdr:col>
      <xdr:colOff>306457</xdr:colOff>
      <xdr:row>37</xdr:row>
      <xdr:rowOff>75190</xdr:rowOff>
    </xdr:to>
    <xdr:sp macro="" textlink="">
      <xdr:nvSpPr>
        <xdr:cNvPr id="4" name="Rectangle 3">
          <a:extLst>
            <a:ext uri="{FF2B5EF4-FFF2-40B4-BE49-F238E27FC236}">
              <a16:creationId xmlns:a16="http://schemas.microsoft.com/office/drawing/2014/main" id="{326A8941-E62B-4765-A1D1-659369358B96}"/>
            </a:ext>
            <a:ext uri="{147F2762-F138-4A5C-976F-8EAC2B608ADB}">
              <a16:predDERef xmlns:a16="http://schemas.microsoft.com/office/drawing/2014/main" pred="{8CD35C83-29E0-FB00-0E74-4BFFC0D70B69}"/>
            </a:ext>
          </a:extLst>
        </xdr:cNvPr>
        <xdr:cNvSpPr/>
      </xdr:nvSpPr>
      <xdr:spPr>
        <a:xfrm>
          <a:off x="0" y="0"/>
          <a:ext cx="1532283" cy="6817233"/>
        </a:xfrm>
        <a:prstGeom prst="rect">
          <a:avLst/>
        </a:prstGeom>
        <a:solidFill>
          <a:srgbClr val="EE4D2D"/>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Aptos" panose="020B0004020202020204" pitchFamily="34" charset="0"/>
          </a:endParaRPr>
        </a:p>
      </xdr:txBody>
    </xdr:sp>
    <xdr:clientData/>
  </xdr:twoCellAnchor>
  <xdr:twoCellAnchor editAs="oneCell">
    <xdr:from>
      <xdr:col>0</xdr:col>
      <xdr:colOff>71642</xdr:colOff>
      <xdr:row>0</xdr:row>
      <xdr:rowOff>0</xdr:rowOff>
    </xdr:from>
    <xdr:to>
      <xdr:col>2</xdr:col>
      <xdr:colOff>223632</xdr:colOff>
      <xdr:row>6</xdr:row>
      <xdr:rowOff>95249</xdr:rowOff>
    </xdr:to>
    <xdr:pic>
      <xdr:nvPicPr>
        <xdr:cNvPr id="5" name="Picture 4" descr="Seller Affiliate Agent - Shangkary Online, February 2025 | Shopee Malaysia">
          <a:extLst>
            <a:ext uri="{FF2B5EF4-FFF2-40B4-BE49-F238E27FC236}">
              <a16:creationId xmlns:a16="http://schemas.microsoft.com/office/drawing/2014/main" id="{CF64F07D-FCD1-4D1F-B9FE-261C216E02F2}"/>
            </a:ext>
            <a:ext uri="{147F2762-F138-4A5C-976F-8EAC2B608ADB}">
              <a16:predDERef xmlns:a16="http://schemas.microsoft.com/office/drawing/2014/main" pred="{4F091D1B-35B2-98E9-8131-D6DA4F525C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642" y="0"/>
          <a:ext cx="1364263" cy="11862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89016</xdr:colOff>
      <xdr:row>6</xdr:row>
      <xdr:rowOff>58860</xdr:rowOff>
    </xdr:from>
    <xdr:to>
      <xdr:col>1</xdr:col>
      <xdr:colOff>408766</xdr:colOff>
      <xdr:row>7</xdr:row>
      <xdr:rowOff>155838</xdr:rowOff>
    </xdr:to>
    <xdr:sp macro="" textlink="Pivots!H4">
      <xdr:nvSpPr>
        <xdr:cNvPr id="6" name="Rectangle 5">
          <a:extLst>
            <a:ext uri="{FF2B5EF4-FFF2-40B4-BE49-F238E27FC236}">
              <a16:creationId xmlns:a16="http://schemas.microsoft.com/office/drawing/2014/main" id="{5C93F780-6901-4B9C-9413-D8574E5BECF7}"/>
            </a:ext>
          </a:extLst>
        </xdr:cNvPr>
        <xdr:cNvSpPr/>
      </xdr:nvSpPr>
      <xdr:spPr>
        <a:xfrm>
          <a:off x="89016" y="1137647"/>
          <a:ext cx="927638" cy="2767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7975BA4F-ECC0-4EB0-8506-FF031E2C5611}" type="TxLink">
            <a:rPr lang="en-US" sz="1600" b="1" i="0" u="none" strike="noStrike">
              <a:solidFill>
                <a:schemeClr val="bg1"/>
              </a:solidFill>
              <a:effectLst>
                <a:outerShdw blurRad="50800" dist="38100" algn="l" rotWithShape="0">
                  <a:prstClr val="black">
                    <a:alpha val="40000"/>
                  </a:prstClr>
                </a:outerShdw>
              </a:effectLst>
              <a:latin typeface="Aptos" panose="020B0004020202020204" pitchFamily="34" charset="0"/>
              <a:ea typeface="Calibri"/>
              <a:cs typeface="Calibri"/>
            </a:rPr>
            <a:pPr marL="0" indent="0" algn="l"/>
            <a:t>2,400</a:t>
          </a:fld>
          <a:endParaRPr lang="en-IN" sz="2000" b="1" i="0" u="none" strike="noStrike">
            <a:solidFill>
              <a:schemeClr val="bg1"/>
            </a:solidFill>
            <a:effectLst>
              <a:outerShdw blurRad="50800" dist="38100" algn="l" rotWithShape="0">
                <a:prstClr val="black">
                  <a:alpha val="40000"/>
                </a:prstClr>
              </a:outerShdw>
            </a:effectLst>
            <a:latin typeface="Aptos" panose="020B0004020202020204" pitchFamily="34" charset="0"/>
            <a:ea typeface="+mn-ea"/>
            <a:cs typeface="+mn-cs"/>
          </a:endParaRPr>
        </a:p>
      </xdr:txBody>
    </xdr:sp>
    <xdr:clientData/>
  </xdr:twoCellAnchor>
  <xdr:twoCellAnchor>
    <xdr:from>
      <xdr:col>0</xdr:col>
      <xdr:colOff>89016</xdr:colOff>
      <xdr:row>9</xdr:row>
      <xdr:rowOff>64377</xdr:rowOff>
    </xdr:from>
    <xdr:to>
      <xdr:col>1</xdr:col>
      <xdr:colOff>408766</xdr:colOff>
      <xdr:row>10</xdr:row>
      <xdr:rowOff>161356</xdr:rowOff>
    </xdr:to>
    <xdr:sp macro="" textlink="Pivots!I4">
      <xdr:nvSpPr>
        <xdr:cNvPr id="7" name="Rectangle 6">
          <a:extLst>
            <a:ext uri="{FF2B5EF4-FFF2-40B4-BE49-F238E27FC236}">
              <a16:creationId xmlns:a16="http://schemas.microsoft.com/office/drawing/2014/main" id="{9EC33A0B-DF58-452D-A9CD-953DFB124FC6}"/>
            </a:ext>
          </a:extLst>
        </xdr:cNvPr>
        <xdr:cNvSpPr/>
      </xdr:nvSpPr>
      <xdr:spPr>
        <a:xfrm>
          <a:off x="89016" y="1682557"/>
          <a:ext cx="927638" cy="27677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2E320EEE-70D3-4977-93DC-DB5B93D45408}" type="TxLink">
            <a:rPr lang="en-US" sz="1600" b="1" i="0" u="none" strike="noStrike">
              <a:solidFill>
                <a:schemeClr val="bg1"/>
              </a:solidFill>
              <a:effectLst>
                <a:outerShdw blurRad="50800" dist="38100" algn="l" rotWithShape="0">
                  <a:prstClr val="black">
                    <a:alpha val="40000"/>
                  </a:prstClr>
                </a:outerShdw>
              </a:effectLst>
              <a:latin typeface="Aptos" panose="020B0004020202020204" pitchFamily="34" charset="0"/>
              <a:ea typeface="Calibri"/>
              <a:cs typeface="Calibri"/>
            </a:rPr>
            <a:pPr marL="0" indent="0" algn="l"/>
            <a:t>11,997</a:t>
          </a:fld>
          <a:endParaRPr lang="en-IN" sz="2000" b="1" i="0" u="none" strike="noStrike">
            <a:solidFill>
              <a:schemeClr val="bg1"/>
            </a:solidFill>
            <a:effectLst>
              <a:outerShdw blurRad="50800" dist="38100" algn="l" rotWithShape="0">
                <a:prstClr val="black">
                  <a:alpha val="40000"/>
                </a:prstClr>
              </a:outerShdw>
            </a:effectLst>
            <a:latin typeface="Aptos" panose="020B0004020202020204" pitchFamily="34" charset="0"/>
            <a:ea typeface="+mn-ea"/>
            <a:cs typeface="+mn-cs"/>
          </a:endParaRPr>
        </a:p>
      </xdr:txBody>
    </xdr:sp>
    <xdr:clientData/>
  </xdr:twoCellAnchor>
  <xdr:twoCellAnchor>
    <xdr:from>
      <xdr:col>0</xdr:col>
      <xdr:colOff>89016</xdr:colOff>
      <xdr:row>12</xdr:row>
      <xdr:rowOff>69895</xdr:rowOff>
    </xdr:from>
    <xdr:to>
      <xdr:col>1</xdr:col>
      <xdr:colOff>528194</xdr:colOff>
      <xdr:row>13</xdr:row>
      <xdr:rowOff>166876</xdr:rowOff>
    </xdr:to>
    <xdr:sp macro="" textlink="Pivots!J4">
      <xdr:nvSpPr>
        <xdr:cNvPr id="8" name="Rectangle 7">
          <a:extLst>
            <a:ext uri="{FF2B5EF4-FFF2-40B4-BE49-F238E27FC236}">
              <a16:creationId xmlns:a16="http://schemas.microsoft.com/office/drawing/2014/main" id="{D9CE2646-4A07-48D5-B40C-470AC9E0C089}"/>
            </a:ext>
          </a:extLst>
        </xdr:cNvPr>
        <xdr:cNvSpPr/>
      </xdr:nvSpPr>
      <xdr:spPr>
        <a:xfrm>
          <a:off x="89016" y="2227468"/>
          <a:ext cx="1047066" cy="27677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7E36DFED-54C1-4D9F-82A8-6A0A33EB7F08}" type="TxLink">
            <a:rPr lang="en-US" sz="1600" b="1" i="0" u="none" strike="noStrike">
              <a:solidFill>
                <a:srgbClr val="FFFF00"/>
              </a:solidFill>
              <a:effectLst>
                <a:outerShdw blurRad="50800" dist="38100" algn="l" rotWithShape="0">
                  <a:prstClr val="black">
                    <a:alpha val="40000"/>
                  </a:prstClr>
                </a:outerShdw>
              </a:effectLst>
              <a:latin typeface="Aptos" panose="020B0004020202020204" pitchFamily="34" charset="0"/>
              <a:ea typeface="Calibri"/>
              <a:cs typeface="Calibri"/>
            </a:rPr>
            <a:pPr marL="0" indent="0" algn="l"/>
            <a:t>$649.0k</a:t>
          </a:fld>
          <a:endParaRPr lang="en-IN" sz="2000" b="1" i="0" u="none" strike="noStrike">
            <a:solidFill>
              <a:srgbClr val="FFFF00"/>
            </a:solidFill>
            <a:effectLst>
              <a:outerShdw blurRad="50800" dist="38100" algn="l" rotWithShape="0">
                <a:prstClr val="black">
                  <a:alpha val="40000"/>
                </a:prstClr>
              </a:outerShdw>
            </a:effectLst>
            <a:latin typeface="Aptos" panose="020B0004020202020204" pitchFamily="34" charset="0"/>
            <a:ea typeface="+mn-ea"/>
            <a:cs typeface="+mn-cs"/>
          </a:endParaRPr>
        </a:p>
      </xdr:txBody>
    </xdr:sp>
    <xdr:clientData/>
  </xdr:twoCellAnchor>
  <xdr:twoCellAnchor>
    <xdr:from>
      <xdr:col>0</xdr:col>
      <xdr:colOff>89016</xdr:colOff>
      <xdr:row>15</xdr:row>
      <xdr:rowOff>73733</xdr:rowOff>
    </xdr:from>
    <xdr:to>
      <xdr:col>1</xdr:col>
      <xdr:colOff>408766</xdr:colOff>
      <xdr:row>16</xdr:row>
      <xdr:rowOff>171426</xdr:rowOff>
    </xdr:to>
    <xdr:sp macro="" textlink="Pivots!K4">
      <xdr:nvSpPr>
        <xdr:cNvPr id="9" name="Rectangle 8">
          <a:extLst>
            <a:ext uri="{FF2B5EF4-FFF2-40B4-BE49-F238E27FC236}">
              <a16:creationId xmlns:a16="http://schemas.microsoft.com/office/drawing/2014/main" id="{E8A24774-2382-4100-BFB5-7EB7A50084B0}"/>
            </a:ext>
          </a:extLst>
        </xdr:cNvPr>
        <xdr:cNvSpPr/>
      </xdr:nvSpPr>
      <xdr:spPr>
        <a:xfrm>
          <a:off x="89016" y="2770699"/>
          <a:ext cx="927638" cy="2774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58AB74EB-B93B-42CE-B5D3-5127E34EF6BD}" type="TxLink">
            <a:rPr lang="en-US" sz="1600" b="1" i="0" u="none" strike="noStrike">
              <a:solidFill>
                <a:schemeClr val="bg1"/>
              </a:solidFill>
              <a:effectLst>
                <a:outerShdw blurRad="50800" dist="38100" algn="l" rotWithShape="0">
                  <a:prstClr val="black">
                    <a:alpha val="40000"/>
                  </a:prstClr>
                </a:outerShdw>
              </a:effectLst>
              <a:latin typeface="Aptos" panose="020B0004020202020204" pitchFamily="34" charset="0"/>
              <a:ea typeface="Calibri"/>
              <a:cs typeface="Calibri"/>
            </a:rPr>
            <a:pPr marL="0" indent="0" algn="l"/>
            <a:t>2.3</a:t>
          </a:fld>
          <a:endParaRPr lang="en-IN" sz="2000" b="1" i="0" u="none" strike="noStrike">
            <a:solidFill>
              <a:schemeClr val="bg1"/>
            </a:solidFill>
            <a:effectLst>
              <a:outerShdw blurRad="50800" dist="38100" algn="l" rotWithShape="0">
                <a:prstClr val="black">
                  <a:alpha val="40000"/>
                </a:prstClr>
              </a:outerShdw>
            </a:effectLst>
            <a:latin typeface="Aptos" panose="020B0004020202020204" pitchFamily="34" charset="0"/>
            <a:ea typeface="+mn-ea"/>
            <a:cs typeface="+mn-cs"/>
          </a:endParaRPr>
        </a:p>
      </xdr:txBody>
    </xdr:sp>
    <xdr:clientData/>
  </xdr:twoCellAnchor>
  <xdr:twoCellAnchor>
    <xdr:from>
      <xdr:col>0</xdr:col>
      <xdr:colOff>89016</xdr:colOff>
      <xdr:row>18</xdr:row>
      <xdr:rowOff>114959</xdr:rowOff>
    </xdr:from>
    <xdr:to>
      <xdr:col>1</xdr:col>
      <xdr:colOff>408766</xdr:colOff>
      <xdr:row>20</xdr:row>
      <xdr:rowOff>27942</xdr:rowOff>
    </xdr:to>
    <xdr:sp macro="" textlink="Pivots!L4">
      <xdr:nvSpPr>
        <xdr:cNvPr id="10" name="Rectangle 9">
          <a:extLst>
            <a:ext uri="{FF2B5EF4-FFF2-40B4-BE49-F238E27FC236}">
              <a16:creationId xmlns:a16="http://schemas.microsoft.com/office/drawing/2014/main" id="{67BB1ED9-482F-4DF3-BE3C-98386F8CD5C2}"/>
            </a:ext>
          </a:extLst>
        </xdr:cNvPr>
        <xdr:cNvSpPr/>
      </xdr:nvSpPr>
      <xdr:spPr>
        <a:xfrm>
          <a:off x="89016" y="3351319"/>
          <a:ext cx="927638" cy="27257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6950DB7D-E0FE-4AA7-8DB4-3256169F079C}" type="TxLink">
            <a:rPr lang="en-US" sz="1600" b="1" i="0" u="none" strike="noStrike">
              <a:solidFill>
                <a:schemeClr val="bg1"/>
              </a:solidFill>
              <a:effectLst>
                <a:outerShdw blurRad="50800" dist="38100" algn="l" rotWithShape="0">
                  <a:prstClr val="black">
                    <a:alpha val="40000"/>
                  </a:prstClr>
                </a:outerShdw>
              </a:effectLst>
              <a:latin typeface="Aptos" panose="020B0004020202020204" pitchFamily="34" charset="0"/>
              <a:ea typeface="Calibri"/>
              <a:cs typeface="Calibri"/>
            </a:rPr>
            <a:pPr marL="0" indent="0" algn="l"/>
            <a:t>4.0</a:t>
          </a:fld>
          <a:endParaRPr lang="en-IN" sz="2000" b="1" i="0" u="none" strike="noStrike">
            <a:solidFill>
              <a:schemeClr val="bg1"/>
            </a:solidFill>
            <a:effectLst>
              <a:outerShdw blurRad="50800" dist="38100" algn="l" rotWithShape="0">
                <a:prstClr val="black">
                  <a:alpha val="40000"/>
                </a:prstClr>
              </a:outerShdw>
            </a:effectLst>
            <a:latin typeface="Aptos" panose="020B0004020202020204" pitchFamily="34" charset="0"/>
            <a:ea typeface="+mn-ea"/>
            <a:cs typeface="+mn-cs"/>
          </a:endParaRPr>
        </a:p>
      </xdr:txBody>
    </xdr:sp>
    <xdr:clientData/>
  </xdr:twoCellAnchor>
  <xdr:twoCellAnchor>
    <xdr:from>
      <xdr:col>0</xdr:col>
      <xdr:colOff>60441</xdr:colOff>
      <xdr:row>5</xdr:row>
      <xdr:rowOff>126045</xdr:rowOff>
    </xdr:from>
    <xdr:to>
      <xdr:col>1</xdr:col>
      <xdr:colOff>211905</xdr:colOff>
      <xdr:row>6</xdr:row>
      <xdr:rowOff>137198</xdr:rowOff>
    </xdr:to>
    <xdr:sp macro="" textlink="">
      <xdr:nvSpPr>
        <xdr:cNvPr id="11" name="TextBox 10">
          <a:extLst>
            <a:ext uri="{FF2B5EF4-FFF2-40B4-BE49-F238E27FC236}">
              <a16:creationId xmlns:a16="http://schemas.microsoft.com/office/drawing/2014/main" id="{7A424743-B8C1-4613-87F2-EF5C95219D4B}"/>
            </a:ext>
          </a:extLst>
        </xdr:cNvPr>
        <xdr:cNvSpPr txBox="1"/>
      </xdr:nvSpPr>
      <xdr:spPr>
        <a:xfrm>
          <a:off x="60441" y="1025034"/>
          <a:ext cx="759352" cy="190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b="1">
              <a:solidFill>
                <a:schemeClr val="bg1"/>
              </a:solidFill>
              <a:effectLst/>
              <a:latin typeface="Aptos" panose="020B0004020202020204" pitchFamily="34" charset="0"/>
              <a:ea typeface="+mn-ea"/>
              <a:cs typeface="+mn-cs"/>
            </a:rPr>
            <a:t>🛒 </a:t>
          </a:r>
          <a:r>
            <a:rPr lang="en-IN" sz="900" b="1">
              <a:solidFill>
                <a:schemeClr val="bg1"/>
              </a:solidFill>
              <a:latin typeface="Aptos" panose="020B0004020202020204" pitchFamily="34" charset="0"/>
            </a:rPr>
            <a:t>Orders</a:t>
          </a:r>
        </a:p>
      </xdr:txBody>
    </xdr:sp>
    <xdr:clientData/>
  </xdr:twoCellAnchor>
  <xdr:twoCellAnchor>
    <xdr:from>
      <xdr:col>0</xdr:col>
      <xdr:colOff>60441</xdr:colOff>
      <xdr:row>8</xdr:row>
      <xdr:rowOff>126308</xdr:rowOff>
    </xdr:from>
    <xdr:to>
      <xdr:col>1</xdr:col>
      <xdr:colOff>306001</xdr:colOff>
      <xdr:row>9</xdr:row>
      <xdr:rowOff>137461</xdr:rowOff>
    </xdr:to>
    <xdr:sp macro="" textlink="">
      <xdr:nvSpPr>
        <xdr:cNvPr id="12" name="TextBox 11">
          <a:extLst>
            <a:ext uri="{FF2B5EF4-FFF2-40B4-BE49-F238E27FC236}">
              <a16:creationId xmlns:a16="http://schemas.microsoft.com/office/drawing/2014/main" id="{B04F62B6-E364-4FDC-B687-C099CCB6873E}"/>
            </a:ext>
          </a:extLst>
        </xdr:cNvPr>
        <xdr:cNvSpPr txBox="1"/>
      </xdr:nvSpPr>
      <xdr:spPr>
        <a:xfrm>
          <a:off x="60441" y="1564690"/>
          <a:ext cx="853448" cy="190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b="1">
              <a:solidFill>
                <a:schemeClr val="bg1"/>
              </a:solidFill>
              <a:latin typeface="Aptos" panose="020B0004020202020204" pitchFamily="34" charset="0"/>
            </a:rPr>
            <a:t>👕 </a:t>
          </a:r>
          <a:r>
            <a:rPr lang="en-IN" sz="900" b="1">
              <a:solidFill>
                <a:schemeClr val="bg1"/>
              </a:solidFill>
              <a:latin typeface="Aptos" panose="020B0004020202020204" pitchFamily="34" charset="0"/>
            </a:rPr>
            <a:t>Quantity</a:t>
          </a:r>
        </a:p>
      </xdr:txBody>
    </xdr:sp>
    <xdr:clientData/>
  </xdr:twoCellAnchor>
  <xdr:twoCellAnchor>
    <xdr:from>
      <xdr:col>0</xdr:col>
      <xdr:colOff>60441</xdr:colOff>
      <xdr:row>11</xdr:row>
      <xdr:rowOff>137081</xdr:rowOff>
    </xdr:from>
    <xdr:to>
      <xdr:col>1</xdr:col>
      <xdr:colOff>306001</xdr:colOff>
      <xdr:row>12</xdr:row>
      <xdr:rowOff>148234</xdr:rowOff>
    </xdr:to>
    <xdr:sp macro="" textlink="">
      <xdr:nvSpPr>
        <xdr:cNvPr id="13" name="TextBox 12">
          <a:extLst>
            <a:ext uri="{FF2B5EF4-FFF2-40B4-BE49-F238E27FC236}">
              <a16:creationId xmlns:a16="http://schemas.microsoft.com/office/drawing/2014/main" id="{169943BE-0427-4C2A-944A-605530709764}"/>
            </a:ext>
          </a:extLst>
        </xdr:cNvPr>
        <xdr:cNvSpPr txBox="1"/>
      </xdr:nvSpPr>
      <xdr:spPr>
        <a:xfrm>
          <a:off x="60441" y="2114856"/>
          <a:ext cx="853448" cy="190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b="1">
              <a:solidFill>
                <a:schemeClr val="bg1"/>
              </a:solidFill>
              <a:latin typeface="Aptos" panose="020B0004020202020204" pitchFamily="34" charset="0"/>
            </a:rPr>
            <a:t>💰Amount</a:t>
          </a:r>
          <a:endParaRPr lang="en-IN" sz="900" b="1">
            <a:solidFill>
              <a:schemeClr val="bg1"/>
            </a:solidFill>
            <a:latin typeface="Aptos" panose="020B0004020202020204" pitchFamily="34" charset="0"/>
          </a:endParaRPr>
        </a:p>
      </xdr:txBody>
    </xdr:sp>
    <xdr:clientData/>
  </xdr:twoCellAnchor>
  <xdr:twoCellAnchor>
    <xdr:from>
      <xdr:col>0</xdr:col>
      <xdr:colOff>60440</xdr:colOff>
      <xdr:row>14</xdr:row>
      <xdr:rowOff>142600</xdr:rowOff>
    </xdr:from>
    <xdr:to>
      <xdr:col>2</xdr:col>
      <xdr:colOff>59932</xdr:colOff>
      <xdr:row>15</xdr:row>
      <xdr:rowOff>145551</xdr:rowOff>
    </xdr:to>
    <xdr:sp macro="" textlink="">
      <xdr:nvSpPr>
        <xdr:cNvPr id="14" name="TextBox 13">
          <a:extLst>
            <a:ext uri="{FF2B5EF4-FFF2-40B4-BE49-F238E27FC236}">
              <a16:creationId xmlns:a16="http://schemas.microsoft.com/office/drawing/2014/main" id="{B17D4C83-E600-4129-B3F0-63CB9F4AB0A9}"/>
            </a:ext>
          </a:extLst>
        </xdr:cNvPr>
        <xdr:cNvSpPr txBox="1"/>
      </xdr:nvSpPr>
      <xdr:spPr>
        <a:xfrm>
          <a:off x="60440" y="2659769"/>
          <a:ext cx="1215267" cy="1827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b="1">
              <a:solidFill>
                <a:schemeClr val="bg1"/>
              </a:solidFill>
              <a:latin typeface="Aptos" panose="020B0004020202020204" pitchFamily="34" charset="0"/>
            </a:rPr>
            <a:t>📅 Days to Deliver</a:t>
          </a:r>
          <a:endParaRPr lang="en-IN" sz="900" b="1">
            <a:solidFill>
              <a:schemeClr val="bg1"/>
            </a:solidFill>
            <a:latin typeface="Aptos" panose="020B0004020202020204" pitchFamily="34" charset="0"/>
          </a:endParaRPr>
        </a:p>
      </xdr:txBody>
    </xdr:sp>
    <xdr:clientData/>
  </xdr:twoCellAnchor>
  <xdr:twoCellAnchor>
    <xdr:from>
      <xdr:col>0</xdr:col>
      <xdr:colOff>60441</xdr:colOff>
      <xdr:row>17</xdr:row>
      <xdr:rowOff>124762</xdr:rowOff>
    </xdr:from>
    <xdr:to>
      <xdr:col>2</xdr:col>
      <xdr:colOff>83894</xdr:colOff>
      <xdr:row>19</xdr:row>
      <xdr:rowOff>3582</xdr:rowOff>
    </xdr:to>
    <xdr:sp macro="" textlink="">
      <xdr:nvSpPr>
        <xdr:cNvPr id="15" name="TextBox 14">
          <a:extLst>
            <a:ext uri="{FF2B5EF4-FFF2-40B4-BE49-F238E27FC236}">
              <a16:creationId xmlns:a16="http://schemas.microsoft.com/office/drawing/2014/main" id="{D39E6D4F-089D-4E36-AD7C-F972DB1FDE69}"/>
            </a:ext>
          </a:extLst>
        </xdr:cNvPr>
        <xdr:cNvSpPr txBox="1"/>
      </xdr:nvSpPr>
      <xdr:spPr>
        <a:xfrm>
          <a:off x="60441" y="3181324"/>
          <a:ext cx="1239228" cy="238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1">
              <a:solidFill>
                <a:schemeClr val="dk1"/>
              </a:solidFill>
              <a:effectLst/>
              <a:latin typeface="+mn-lt"/>
              <a:ea typeface="+mn-ea"/>
              <a:cs typeface="+mn-cs"/>
            </a:rPr>
            <a:t>⭐ </a:t>
          </a:r>
          <a:r>
            <a:rPr lang="en-US" sz="1100" b="1">
              <a:solidFill>
                <a:schemeClr val="bg1"/>
              </a:solidFill>
              <a:effectLst/>
              <a:latin typeface="+mn-lt"/>
              <a:ea typeface="+mn-ea"/>
              <a:cs typeface="+mn-cs"/>
            </a:rPr>
            <a:t>Avg.Rating</a:t>
          </a:r>
          <a:endParaRPr lang="en-IN" sz="900">
            <a:solidFill>
              <a:schemeClr val="bg1"/>
            </a:solidFill>
            <a:effectLst/>
          </a:endParaRPr>
        </a:p>
      </xdr:txBody>
    </xdr:sp>
    <xdr:clientData/>
  </xdr:twoCellAnchor>
  <xdr:twoCellAnchor>
    <xdr:from>
      <xdr:col>2</xdr:col>
      <xdr:colOff>467335</xdr:colOff>
      <xdr:row>1</xdr:row>
      <xdr:rowOff>101187</xdr:rowOff>
    </xdr:from>
    <xdr:to>
      <xdr:col>8</xdr:col>
      <xdr:colOff>268517</xdr:colOff>
      <xdr:row>12</xdr:row>
      <xdr:rowOff>174537</xdr:rowOff>
    </xdr:to>
    <xdr:graphicFrame macro="">
      <xdr:nvGraphicFramePr>
        <xdr:cNvPr id="16" name="Chart 15">
          <a:extLst>
            <a:ext uri="{FF2B5EF4-FFF2-40B4-BE49-F238E27FC236}">
              <a16:creationId xmlns:a16="http://schemas.microsoft.com/office/drawing/2014/main" id="{BF5D4B79-89EA-4387-9754-0D30A50B2C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18791</xdr:colOff>
      <xdr:row>1</xdr:row>
      <xdr:rowOff>73786</xdr:rowOff>
    </xdr:from>
    <xdr:to>
      <xdr:col>20</xdr:col>
      <xdr:colOff>426109</xdr:colOff>
      <xdr:row>12</xdr:row>
      <xdr:rowOff>147136</xdr:rowOff>
    </xdr:to>
    <xdr:graphicFrame macro="">
      <xdr:nvGraphicFramePr>
        <xdr:cNvPr id="17" name="Chart 16">
          <a:extLst>
            <a:ext uri="{FF2B5EF4-FFF2-40B4-BE49-F238E27FC236}">
              <a16:creationId xmlns:a16="http://schemas.microsoft.com/office/drawing/2014/main" id="{B7CB875A-EC4C-4C9A-9958-740ACF8710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441053</xdr:colOff>
      <xdr:row>13</xdr:row>
      <xdr:rowOff>151728</xdr:rowOff>
    </xdr:from>
    <xdr:to>
      <xdr:col>8</xdr:col>
      <xdr:colOff>279128</xdr:colOff>
      <xdr:row>36</xdr:row>
      <xdr:rowOff>175708</xdr:rowOff>
    </xdr:to>
    <xdr:graphicFrame macro="">
      <xdr:nvGraphicFramePr>
        <xdr:cNvPr id="18" name="Chart 17">
          <a:extLst>
            <a:ext uri="{FF2B5EF4-FFF2-40B4-BE49-F238E27FC236}">
              <a16:creationId xmlns:a16="http://schemas.microsoft.com/office/drawing/2014/main" id="{FEC74252-EF44-401A-8DAC-FE62D7DC42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370915</xdr:colOff>
      <xdr:row>24</xdr:row>
      <xdr:rowOff>112282</xdr:rowOff>
    </xdr:from>
    <xdr:to>
      <xdr:col>8</xdr:col>
      <xdr:colOff>170890</xdr:colOff>
      <xdr:row>32</xdr:row>
      <xdr:rowOff>28127</xdr:rowOff>
    </xdr:to>
    <xdr:graphicFrame macro="">
      <xdr:nvGraphicFramePr>
        <xdr:cNvPr id="19" name="Chart 18">
          <a:extLst>
            <a:ext uri="{FF2B5EF4-FFF2-40B4-BE49-F238E27FC236}">
              <a16:creationId xmlns:a16="http://schemas.microsoft.com/office/drawing/2014/main" id="{36C8618B-0D6A-44D0-B88D-16F19FDBA5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502227</xdr:colOff>
      <xdr:row>13</xdr:row>
      <xdr:rowOff>150606</xdr:rowOff>
    </xdr:from>
    <xdr:to>
      <xdr:col>14</xdr:col>
      <xdr:colOff>411154</xdr:colOff>
      <xdr:row>36</xdr:row>
      <xdr:rowOff>175708</xdr:rowOff>
    </xdr:to>
    <mc:AlternateContent xmlns:mc="http://schemas.openxmlformats.org/markup-compatibility/2006">
      <mc:Choice xmlns:cx4="http://schemas.microsoft.com/office/drawing/2016/5/10/chartex" Requires="cx4">
        <xdr:graphicFrame macro="">
          <xdr:nvGraphicFramePr>
            <xdr:cNvPr id="21" name="Chart 20">
              <a:extLst>
                <a:ext uri="{FF2B5EF4-FFF2-40B4-BE49-F238E27FC236}">
                  <a16:creationId xmlns:a16="http://schemas.microsoft.com/office/drawing/2014/main" id="{F9AF36C6-1E48-4DE4-BD7F-8122A8C88DB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379027" y="2528046"/>
              <a:ext cx="3566527" cy="423134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349622</xdr:colOff>
      <xdr:row>16</xdr:row>
      <xdr:rowOff>86590</xdr:rowOff>
    </xdr:from>
    <xdr:to>
      <xdr:col>14</xdr:col>
      <xdr:colOff>372341</xdr:colOff>
      <xdr:row>22</xdr:row>
      <xdr:rowOff>163158</xdr:rowOff>
    </xdr:to>
    <mc:AlternateContent xmlns:mc="http://schemas.openxmlformats.org/markup-compatibility/2006">
      <mc:Choice xmlns:cx4="http://schemas.microsoft.com/office/drawing/2016/5/10/chartex" Requires="cx4">
        <xdr:graphicFrame macro="">
          <xdr:nvGraphicFramePr>
            <xdr:cNvPr id="22" name="Chart 21">
              <a:extLst>
                <a:ext uri="{FF2B5EF4-FFF2-40B4-BE49-F238E27FC236}">
                  <a16:creationId xmlns:a16="http://schemas.microsoft.com/office/drawing/2014/main" id="{01ECC2D0-3B5D-429E-B5D8-7392DE962DE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7055222" y="3012670"/>
              <a:ext cx="1851519" cy="117384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522569</xdr:colOff>
      <xdr:row>1</xdr:row>
      <xdr:rowOff>97380</xdr:rowOff>
    </xdr:from>
    <xdr:to>
      <xdr:col>14</xdr:col>
      <xdr:colOff>389658</xdr:colOff>
      <xdr:row>12</xdr:row>
      <xdr:rowOff>170730</xdr:rowOff>
    </xdr:to>
    <xdr:sp macro="" textlink="">
      <xdr:nvSpPr>
        <xdr:cNvPr id="23" name="Rectangle 22">
          <a:extLst>
            <a:ext uri="{FF2B5EF4-FFF2-40B4-BE49-F238E27FC236}">
              <a16:creationId xmlns:a16="http://schemas.microsoft.com/office/drawing/2014/main" id="{9D5D5641-EB5D-4E8E-9DFD-41D268BD8762}"/>
            </a:ext>
          </a:extLst>
        </xdr:cNvPr>
        <xdr:cNvSpPr/>
      </xdr:nvSpPr>
      <xdr:spPr>
        <a:xfrm>
          <a:off x="5371660" y="279221"/>
          <a:ext cx="3503907" cy="20736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atin typeface="Aptos" panose="020B0004020202020204" pitchFamily="34" charset="0"/>
            </a:rPr>
            <a:t>0</a:t>
          </a:r>
        </a:p>
      </xdr:txBody>
    </xdr:sp>
    <xdr:clientData/>
  </xdr:twoCellAnchor>
  <xdr:twoCellAnchor>
    <xdr:from>
      <xdr:col>9</xdr:col>
      <xdr:colOff>468506</xdr:colOff>
      <xdr:row>2</xdr:row>
      <xdr:rowOff>21963</xdr:rowOff>
    </xdr:from>
    <xdr:to>
      <xdr:col>13</xdr:col>
      <xdr:colOff>478031</xdr:colOff>
      <xdr:row>3</xdr:row>
      <xdr:rowOff>123152</xdr:rowOff>
    </xdr:to>
    <xdr:sp macro="" textlink="">
      <xdr:nvSpPr>
        <xdr:cNvPr id="24" name="TextBox 23">
          <a:extLst>
            <a:ext uri="{FF2B5EF4-FFF2-40B4-BE49-F238E27FC236}">
              <a16:creationId xmlns:a16="http://schemas.microsoft.com/office/drawing/2014/main" id="{4494EC68-4ED6-4B57-9FB2-31EE89CA7B83}"/>
            </a:ext>
          </a:extLst>
        </xdr:cNvPr>
        <xdr:cNvSpPr txBox="1"/>
      </xdr:nvSpPr>
      <xdr:spPr>
        <a:xfrm>
          <a:off x="5923733" y="385645"/>
          <a:ext cx="2434071" cy="2830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0">
            <a:defRPr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ysClr val="windowText" lastClr="000000">
                  <a:lumMod val="65000"/>
                  <a:lumOff val="35000"/>
                </a:sysClr>
              </a:solidFill>
              <a:latin typeface="Aptos" panose="020B0004020202020204" pitchFamily="34" charset="0"/>
              <a:ea typeface="+mn-ea"/>
              <a:cs typeface="+mn-cs"/>
            </a:rPr>
            <a:t>How our customers like to buy</a:t>
          </a:r>
        </a:p>
      </xdr:txBody>
    </xdr:sp>
    <xdr:clientData/>
  </xdr:twoCellAnchor>
  <xdr:twoCellAnchor>
    <xdr:from>
      <xdr:col>15</xdr:col>
      <xdr:colOff>22706</xdr:colOff>
      <xdr:row>14</xdr:row>
      <xdr:rowOff>8467</xdr:rowOff>
    </xdr:from>
    <xdr:to>
      <xdr:col>20</xdr:col>
      <xdr:colOff>424296</xdr:colOff>
      <xdr:row>26</xdr:row>
      <xdr:rowOff>59267</xdr:rowOff>
    </xdr:to>
    <xdr:graphicFrame macro="">
      <xdr:nvGraphicFramePr>
        <xdr:cNvPr id="2" name="Chart 1">
          <a:extLst>
            <a:ext uri="{FF2B5EF4-FFF2-40B4-BE49-F238E27FC236}">
              <a16:creationId xmlns:a16="http://schemas.microsoft.com/office/drawing/2014/main" id="{0F158D61-DC4C-453C-BBF7-DA61BAAD24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14430</xdr:colOff>
      <xdr:row>27</xdr:row>
      <xdr:rowOff>25400</xdr:rowOff>
    </xdr:from>
    <xdr:to>
      <xdr:col>20</xdr:col>
      <xdr:colOff>424295</xdr:colOff>
      <xdr:row>36</xdr:row>
      <xdr:rowOff>173182</xdr:rowOff>
    </xdr:to>
    <xdr:graphicFrame macro="">
      <xdr:nvGraphicFramePr>
        <xdr:cNvPr id="25" name="Chart 24">
          <a:extLst>
            <a:ext uri="{FF2B5EF4-FFF2-40B4-BE49-F238E27FC236}">
              <a16:creationId xmlns:a16="http://schemas.microsoft.com/office/drawing/2014/main" id="{3FB3508E-D1D4-4CE7-8BFF-48C26CFF4D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mc:AlternateContent xmlns:mc="http://schemas.openxmlformats.org/markup-compatibility/2006">
    <mc:Choice xmlns:a14="http://schemas.microsoft.com/office/drawing/2010/main" Requires="a14">
      <xdr:twoCellAnchor editAs="oneCell">
        <xdr:from>
          <xdr:col>9</xdr:col>
          <xdr:colOff>69272</xdr:colOff>
          <xdr:row>4</xdr:row>
          <xdr:rowOff>913</xdr:rowOff>
        </xdr:from>
        <xdr:to>
          <xdr:col>14</xdr:col>
          <xdr:colOff>169274</xdr:colOff>
          <xdr:row>12</xdr:row>
          <xdr:rowOff>71291</xdr:rowOff>
        </xdr:to>
        <xdr:pic>
          <xdr:nvPicPr>
            <xdr:cNvPr id="26" name="Picture 25">
              <a:extLst>
                <a:ext uri="{FF2B5EF4-FFF2-40B4-BE49-F238E27FC236}">
                  <a16:creationId xmlns:a16="http://schemas.microsoft.com/office/drawing/2014/main" id="{11E17500-722F-73DC-314E-35ABD2BA4678}"/>
                </a:ext>
              </a:extLst>
            </xdr:cNvPr>
            <xdr:cNvPicPr>
              <a:picLocks noChangeAspect="1" noChangeArrowheads="1"/>
              <a:extLst>
                <a:ext uri="{84589F7E-364E-4C9E-8A38-B11213B215E9}">
                  <a14:cameraTool cellRange="Sheet1!$B$15:$F$20" spid="_x0000_s1054"/>
                </a:ext>
              </a:extLst>
            </xdr:cNvPicPr>
          </xdr:nvPicPr>
          <xdr:blipFill>
            <a:blip xmlns:r="http://schemas.openxmlformats.org/officeDocument/2006/relationships" r:embed="rId10"/>
            <a:srcRect/>
            <a:stretch>
              <a:fillRect/>
            </a:stretch>
          </xdr:blipFill>
          <xdr:spPr bwMode="auto">
            <a:xfrm>
              <a:off x="5540261" y="720104"/>
              <a:ext cx="3139440" cy="150876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0</xdr:col>
      <xdr:colOff>38432</xdr:colOff>
      <xdr:row>20</xdr:row>
      <xdr:rowOff>167971</xdr:rowOff>
    </xdr:from>
    <xdr:to>
      <xdr:col>2</xdr:col>
      <xdr:colOff>259772</xdr:colOff>
      <xdr:row>28</xdr:row>
      <xdr:rowOff>91110</xdr:rowOff>
    </xdr:to>
    <mc:AlternateContent xmlns:mc="http://schemas.openxmlformats.org/markup-compatibility/2006" xmlns:a14="http://schemas.microsoft.com/office/drawing/2010/main">
      <mc:Choice Requires="a14">
        <xdr:graphicFrame macro="">
          <xdr:nvGraphicFramePr>
            <xdr:cNvPr id="20" name="Order Mode">
              <a:extLst>
                <a:ext uri="{FF2B5EF4-FFF2-40B4-BE49-F238E27FC236}">
                  <a16:creationId xmlns:a16="http://schemas.microsoft.com/office/drawing/2014/main" id="{21E1150C-C86D-4E7B-9178-431A0F52984B}"/>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38432" y="3763926"/>
              <a:ext cx="1437115" cy="13615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33131</xdr:colOff>
      <xdr:row>28</xdr:row>
      <xdr:rowOff>173936</xdr:rowOff>
    </xdr:from>
    <xdr:to>
      <xdr:col>2</xdr:col>
      <xdr:colOff>265044</xdr:colOff>
      <xdr:row>37</xdr:row>
      <xdr:rowOff>8284</xdr:rowOff>
    </xdr:to>
    <mc:AlternateContent xmlns:mc="http://schemas.openxmlformats.org/markup-compatibility/2006" xmlns:a14="http://schemas.microsoft.com/office/drawing/2010/main">
      <mc:Choice Requires="a14">
        <xdr:graphicFrame macro="">
          <xdr:nvGraphicFramePr>
            <xdr:cNvPr id="27" name="Gender Value">
              <a:extLst>
                <a:ext uri="{FF2B5EF4-FFF2-40B4-BE49-F238E27FC236}">
                  <a16:creationId xmlns:a16="http://schemas.microsoft.com/office/drawing/2014/main" id="{D76B6E2E-19F4-47AE-8888-1A1CF769B6B5}"/>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33131" y="5208273"/>
              <a:ext cx="1447688" cy="14525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315583</xdr:colOff>
      <xdr:row>6</xdr:row>
      <xdr:rowOff>154112</xdr:rowOff>
    </xdr:from>
    <xdr:to>
      <xdr:col>2</xdr:col>
      <xdr:colOff>273978</xdr:colOff>
      <xdr:row>7</xdr:row>
      <xdr:rowOff>128427</xdr:rowOff>
    </xdr:to>
    <xdr:sp macro="" textlink="Pivots!L16">
      <xdr:nvSpPr>
        <xdr:cNvPr id="28" name="TextBox 27">
          <a:extLst>
            <a:ext uri="{FF2B5EF4-FFF2-40B4-BE49-F238E27FC236}">
              <a16:creationId xmlns:a16="http://schemas.microsoft.com/office/drawing/2014/main" id="{9786E135-AA32-3D94-97C4-141560BF5767}"/>
            </a:ext>
          </a:extLst>
        </xdr:cNvPr>
        <xdr:cNvSpPr txBox="1"/>
      </xdr:nvSpPr>
      <xdr:spPr>
        <a:xfrm>
          <a:off x="923471" y="1232899"/>
          <a:ext cx="566282" cy="1541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A996C6F-A4DB-4333-959C-FE370155329B}" type="TxLink">
            <a:rPr lang="en-US" sz="800" b="0" i="0" u="none" strike="noStrike">
              <a:solidFill>
                <a:schemeClr val="bg1"/>
              </a:solidFill>
              <a:latin typeface="Aptos" panose="020B0004020202020204" pitchFamily="34" charset="0"/>
              <a:ea typeface="Calibri"/>
              <a:cs typeface="Calibri"/>
            </a:rPr>
            <a:pPr algn="l"/>
            <a:t>2,400</a:t>
          </a:fld>
          <a:endParaRPr lang="en-IN" sz="500" b="1">
            <a:solidFill>
              <a:schemeClr val="bg1"/>
            </a:solidFill>
            <a:latin typeface="Aptos" panose="020B0004020202020204" pitchFamily="34" charset="0"/>
          </a:endParaRPr>
        </a:p>
      </xdr:txBody>
    </xdr:sp>
    <xdr:clientData/>
  </xdr:twoCellAnchor>
  <xdr:twoCellAnchor>
    <xdr:from>
      <xdr:col>1</xdr:col>
      <xdr:colOff>313867</xdr:colOff>
      <xdr:row>10</xdr:row>
      <xdr:rowOff>15410</xdr:rowOff>
    </xdr:from>
    <xdr:to>
      <xdr:col>2</xdr:col>
      <xdr:colOff>272262</xdr:colOff>
      <xdr:row>10</xdr:row>
      <xdr:rowOff>169522</xdr:rowOff>
    </xdr:to>
    <xdr:sp macro="" textlink="Pivots!M16">
      <xdr:nvSpPr>
        <xdr:cNvPr id="33" name="TextBox 32">
          <a:extLst>
            <a:ext uri="{FF2B5EF4-FFF2-40B4-BE49-F238E27FC236}">
              <a16:creationId xmlns:a16="http://schemas.microsoft.com/office/drawing/2014/main" id="{3C5340FD-BFB3-0BE0-A6BF-8EE07B508777}"/>
            </a:ext>
          </a:extLst>
        </xdr:cNvPr>
        <xdr:cNvSpPr txBox="1"/>
      </xdr:nvSpPr>
      <xdr:spPr>
        <a:xfrm>
          <a:off x="921755" y="1813388"/>
          <a:ext cx="566282" cy="1541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E523C2A0-3165-4625-AB2B-5DF0FF0A8D07}" type="TxLink">
            <a:rPr lang="en-US" sz="800" b="0" i="0" u="none" strike="noStrike">
              <a:solidFill>
                <a:schemeClr val="bg1"/>
              </a:solidFill>
              <a:latin typeface="Aptos" panose="020B0004020202020204" pitchFamily="34" charset="0"/>
              <a:ea typeface="Calibri"/>
              <a:cs typeface="Calibri"/>
            </a:rPr>
            <a:pPr algn="l"/>
            <a:t>11,997</a:t>
          </a:fld>
          <a:endParaRPr lang="en-IN" sz="500" b="1">
            <a:solidFill>
              <a:schemeClr val="bg1"/>
            </a:solidFill>
            <a:latin typeface="Aptos" panose="020B0004020202020204" pitchFamily="34" charset="0"/>
          </a:endParaRPr>
        </a:p>
      </xdr:txBody>
    </xdr:sp>
    <xdr:clientData/>
  </xdr:twoCellAnchor>
  <xdr:twoCellAnchor>
    <xdr:from>
      <xdr:col>1</xdr:col>
      <xdr:colOff>312151</xdr:colOff>
      <xdr:row>12</xdr:row>
      <xdr:rowOff>167808</xdr:rowOff>
    </xdr:from>
    <xdr:to>
      <xdr:col>2</xdr:col>
      <xdr:colOff>270546</xdr:colOff>
      <xdr:row>13</xdr:row>
      <xdr:rowOff>142122</xdr:rowOff>
    </xdr:to>
    <xdr:sp macro="" textlink="Pivots!N16">
      <xdr:nvSpPr>
        <xdr:cNvPr id="34" name="TextBox 33">
          <a:extLst>
            <a:ext uri="{FF2B5EF4-FFF2-40B4-BE49-F238E27FC236}">
              <a16:creationId xmlns:a16="http://schemas.microsoft.com/office/drawing/2014/main" id="{0E075566-3248-0019-3CA5-BC7801D55F3D}"/>
            </a:ext>
          </a:extLst>
        </xdr:cNvPr>
        <xdr:cNvSpPr txBox="1"/>
      </xdr:nvSpPr>
      <xdr:spPr>
        <a:xfrm>
          <a:off x="920039" y="2325381"/>
          <a:ext cx="566282" cy="1541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FD789A2-A992-4B2A-9C67-856DC68ED849}" type="TxLink">
            <a:rPr lang="en-US" sz="800" b="0" i="0" u="none" strike="noStrike">
              <a:solidFill>
                <a:schemeClr val="bg1"/>
              </a:solidFill>
              <a:latin typeface="Aptos" panose="020B0004020202020204" pitchFamily="34" charset="0"/>
              <a:ea typeface="Calibri"/>
              <a:cs typeface="Calibri"/>
            </a:rPr>
            <a:pPr algn="l"/>
            <a:t>$649.0k</a:t>
          </a:fld>
          <a:endParaRPr lang="en-IN" sz="500" b="1">
            <a:solidFill>
              <a:schemeClr val="bg1"/>
            </a:solidFill>
            <a:latin typeface="Aptos" panose="020B0004020202020204" pitchFamily="34" charset="0"/>
          </a:endParaRPr>
        </a:p>
      </xdr:txBody>
    </xdr:sp>
    <xdr:clientData/>
  </xdr:twoCellAnchor>
  <xdr:twoCellAnchor>
    <xdr:from>
      <xdr:col>1</xdr:col>
      <xdr:colOff>310435</xdr:colOff>
      <xdr:row>15</xdr:row>
      <xdr:rowOff>166094</xdr:rowOff>
    </xdr:from>
    <xdr:to>
      <xdr:col>2</xdr:col>
      <xdr:colOff>268830</xdr:colOff>
      <xdr:row>16</xdr:row>
      <xdr:rowOff>140408</xdr:rowOff>
    </xdr:to>
    <xdr:sp macro="" textlink="Pivots!O16">
      <xdr:nvSpPr>
        <xdr:cNvPr id="35" name="TextBox 34">
          <a:extLst>
            <a:ext uri="{FF2B5EF4-FFF2-40B4-BE49-F238E27FC236}">
              <a16:creationId xmlns:a16="http://schemas.microsoft.com/office/drawing/2014/main" id="{D0ED23C5-2763-244F-8068-90FEC76AF991}"/>
            </a:ext>
          </a:extLst>
        </xdr:cNvPr>
        <xdr:cNvSpPr txBox="1"/>
      </xdr:nvSpPr>
      <xdr:spPr>
        <a:xfrm>
          <a:off x="918323" y="2863060"/>
          <a:ext cx="566282" cy="1541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EB8A30A-746F-466F-8B7C-098CF74C9E04}" type="TxLink">
            <a:rPr lang="en-US" sz="800" b="0" i="0" u="none" strike="noStrike">
              <a:solidFill>
                <a:schemeClr val="bg1"/>
              </a:solidFill>
              <a:latin typeface="Aptos" panose="020B0004020202020204" pitchFamily="34" charset="0"/>
              <a:ea typeface="Calibri"/>
              <a:cs typeface="Calibri"/>
            </a:rPr>
            <a:pPr algn="l"/>
            <a:t>2.3</a:t>
          </a:fld>
          <a:endParaRPr lang="en-IN" sz="500" b="1">
            <a:solidFill>
              <a:schemeClr val="bg1"/>
            </a:solidFill>
            <a:latin typeface="Aptos" panose="020B0004020202020204" pitchFamily="34" charset="0"/>
          </a:endParaRPr>
        </a:p>
      </xdr:txBody>
    </xdr:sp>
    <xdr:clientData/>
  </xdr:twoCellAnchor>
  <xdr:twoCellAnchor>
    <xdr:from>
      <xdr:col>1</xdr:col>
      <xdr:colOff>308719</xdr:colOff>
      <xdr:row>19</xdr:row>
      <xdr:rowOff>27392</xdr:rowOff>
    </xdr:from>
    <xdr:to>
      <xdr:col>2</xdr:col>
      <xdr:colOff>267114</xdr:colOff>
      <xdr:row>20</xdr:row>
      <xdr:rowOff>1706</xdr:rowOff>
    </xdr:to>
    <xdr:sp macro="" textlink="Pivots!P16">
      <xdr:nvSpPr>
        <xdr:cNvPr id="36" name="TextBox 35">
          <a:extLst>
            <a:ext uri="{FF2B5EF4-FFF2-40B4-BE49-F238E27FC236}">
              <a16:creationId xmlns:a16="http://schemas.microsoft.com/office/drawing/2014/main" id="{A31AA92D-BD79-E42E-DC7A-689A6D5784BE}"/>
            </a:ext>
          </a:extLst>
        </xdr:cNvPr>
        <xdr:cNvSpPr txBox="1"/>
      </xdr:nvSpPr>
      <xdr:spPr>
        <a:xfrm>
          <a:off x="916607" y="3443549"/>
          <a:ext cx="566282" cy="1541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39B07EF-5A58-4152-A1DF-61D9B109291F}" type="TxLink">
            <a:rPr lang="en-US" sz="800" b="0" i="0" u="none" strike="noStrike">
              <a:solidFill>
                <a:schemeClr val="bg1"/>
              </a:solidFill>
              <a:latin typeface="Aptos" panose="020B0004020202020204" pitchFamily="34" charset="0"/>
              <a:ea typeface="Calibri"/>
              <a:cs typeface="Calibri"/>
            </a:rPr>
            <a:pPr algn="l"/>
            <a:t>4.0</a:t>
          </a:fld>
          <a:endParaRPr lang="en-IN" sz="500" b="1">
            <a:solidFill>
              <a:schemeClr val="bg1"/>
            </a:solidFill>
            <a:latin typeface="Aptos" panose="020B0004020202020204" pitchFamily="34" charset="0"/>
          </a:endParaRPr>
        </a:p>
      </xdr:txBody>
    </xdr:sp>
    <xdr:clientData/>
  </xdr:twoCellAnchor>
  <xdr:twoCellAnchor>
    <xdr:from>
      <xdr:col>0</xdr:col>
      <xdr:colOff>179798</xdr:colOff>
      <xdr:row>8</xdr:row>
      <xdr:rowOff>51371</xdr:rowOff>
    </xdr:from>
    <xdr:to>
      <xdr:col>2</xdr:col>
      <xdr:colOff>80010</xdr:colOff>
      <xdr:row>8</xdr:row>
      <xdr:rowOff>51371</xdr:rowOff>
    </xdr:to>
    <xdr:cxnSp macro="">
      <xdr:nvCxnSpPr>
        <xdr:cNvPr id="37" name="Straight Connector 36">
          <a:extLst>
            <a:ext uri="{FF2B5EF4-FFF2-40B4-BE49-F238E27FC236}">
              <a16:creationId xmlns:a16="http://schemas.microsoft.com/office/drawing/2014/main" id="{34E7C184-D2FD-4F39-8290-D4AB251AB939}"/>
            </a:ext>
          </a:extLst>
        </xdr:cNvPr>
        <xdr:cNvCxnSpPr/>
      </xdr:nvCxnSpPr>
      <xdr:spPr>
        <a:xfrm>
          <a:off x="179798" y="1489753"/>
          <a:ext cx="1115987" cy="0"/>
        </a:xfrm>
        <a:prstGeom prst="line">
          <a:avLst/>
        </a:prstGeom>
        <a:ln w="12700">
          <a:solidFill>
            <a:schemeClr val="bg1">
              <a:lumMod val="9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186648</xdr:colOff>
      <xdr:row>11</xdr:row>
      <xdr:rowOff>66782</xdr:rowOff>
    </xdr:from>
    <xdr:to>
      <xdr:col>2</xdr:col>
      <xdr:colOff>86860</xdr:colOff>
      <xdr:row>11</xdr:row>
      <xdr:rowOff>66782</xdr:rowOff>
    </xdr:to>
    <xdr:cxnSp macro="">
      <xdr:nvCxnSpPr>
        <xdr:cNvPr id="38" name="Straight Connector 37">
          <a:extLst>
            <a:ext uri="{FF2B5EF4-FFF2-40B4-BE49-F238E27FC236}">
              <a16:creationId xmlns:a16="http://schemas.microsoft.com/office/drawing/2014/main" id="{2460F080-4785-391D-EDE2-985AA1BF4C4A}"/>
            </a:ext>
          </a:extLst>
        </xdr:cNvPr>
        <xdr:cNvCxnSpPr/>
      </xdr:nvCxnSpPr>
      <xdr:spPr>
        <a:xfrm>
          <a:off x="186648" y="2044557"/>
          <a:ext cx="1115987" cy="0"/>
        </a:xfrm>
        <a:prstGeom prst="line">
          <a:avLst/>
        </a:prstGeom>
        <a:ln w="12700">
          <a:solidFill>
            <a:schemeClr val="bg1">
              <a:lumMod val="9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193498</xdr:colOff>
      <xdr:row>14</xdr:row>
      <xdr:rowOff>73630</xdr:rowOff>
    </xdr:from>
    <xdr:to>
      <xdr:col>2</xdr:col>
      <xdr:colOff>93710</xdr:colOff>
      <xdr:row>14</xdr:row>
      <xdr:rowOff>73630</xdr:rowOff>
    </xdr:to>
    <xdr:cxnSp macro="">
      <xdr:nvCxnSpPr>
        <xdr:cNvPr id="39" name="Straight Connector 38">
          <a:extLst>
            <a:ext uri="{FF2B5EF4-FFF2-40B4-BE49-F238E27FC236}">
              <a16:creationId xmlns:a16="http://schemas.microsoft.com/office/drawing/2014/main" id="{97D2C122-3E56-3780-EA98-F38E5073A9C2}"/>
            </a:ext>
          </a:extLst>
        </xdr:cNvPr>
        <xdr:cNvCxnSpPr/>
      </xdr:nvCxnSpPr>
      <xdr:spPr>
        <a:xfrm>
          <a:off x="193498" y="2590799"/>
          <a:ext cx="1115987" cy="0"/>
        </a:xfrm>
        <a:prstGeom prst="line">
          <a:avLst/>
        </a:prstGeom>
        <a:ln w="12700">
          <a:solidFill>
            <a:schemeClr val="bg1">
              <a:lumMod val="9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200348</xdr:colOff>
      <xdr:row>17</xdr:row>
      <xdr:rowOff>71917</xdr:rowOff>
    </xdr:from>
    <xdr:to>
      <xdr:col>2</xdr:col>
      <xdr:colOff>100560</xdr:colOff>
      <xdr:row>17</xdr:row>
      <xdr:rowOff>71917</xdr:rowOff>
    </xdr:to>
    <xdr:cxnSp macro="">
      <xdr:nvCxnSpPr>
        <xdr:cNvPr id="40" name="Straight Connector 39">
          <a:extLst>
            <a:ext uri="{FF2B5EF4-FFF2-40B4-BE49-F238E27FC236}">
              <a16:creationId xmlns:a16="http://schemas.microsoft.com/office/drawing/2014/main" id="{7FFE904D-0CAC-3303-166C-CE8002DD9671}"/>
            </a:ext>
          </a:extLst>
        </xdr:cNvPr>
        <xdr:cNvCxnSpPr/>
      </xdr:nvCxnSpPr>
      <xdr:spPr>
        <a:xfrm>
          <a:off x="200348" y="3128479"/>
          <a:ext cx="1115987" cy="0"/>
        </a:xfrm>
        <a:prstGeom prst="line">
          <a:avLst/>
        </a:prstGeom>
        <a:ln w="12700">
          <a:solidFill>
            <a:schemeClr val="bg1">
              <a:lumMod val="9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urav" refreshedDate="46111.604177083333" createdVersion="8" refreshedVersion="8" minRefreshableVersion="3" recordCount="2400" xr:uid="{C72260AE-0BAD-4E8A-ADC9-08BA320481A2}">
  <cacheSource type="worksheet">
    <worksheetSource ref="A1:N2401" sheet="Data"/>
  </cacheSource>
  <cacheFields count="19">
    <cacheField name="Transaction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atik Shirt"/>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4"/>
    </cacheField>
    <cacheField name="Unit Price" numFmtId="3">
      <sharedItems containsSemiMixedTypes="0" containsString="0" containsNumber="1" minValue="10.199999999999999" maxValue="234.7"/>
    </cacheField>
    <cacheField name="Amount($)" numFmtId="3">
      <sharedItems containsSemiMixedTypes="0" containsString="0" containsNumber="1" minValue="10.9" maxValue="7446.6"/>
    </cacheField>
    <cacheField name="Order Date" numFmtId="164">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8"/>
    </cacheField>
    <cacheField name="Ship Date" numFmtId="164">
      <sharedItems containsSemiMixedTypes="0" containsNonDate="0" containsDate="1" containsString="0" minDate="2025-01-02T00:00:00" maxDate="2025-04-11T00:00:00" count="96">
        <d v="2025-01-06T00:00:00"/>
        <d v="2025-01-03T00:00:00"/>
        <d v="2025-01-04T00:00:00"/>
        <d v="2025-01-02T00:00:00"/>
        <d v="2025-01-07T00:00:00"/>
        <d v="2025-01-05T00:00:00"/>
        <d v="2025-01-08T00:00:00"/>
        <d v="2025-01-11T00:00:00"/>
        <d v="2025-01-09T00:00:00"/>
        <d v="2025-01-10T00:00:00"/>
        <d v="2025-01-17T00:00:00"/>
        <d v="2025-01-15T00:00:00"/>
        <d v="2025-01-12T00:00:00"/>
        <d v="2025-01-18T00:00:00"/>
        <d v="2025-01-13T00:00:00"/>
        <d v="2025-01-16T00:00:00"/>
        <d v="2025-01-14T00:00:00"/>
        <d v="2025-01-25T00:00:00"/>
        <d v="2025-01-19T00:00:00"/>
        <d v="2025-01-26T00:00:00"/>
        <d v="2025-01-21T00:00:00"/>
        <d v="2025-01-20T00:00:00"/>
        <d v="2025-01-27T00:00:00"/>
        <d v="2025-01-23T00:00:00"/>
        <d v="2025-01-22T00:00:00"/>
        <d v="2025-01-24T00:00:00"/>
        <d v="2025-01-30T00:00:00"/>
        <d v="2025-01-31T00:00:00"/>
        <d v="2025-01-29T00:00:00"/>
        <d v="2025-01-28T00:00:00"/>
        <d v="2025-02-01T00:00:00"/>
        <d v="2025-02-07T00:00:00"/>
        <d v="2025-02-04T00:00:00"/>
        <d v="2025-02-02T00:00:00"/>
        <d v="2025-02-03T00:00:00"/>
        <d v="2025-02-09T00:00:00"/>
        <d v="2025-02-05T00:00:00"/>
        <d v="2025-02-10T00:00:00"/>
        <d v="2025-02-06T00:00:00"/>
        <d v="2025-02-08T00:00:00"/>
        <d v="2025-02-11T00:00:00"/>
        <d v="2025-02-16T00:00:00"/>
        <d v="2025-02-14T00:00:00"/>
        <d v="2025-02-17T00:00:00"/>
        <d v="2025-02-12T00:00:00"/>
        <d v="2025-02-13T00:00:00"/>
        <d v="2025-02-19T00:00:00"/>
        <d v="2025-02-21T00:00:00"/>
        <d v="2025-02-15T00:00:00"/>
        <d v="2025-02-20T00:00:00"/>
        <d v="2025-02-18T00:00:00"/>
        <d v="2025-02-25T00:00:00"/>
        <d v="2025-02-26T00:00:00"/>
        <d v="2025-02-27T00:00:00"/>
        <d v="2025-02-24T00:00:00"/>
        <d v="2025-02-23T00:00:00"/>
        <d v="2025-02-22T00:00:00"/>
        <d v="2025-03-02T00:00:00"/>
        <d v="2025-02-28T00:00:00"/>
        <d v="2025-03-01T00:00:00"/>
        <d v="2025-03-09T00:00:00"/>
        <d v="2025-03-04T00:00:00"/>
        <d v="2025-03-03T00:00:00"/>
        <d v="2025-03-05T00:00:00"/>
        <d v="2025-03-13T00:00:00"/>
        <d v="2025-03-10T00:00:00"/>
        <d v="2025-03-06T00:00:00"/>
        <d v="2025-03-14T00:00:00"/>
        <d v="2025-03-07T00:00:00"/>
        <d v="2025-03-16T00:00:00"/>
        <d v="2025-03-08T00:00:00"/>
        <d v="2025-03-11T00:00:00"/>
        <d v="2025-03-15T00:00:00"/>
        <d v="2025-03-18T00:00:00"/>
        <d v="2025-03-12T00:00:00"/>
        <d v="2025-03-21T00:00:00"/>
        <d v="2025-03-17T00:00:00"/>
        <d v="2025-03-24T00:00:00"/>
        <d v="2025-03-20T00:00:00"/>
        <d v="2025-03-23T00:00:00"/>
        <d v="2025-03-22T00:00:00"/>
        <d v="2025-03-26T00:00:00"/>
        <d v="2025-03-25T00:00:00"/>
        <d v="2025-03-19T00:00:00"/>
        <d v="2025-04-01T00:00:00"/>
        <d v="2025-04-03T00:00:00"/>
        <d v="2025-03-28T00:00:00"/>
        <d v="2025-03-27T00:00:00"/>
        <d v="2025-03-31T00:00:00"/>
        <d v="2025-03-30T00:00:00"/>
        <d v="2025-03-29T00:00:00"/>
        <d v="2025-04-09T00:00:00"/>
        <d v="2025-04-02T00:00:00"/>
        <d v="2025-04-05T00:00:00"/>
        <d v="2025-04-10T00:00:00"/>
        <d v="2025-04-04T00:00:00"/>
      </sharedItems>
      <fieldGroup par="16"/>
    </cacheField>
    <cacheField name="Customer Gender" numFmtId="0">
      <sharedItems containsBlank="1" count="4">
        <m/>
        <s v="M"/>
        <s v="F"/>
        <s v="O"/>
      </sharedItems>
    </cacheField>
    <cacheField name="Order Mode" numFmtId="0">
      <sharedItems count="5">
        <s v="Shopee App"/>
        <s v="Shopee Web"/>
        <s v="Shopee Mall"/>
        <s v="Shopee Live"/>
        <s v="ShopeePay Later"/>
      </sharedItems>
    </cacheField>
    <cacheField name="Customer Rating" numFmtId="0">
      <sharedItems containsSemiMixedTypes="0" containsString="0" containsNumber="1" containsInteger="1" minValue="1" maxValue="5" count="5">
        <n v="4"/>
        <n v="3"/>
        <n v="5"/>
        <n v="1"/>
        <n v="2"/>
      </sharedItems>
    </cacheField>
    <cacheField name="Province" numFmtId="0">
      <sharedItems count="34">
        <s v="Aceh"/>
        <s v="Sulawesi Selatan"/>
        <s v="Riau"/>
        <s v="DKI Jakarta"/>
        <s v="Kalimantan Tengah"/>
        <s v="Jambi"/>
        <s v="Bali"/>
        <s v="Sumatera Utara"/>
        <s v="Jawa Barat"/>
        <s v="Kalimantan Timur"/>
        <s v="Kepulauan Bangka Belitung"/>
        <s v="Jawa Tengah"/>
        <s v="Maluku"/>
        <s v="Banten"/>
        <s v="Nusa Tenggara Timur"/>
        <s v="Bangka Belitung"/>
        <s v="Papua"/>
        <s v="Jawa Timur"/>
        <s v="Maluku Utara"/>
        <s v="Kepulauan Riau"/>
        <s v="Sumatera Barat"/>
        <s v="Papua Barat"/>
        <s v="Gorontalo"/>
        <s v="Sulawesi Utara"/>
        <s v="Nusa Tenggara Barat"/>
        <s v="Lampung"/>
        <s v="Kalimantan Utara"/>
        <s v="Kalimantan Selatan"/>
        <s v="Bengkulu"/>
        <s v="Sulawesi Tengah"/>
        <s v="Sulawesi Tenggara"/>
        <s v="Sumatera Selatan"/>
        <s v="Kalimantan Barat"/>
        <s v="DIY Yogyakarta"/>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 Number"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2"/>
          <x v="3"/>
          <x v="4"/>
          <x v="0"/>
          <x v="1"/>
          <x v="1"/>
          <x v="1"/>
          <x v="0"/>
          <x v="0"/>
          <x v="6"/>
          <x v="1"/>
          <x v="0"/>
          <x v="5"/>
          <x v="0"/>
          <x v="1"/>
          <x v="1"/>
          <x v="1"/>
          <x v="1"/>
          <x v="1"/>
          <x v="1"/>
          <x v="1"/>
          <x v="1"/>
          <x v="1"/>
          <x v="1"/>
          <x v="1"/>
          <x v="1"/>
          <x v="1"/>
          <x v="1"/>
          <x v="1"/>
          <x v="1"/>
          <x v="1"/>
          <x v="1"/>
          <x v="1"/>
          <x v="1"/>
          <x v="1"/>
          <x v="1"/>
          <x v="1"/>
          <x v="1"/>
          <x v="1"/>
          <x v="1"/>
          <x v="1"/>
          <x v="1"/>
          <x v="1"/>
          <x v="1"/>
          <x v="1"/>
          <x v="1"/>
          <x v="1"/>
          <x v="1"/>
        </discretePr>
        <groupItems count="7">
          <s v="Group2"/>
          <s v="Group3"/>
          <s v="1"/>
          <s v="2"/>
          <s v="3"/>
          <s v="4"/>
          <s v="5"/>
        </groupItems>
      </fieldGroup>
    </cacheField>
    <cacheField name="Days (Ship Date)" numFmtId="0" databaseField="0">
      <fieldGroup base="6">
        <rangePr groupBy="days" startDate="2025-01-02T00:00:00" endDate="2025-04-11T00:00:00"/>
        <groupItems count="368">
          <s v="&lt;02-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1-04-2025"/>
        </groupItems>
      </fieldGroup>
    </cacheField>
    <cacheField name="Months (Ship Date)" numFmtId="0" databaseField="0">
      <fieldGroup base="6">
        <rangePr groupBy="months" startDate="2025-01-02T00:00:00" endDate="2025-04-11T00:00:00"/>
        <groupItems count="14">
          <s v="&lt;02-01-2025"/>
          <s v="Jan"/>
          <s v="Feb"/>
          <s v="Mar"/>
          <s v="Apr"/>
          <s v="May"/>
          <s v="Jun"/>
          <s v="Jul"/>
          <s v="Aug"/>
          <s v="Sep"/>
          <s v="Oct"/>
          <s v="Nov"/>
          <s v="Dec"/>
          <s v="&gt;11-04-2025"/>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18003651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n v="10.9"/>
    <x v="0"/>
    <x v="0"/>
    <x v="0"/>
    <x v="0"/>
    <x v="0"/>
    <x v="0"/>
    <x v="0"/>
    <x v="0"/>
    <x v="0"/>
  </r>
  <r>
    <x v="1"/>
    <x v="1"/>
    <x v="1"/>
    <n v="30.6"/>
    <n v="61.2"/>
    <x v="0"/>
    <x v="1"/>
    <x v="1"/>
    <x v="0"/>
    <x v="0"/>
    <x v="1"/>
    <x v="1"/>
    <x v="0"/>
    <x v="1"/>
  </r>
  <r>
    <x v="2"/>
    <x v="2"/>
    <x v="2"/>
    <n v="109.4"/>
    <n v="328.2"/>
    <x v="0"/>
    <x v="2"/>
    <x v="2"/>
    <x v="0"/>
    <x v="1"/>
    <x v="2"/>
    <x v="2"/>
    <x v="0"/>
    <x v="2"/>
  </r>
  <r>
    <x v="3"/>
    <x v="3"/>
    <x v="3"/>
    <n v="37.700000000000003"/>
    <n v="263.89999999999998"/>
    <x v="0"/>
    <x v="3"/>
    <x v="2"/>
    <x v="0"/>
    <x v="0"/>
    <x v="2"/>
    <x v="3"/>
    <x v="0"/>
    <x v="2"/>
  </r>
  <r>
    <x v="4"/>
    <x v="4"/>
    <x v="2"/>
    <n v="56.7"/>
    <n v="170.1"/>
    <x v="0"/>
    <x v="2"/>
    <x v="2"/>
    <x v="0"/>
    <x v="2"/>
    <x v="3"/>
    <x v="2"/>
    <x v="0"/>
    <x v="2"/>
  </r>
  <r>
    <x v="5"/>
    <x v="1"/>
    <x v="4"/>
    <n v="83.5"/>
    <n v="1002"/>
    <x v="0"/>
    <x v="2"/>
    <x v="1"/>
    <x v="1"/>
    <x v="0"/>
    <x v="3"/>
    <x v="2"/>
    <x v="0"/>
    <x v="1"/>
  </r>
  <r>
    <x v="6"/>
    <x v="5"/>
    <x v="0"/>
    <n v="55.3"/>
    <n v="55.3"/>
    <x v="0"/>
    <x v="3"/>
    <x v="2"/>
    <x v="0"/>
    <x v="0"/>
    <x v="3"/>
    <x v="3"/>
    <x v="0"/>
    <x v="2"/>
  </r>
  <r>
    <x v="7"/>
    <x v="6"/>
    <x v="1"/>
    <n v="40.299999999999997"/>
    <n v="80.599999999999994"/>
    <x v="0"/>
    <x v="3"/>
    <x v="1"/>
    <x v="2"/>
    <x v="2"/>
    <x v="3"/>
    <x v="3"/>
    <x v="0"/>
    <x v="1"/>
  </r>
  <r>
    <x v="8"/>
    <x v="7"/>
    <x v="5"/>
    <n v="35.700000000000003"/>
    <n v="392.7"/>
    <x v="0"/>
    <x v="3"/>
    <x v="2"/>
    <x v="0"/>
    <x v="0"/>
    <x v="3"/>
    <x v="3"/>
    <x v="0"/>
    <x v="2"/>
  </r>
  <r>
    <x v="9"/>
    <x v="8"/>
    <x v="3"/>
    <n v="22.4"/>
    <n v="156.80000000000001"/>
    <x v="0"/>
    <x v="2"/>
    <x v="1"/>
    <x v="0"/>
    <x v="1"/>
    <x v="3"/>
    <x v="2"/>
    <x v="0"/>
    <x v="1"/>
  </r>
  <r>
    <x v="10"/>
    <x v="9"/>
    <x v="1"/>
    <n v="54.4"/>
    <n v="108.8"/>
    <x v="0"/>
    <x v="4"/>
    <x v="2"/>
    <x v="0"/>
    <x v="0"/>
    <x v="3"/>
    <x v="4"/>
    <x v="0"/>
    <x v="2"/>
  </r>
  <r>
    <x v="11"/>
    <x v="9"/>
    <x v="1"/>
    <n v="49"/>
    <n v="98"/>
    <x v="0"/>
    <x v="1"/>
    <x v="2"/>
    <x v="2"/>
    <x v="1"/>
    <x v="3"/>
    <x v="1"/>
    <x v="0"/>
    <x v="2"/>
  </r>
  <r>
    <x v="12"/>
    <x v="5"/>
    <x v="3"/>
    <n v="118.6"/>
    <n v="830.19999999999993"/>
    <x v="0"/>
    <x v="5"/>
    <x v="2"/>
    <x v="1"/>
    <x v="0"/>
    <x v="4"/>
    <x v="5"/>
    <x v="0"/>
    <x v="2"/>
  </r>
  <r>
    <x v="13"/>
    <x v="6"/>
    <x v="6"/>
    <n v="88.4"/>
    <n v="2386.8000000000002"/>
    <x v="0"/>
    <x v="6"/>
    <x v="1"/>
    <x v="3"/>
    <x v="0"/>
    <x v="5"/>
    <x v="6"/>
    <x v="0"/>
    <x v="1"/>
  </r>
  <r>
    <x v="14"/>
    <x v="10"/>
    <x v="0"/>
    <n v="66.7"/>
    <n v="66.7"/>
    <x v="0"/>
    <x v="2"/>
    <x v="1"/>
    <x v="0"/>
    <x v="0"/>
    <x v="6"/>
    <x v="2"/>
    <x v="0"/>
    <x v="1"/>
  </r>
  <r>
    <x v="15"/>
    <x v="9"/>
    <x v="7"/>
    <n v="30.9"/>
    <n v="309"/>
    <x v="0"/>
    <x v="3"/>
    <x v="1"/>
    <x v="1"/>
    <x v="2"/>
    <x v="6"/>
    <x v="3"/>
    <x v="0"/>
    <x v="1"/>
  </r>
  <r>
    <x v="16"/>
    <x v="4"/>
    <x v="2"/>
    <n v="31.1"/>
    <n v="93.3"/>
    <x v="0"/>
    <x v="3"/>
    <x v="2"/>
    <x v="0"/>
    <x v="1"/>
    <x v="6"/>
    <x v="3"/>
    <x v="0"/>
    <x v="2"/>
  </r>
  <r>
    <x v="17"/>
    <x v="7"/>
    <x v="2"/>
    <n v="36.6"/>
    <n v="109.8"/>
    <x v="0"/>
    <x v="2"/>
    <x v="2"/>
    <x v="0"/>
    <x v="0"/>
    <x v="7"/>
    <x v="2"/>
    <x v="0"/>
    <x v="2"/>
  </r>
  <r>
    <x v="18"/>
    <x v="6"/>
    <x v="8"/>
    <n v="51.1"/>
    <n v="408.8"/>
    <x v="0"/>
    <x v="2"/>
    <x v="2"/>
    <x v="2"/>
    <x v="3"/>
    <x v="7"/>
    <x v="2"/>
    <x v="0"/>
    <x v="2"/>
  </r>
  <r>
    <x v="19"/>
    <x v="9"/>
    <x v="0"/>
    <n v="25.2"/>
    <n v="25.2"/>
    <x v="0"/>
    <x v="3"/>
    <x v="2"/>
    <x v="1"/>
    <x v="2"/>
    <x v="8"/>
    <x v="3"/>
    <x v="0"/>
    <x v="2"/>
  </r>
  <r>
    <x v="20"/>
    <x v="9"/>
    <x v="9"/>
    <n v="43.8"/>
    <n v="219"/>
    <x v="0"/>
    <x v="2"/>
    <x v="2"/>
    <x v="2"/>
    <x v="0"/>
    <x v="8"/>
    <x v="2"/>
    <x v="0"/>
    <x v="2"/>
  </r>
  <r>
    <x v="21"/>
    <x v="8"/>
    <x v="4"/>
    <n v="46.7"/>
    <n v="560.40000000000009"/>
    <x v="0"/>
    <x v="3"/>
    <x v="2"/>
    <x v="1"/>
    <x v="1"/>
    <x v="8"/>
    <x v="3"/>
    <x v="0"/>
    <x v="2"/>
  </r>
  <r>
    <x v="22"/>
    <x v="3"/>
    <x v="10"/>
    <n v="79.900000000000006"/>
    <n v="1518.1"/>
    <x v="0"/>
    <x v="3"/>
    <x v="1"/>
    <x v="0"/>
    <x v="2"/>
    <x v="8"/>
    <x v="3"/>
    <x v="0"/>
    <x v="1"/>
  </r>
  <r>
    <x v="23"/>
    <x v="11"/>
    <x v="8"/>
    <n v="26.4"/>
    <n v="211.2"/>
    <x v="0"/>
    <x v="3"/>
    <x v="2"/>
    <x v="3"/>
    <x v="0"/>
    <x v="8"/>
    <x v="3"/>
    <x v="0"/>
    <x v="2"/>
  </r>
  <r>
    <x v="24"/>
    <x v="12"/>
    <x v="8"/>
    <n v="88.8"/>
    <n v="710.4"/>
    <x v="0"/>
    <x v="3"/>
    <x v="2"/>
    <x v="4"/>
    <x v="0"/>
    <x v="8"/>
    <x v="3"/>
    <x v="0"/>
    <x v="2"/>
  </r>
  <r>
    <x v="25"/>
    <x v="0"/>
    <x v="7"/>
    <n v="17.5"/>
    <n v="175"/>
    <x v="0"/>
    <x v="3"/>
    <x v="2"/>
    <x v="2"/>
    <x v="0"/>
    <x v="9"/>
    <x v="3"/>
    <x v="0"/>
    <x v="2"/>
  </r>
  <r>
    <x v="26"/>
    <x v="1"/>
    <x v="11"/>
    <n v="38.700000000000003"/>
    <n v="348.3"/>
    <x v="0"/>
    <x v="2"/>
    <x v="1"/>
    <x v="1"/>
    <x v="0"/>
    <x v="10"/>
    <x v="2"/>
    <x v="0"/>
    <x v="1"/>
  </r>
  <r>
    <x v="27"/>
    <x v="13"/>
    <x v="12"/>
    <n v="57.2"/>
    <n v="228.8"/>
    <x v="0"/>
    <x v="1"/>
    <x v="0"/>
    <x v="1"/>
    <x v="2"/>
    <x v="11"/>
    <x v="1"/>
    <x v="0"/>
    <x v="0"/>
  </r>
  <r>
    <x v="28"/>
    <x v="6"/>
    <x v="9"/>
    <n v="50.9"/>
    <n v="254.5"/>
    <x v="0"/>
    <x v="4"/>
    <x v="0"/>
    <x v="1"/>
    <x v="2"/>
    <x v="12"/>
    <x v="4"/>
    <x v="0"/>
    <x v="0"/>
  </r>
  <r>
    <x v="29"/>
    <x v="14"/>
    <x v="3"/>
    <n v="41"/>
    <n v="287"/>
    <x v="0"/>
    <x v="5"/>
    <x v="2"/>
    <x v="1"/>
    <x v="0"/>
    <x v="13"/>
    <x v="5"/>
    <x v="0"/>
    <x v="2"/>
  </r>
  <r>
    <x v="30"/>
    <x v="8"/>
    <x v="3"/>
    <n v="19.100000000000001"/>
    <n v="133.69999999999999"/>
    <x v="0"/>
    <x v="5"/>
    <x v="1"/>
    <x v="0"/>
    <x v="2"/>
    <x v="14"/>
    <x v="5"/>
    <x v="0"/>
    <x v="1"/>
  </r>
  <r>
    <x v="31"/>
    <x v="2"/>
    <x v="9"/>
    <n v="166.1"/>
    <n v="830.5"/>
    <x v="0"/>
    <x v="2"/>
    <x v="1"/>
    <x v="0"/>
    <x v="0"/>
    <x v="15"/>
    <x v="2"/>
    <x v="0"/>
    <x v="1"/>
  </r>
  <r>
    <x v="32"/>
    <x v="4"/>
    <x v="2"/>
    <n v="29.9"/>
    <n v="89.699999999999989"/>
    <x v="0"/>
    <x v="3"/>
    <x v="1"/>
    <x v="3"/>
    <x v="0"/>
    <x v="3"/>
    <x v="3"/>
    <x v="0"/>
    <x v="1"/>
  </r>
  <r>
    <x v="33"/>
    <x v="10"/>
    <x v="13"/>
    <n v="21.7"/>
    <n v="130.19999999999999"/>
    <x v="0"/>
    <x v="1"/>
    <x v="3"/>
    <x v="2"/>
    <x v="2"/>
    <x v="3"/>
    <x v="1"/>
    <x v="0"/>
    <x v="3"/>
  </r>
  <r>
    <x v="34"/>
    <x v="11"/>
    <x v="1"/>
    <n v="32"/>
    <n v="64"/>
    <x v="0"/>
    <x v="2"/>
    <x v="1"/>
    <x v="0"/>
    <x v="2"/>
    <x v="3"/>
    <x v="2"/>
    <x v="0"/>
    <x v="1"/>
  </r>
  <r>
    <x v="35"/>
    <x v="8"/>
    <x v="1"/>
    <n v="15.8"/>
    <n v="31.6"/>
    <x v="0"/>
    <x v="3"/>
    <x v="1"/>
    <x v="4"/>
    <x v="2"/>
    <x v="3"/>
    <x v="3"/>
    <x v="0"/>
    <x v="1"/>
  </r>
  <r>
    <x v="36"/>
    <x v="2"/>
    <x v="14"/>
    <n v="203.1"/>
    <n v="3452.7"/>
    <x v="0"/>
    <x v="5"/>
    <x v="1"/>
    <x v="3"/>
    <x v="1"/>
    <x v="3"/>
    <x v="5"/>
    <x v="0"/>
    <x v="1"/>
  </r>
  <r>
    <x v="37"/>
    <x v="7"/>
    <x v="15"/>
    <n v="39"/>
    <n v="507"/>
    <x v="0"/>
    <x v="4"/>
    <x v="1"/>
    <x v="0"/>
    <x v="2"/>
    <x v="3"/>
    <x v="4"/>
    <x v="0"/>
    <x v="1"/>
  </r>
  <r>
    <x v="38"/>
    <x v="10"/>
    <x v="0"/>
    <n v="26.5"/>
    <n v="26.5"/>
    <x v="1"/>
    <x v="1"/>
    <x v="1"/>
    <x v="2"/>
    <x v="0"/>
    <x v="3"/>
    <x v="3"/>
    <x v="0"/>
    <x v="1"/>
  </r>
  <r>
    <x v="39"/>
    <x v="5"/>
    <x v="0"/>
    <n v="43.1"/>
    <n v="43.1"/>
    <x v="1"/>
    <x v="1"/>
    <x v="2"/>
    <x v="2"/>
    <x v="1"/>
    <x v="3"/>
    <x v="3"/>
    <x v="0"/>
    <x v="2"/>
  </r>
  <r>
    <x v="40"/>
    <x v="1"/>
    <x v="2"/>
    <n v="139"/>
    <n v="417"/>
    <x v="1"/>
    <x v="1"/>
    <x v="2"/>
    <x v="4"/>
    <x v="2"/>
    <x v="3"/>
    <x v="3"/>
    <x v="0"/>
    <x v="2"/>
  </r>
  <r>
    <x v="41"/>
    <x v="12"/>
    <x v="0"/>
    <n v="80.7"/>
    <n v="80.7"/>
    <x v="1"/>
    <x v="1"/>
    <x v="1"/>
    <x v="0"/>
    <x v="2"/>
    <x v="16"/>
    <x v="3"/>
    <x v="0"/>
    <x v="1"/>
  </r>
  <r>
    <x v="42"/>
    <x v="4"/>
    <x v="1"/>
    <n v="54.5"/>
    <n v="109"/>
    <x v="1"/>
    <x v="2"/>
    <x v="1"/>
    <x v="1"/>
    <x v="1"/>
    <x v="6"/>
    <x v="1"/>
    <x v="0"/>
    <x v="1"/>
  </r>
  <r>
    <x v="43"/>
    <x v="6"/>
    <x v="2"/>
    <n v="68.599999999999994"/>
    <n v="205.8"/>
    <x v="1"/>
    <x v="3"/>
    <x v="2"/>
    <x v="0"/>
    <x v="1"/>
    <x v="8"/>
    <x v="7"/>
    <x v="0"/>
    <x v="2"/>
  </r>
  <r>
    <x v="44"/>
    <x v="2"/>
    <x v="12"/>
    <n v="135.9"/>
    <n v="543.6"/>
    <x v="1"/>
    <x v="1"/>
    <x v="2"/>
    <x v="2"/>
    <x v="2"/>
    <x v="8"/>
    <x v="3"/>
    <x v="0"/>
    <x v="2"/>
  </r>
  <r>
    <x v="45"/>
    <x v="2"/>
    <x v="12"/>
    <n v="70.900000000000006"/>
    <n v="283.60000000000002"/>
    <x v="1"/>
    <x v="1"/>
    <x v="2"/>
    <x v="0"/>
    <x v="0"/>
    <x v="17"/>
    <x v="3"/>
    <x v="0"/>
    <x v="2"/>
  </r>
  <r>
    <x v="46"/>
    <x v="1"/>
    <x v="9"/>
    <n v="63.7"/>
    <n v="318.5"/>
    <x v="1"/>
    <x v="1"/>
    <x v="1"/>
    <x v="1"/>
    <x v="1"/>
    <x v="9"/>
    <x v="3"/>
    <x v="0"/>
    <x v="1"/>
  </r>
  <r>
    <x v="47"/>
    <x v="13"/>
    <x v="0"/>
    <n v="29.7"/>
    <n v="29.7"/>
    <x v="1"/>
    <x v="2"/>
    <x v="2"/>
    <x v="1"/>
    <x v="0"/>
    <x v="11"/>
    <x v="1"/>
    <x v="0"/>
    <x v="2"/>
  </r>
  <r>
    <x v="48"/>
    <x v="4"/>
    <x v="2"/>
    <n v="26.8"/>
    <n v="80.400000000000006"/>
    <x v="1"/>
    <x v="7"/>
    <x v="2"/>
    <x v="1"/>
    <x v="2"/>
    <x v="11"/>
    <x v="8"/>
    <x v="0"/>
    <x v="2"/>
  </r>
  <r>
    <x v="49"/>
    <x v="14"/>
    <x v="0"/>
    <n v="27"/>
    <n v="27"/>
    <x v="1"/>
    <x v="2"/>
    <x v="2"/>
    <x v="0"/>
    <x v="0"/>
    <x v="18"/>
    <x v="1"/>
    <x v="0"/>
    <x v="2"/>
  </r>
  <r>
    <x v="50"/>
    <x v="8"/>
    <x v="0"/>
    <n v="41.4"/>
    <n v="41.4"/>
    <x v="1"/>
    <x v="1"/>
    <x v="1"/>
    <x v="1"/>
    <x v="2"/>
    <x v="19"/>
    <x v="3"/>
    <x v="0"/>
    <x v="1"/>
  </r>
  <r>
    <x v="51"/>
    <x v="8"/>
    <x v="1"/>
    <n v="24.3"/>
    <n v="48.6"/>
    <x v="1"/>
    <x v="5"/>
    <x v="2"/>
    <x v="1"/>
    <x v="0"/>
    <x v="19"/>
    <x v="2"/>
    <x v="0"/>
    <x v="2"/>
  </r>
  <r>
    <x v="52"/>
    <x v="8"/>
    <x v="2"/>
    <n v="41.7"/>
    <n v="125.1"/>
    <x v="1"/>
    <x v="2"/>
    <x v="1"/>
    <x v="0"/>
    <x v="2"/>
    <x v="20"/>
    <x v="1"/>
    <x v="0"/>
    <x v="1"/>
  </r>
  <r>
    <x v="53"/>
    <x v="0"/>
    <x v="1"/>
    <n v="18"/>
    <n v="36"/>
    <x v="1"/>
    <x v="1"/>
    <x v="2"/>
    <x v="0"/>
    <x v="2"/>
    <x v="21"/>
    <x v="3"/>
    <x v="0"/>
    <x v="2"/>
  </r>
  <r>
    <x v="54"/>
    <x v="7"/>
    <x v="2"/>
    <n v="91.3"/>
    <n v="273.89999999999998"/>
    <x v="1"/>
    <x v="5"/>
    <x v="1"/>
    <x v="2"/>
    <x v="2"/>
    <x v="3"/>
    <x v="2"/>
    <x v="0"/>
    <x v="1"/>
  </r>
  <r>
    <x v="55"/>
    <x v="8"/>
    <x v="8"/>
    <n v="19.3"/>
    <n v="154.4"/>
    <x v="1"/>
    <x v="1"/>
    <x v="1"/>
    <x v="0"/>
    <x v="0"/>
    <x v="3"/>
    <x v="3"/>
    <x v="0"/>
    <x v="1"/>
  </r>
  <r>
    <x v="56"/>
    <x v="12"/>
    <x v="15"/>
    <n v="63.2"/>
    <n v="821.6"/>
    <x v="1"/>
    <x v="1"/>
    <x v="2"/>
    <x v="0"/>
    <x v="0"/>
    <x v="3"/>
    <x v="3"/>
    <x v="0"/>
    <x v="2"/>
  </r>
  <r>
    <x v="57"/>
    <x v="10"/>
    <x v="11"/>
    <n v="33.299999999999997"/>
    <n v="299.7"/>
    <x v="2"/>
    <x v="7"/>
    <x v="2"/>
    <x v="0"/>
    <x v="2"/>
    <x v="3"/>
    <x v="9"/>
    <x v="0"/>
    <x v="2"/>
  </r>
  <r>
    <x v="58"/>
    <x v="7"/>
    <x v="1"/>
    <n v="64.2"/>
    <n v="128.4"/>
    <x v="2"/>
    <x v="2"/>
    <x v="1"/>
    <x v="0"/>
    <x v="2"/>
    <x v="3"/>
    <x v="3"/>
    <x v="0"/>
    <x v="1"/>
  </r>
  <r>
    <x v="59"/>
    <x v="9"/>
    <x v="2"/>
    <n v="23.1"/>
    <n v="69.300000000000011"/>
    <x v="2"/>
    <x v="0"/>
    <x v="2"/>
    <x v="1"/>
    <x v="2"/>
    <x v="3"/>
    <x v="2"/>
    <x v="0"/>
    <x v="2"/>
  </r>
  <r>
    <x v="60"/>
    <x v="15"/>
    <x v="1"/>
    <n v="71.099999999999994"/>
    <n v="142.19999999999999"/>
    <x v="2"/>
    <x v="5"/>
    <x v="2"/>
    <x v="3"/>
    <x v="1"/>
    <x v="3"/>
    <x v="1"/>
    <x v="0"/>
    <x v="2"/>
  </r>
  <r>
    <x v="61"/>
    <x v="0"/>
    <x v="1"/>
    <n v="11.5"/>
    <n v="23"/>
    <x v="2"/>
    <x v="2"/>
    <x v="2"/>
    <x v="0"/>
    <x v="0"/>
    <x v="3"/>
    <x v="3"/>
    <x v="0"/>
    <x v="2"/>
  </r>
  <r>
    <x v="62"/>
    <x v="15"/>
    <x v="10"/>
    <n v="69.2"/>
    <n v="1314.8"/>
    <x v="2"/>
    <x v="6"/>
    <x v="2"/>
    <x v="0"/>
    <x v="0"/>
    <x v="3"/>
    <x v="0"/>
    <x v="0"/>
    <x v="2"/>
  </r>
  <r>
    <x v="63"/>
    <x v="0"/>
    <x v="0"/>
    <n v="26.8"/>
    <n v="26.8"/>
    <x v="2"/>
    <x v="2"/>
    <x v="1"/>
    <x v="2"/>
    <x v="4"/>
    <x v="3"/>
    <x v="3"/>
    <x v="0"/>
    <x v="1"/>
  </r>
  <r>
    <x v="64"/>
    <x v="16"/>
    <x v="2"/>
    <n v="31.2"/>
    <n v="93.6"/>
    <x v="2"/>
    <x v="0"/>
    <x v="2"/>
    <x v="0"/>
    <x v="0"/>
    <x v="3"/>
    <x v="2"/>
    <x v="0"/>
    <x v="2"/>
  </r>
  <r>
    <x v="65"/>
    <x v="12"/>
    <x v="1"/>
    <n v="113.2"/>
    <n v="226.4"/>
    <x v="2"/>
    <x v="2"/>
    <x v="2"/>
    <x v="4"/>
    <x v="0"/>
    <x v="3"/>
    <x v="3"/>
    <x v="0"/>
    <x v="2"/>
  </r>
  <r>
    <x v="66"/>
    <x v="10"/>
    <x v="8"/>
    <n v="21"/>
    <n v="168"/>
    <x v="2"/>
    <x v="2"/>
    <x v="1"/>
    <x v="0"/>
    <x v="0"/>
    <x v="6"/>
    <x v="3"/>
    <x v="0"/>
    <x v="1"/>
  </r>
  <r>
    <x v="67"/>
    <x v="1"/>
    <x v="1"/>
    <n v="89.1"/>
    <n v="178.2"/>
    <x v="2"/>
    <x v="2"/>
    <x v="2"/>
    <x v="2"/>
    <x v="2"/>
    <x v="6"/>
    <x v="3"/>
    <x v="0"/>
    <x v="2"/>
  </r>
  <r>
    <x v="68"/>
    <x v="1"/>
    <x v="0"/>
    <n v="97.7"/>
    <n v="97.7"/>
    <x v="2"/>
    <x v="5"/>
    <x v="2"/>
    <x v="0"/>
    <x v="1"/>
    <x v="6"/>
    <x v="1"/>
    <x v="0"/>
    <x v="2"/>
  </r>
  <r>
    <x v="69"/>
    <x v="15"/>
    <x v="12"/>
    <n v="97.7"/>
    <n v="390.8"/>
    <x v="2"/>
    <x v="5"/>
    <x v="1"/>
    <x v="3"/>
    <x v="0"/>
    <x v="6"/>
    <x v="1"/>
    <x v="0"/>
    <x v="1"/>
  </r>
  <r>
    <x v="70"/>
    <x v="17"/>
    <x v="2"/>
    <n v="47.4"/>
    <n v="142.19999999999999"/>
    <x v="2"/>
    <x v="0"/>
    <x v="1"/>
    <x v="3"/>
    <x v="2"/>
    <x v="8"/>
    <x v="2"/>
    <x v="0"/>
    <x v="1"/>
  </r>
  <r>
    <x v="71"/>
    <x v="7"/>
    <x v="0"/>
    <n v="89.6"/>
    <n v="89.6"/>
    <x v="2"/>
    <x v="0"/>
    <x v="2"/>
    <x v="0"/>
    <x v="2"/>
    <x v="8"/>
    <x v="2"/>
    <x v="0"/>
    <x v="2"/>
  </r>
  <r>
    <x v="72"/>
    <x v="10"/>
    <x v="16"/>
    <n v="28.4"/>
    <n v="511.2"/>
    <x v="2"/>
    <x v="0"/>
    <x v="2"/>
    <x v="3"/>
    <x v="2"/>
    <x v="17"/>
    <x v="2"/>
    <x v="0"/>
    <x v="2"/>
  </r>
  <r>
    <x v="73"/>
    <x v="0"/>
    <x v="1"/>
    <n v="17.899999999999999"/>
    <n v="35.799999999999997"/>
    <x v="2"/>
    <x v="2"/>
    <x v="2"/>
    <x v="0"/>
    <x v="2"/>
    <x v="9"/>
    <x v="3"/>
    <x v="0"/>
    <x v="2"/>
  </r>
  <r>
    <x v="74"/>
    <x v="9"/>
    <x v="1"/>
    <n v="48.4"/>
    <n v="96.8"/>
    <x v="2"/>
    <x v="0"/>
    <x v="1"/>
    <x v="1"/>
    <x v="0"/>
    <x v="9"/>
    <x v="2"/>
    <x v="0"/>
    <x v="1"/>
  </r>
  <r>
    <x v="75"/>
    <x v="12"/>
    <x v="12"/>
    <n v="44.4"/>
    <n v="177.6"/>
    <x v="2"/>
    <x v="2"/>
    <x v="3"/>
    <x v="1"/>
    <x v="1"/>
    <x v="11"/>
    <x v="3"/>
    <x v="0"/>
    <x v="3"/>
  </r>
  <r>
    <x v="76"/>
    <x v="2"/>
    <x v="8"/>
    <n v="103.7"/>
    <n v="829.6"/>
    <x v="2"/>
    <x v="2"/>
    <x v="2"/>
    <x v="0"/>
    <x v="1"/>
    <x v="19"/>
    <x v="3"/>
    <x v="0"/>
    <x v="2"/>
  </r>
  <r>
    <x v="77"/>
    <x v="5"/>
    <x v="12"/>
    <n v="58.6"/>
    <n v="234.4"/>
    <x v="2"/>
    <x v="5"/>
    <x v="1"/>
    <x v="3"/>
    <x v="0"/>
    <x v="19"/>
    <x v="1"/>
    <x v="0"/>
    <x v="1"/>
  </r>
  <r>
    <x v="78"/>
    <x v="9"/>
    <x v="12"/>
    <n v="54.8"/>
    <n v="219.2"/>
    <x v="2"/>
    <x v="4"/>
    <x v="2"/>
    <x v="2"/>
    <x v="1"/>
    <x v="13"/>
    <x v="5"/>
    <x v="0"/>
    <x v="2"/>
  </r>
  <r>
    <x v="79"/>
    <x v="12"/>
    <x v="2"/>
    <n v="78.8"/>
    <n v="236.4"/>
    <x v="2"/>
    <x v="8"/>
    <x v="2"/>
    <x v="4"/>
    <x v="1"/>
    <x v="21"/>
    <x v="4"/>
    <x v="0"/>
    <x v="2"/>
  </r>
  <r>
    <x v="80"/>
    <x v="18"/>
    <x v="9"/>
    <n v="36.799999999999997"/>
    <n v="184"/>
    <x v="2"/>
    <x v="0"/>
    <x v="1"/>
    <x v="4"/>
    <x v="1"/>
    <x v="22"/>
    <x v="2"/>
    <x v="0"/>
    <x v="1"/>
  </r>
  <r>
    <x v="81"/>
    <x v="6"/>
    <x v="13"/>
    <n v="50.6"/>
    <n v="303.60000000000002"/>
    <x v="2"/>
    <x v="5"/>
    <x v="2"/>
    <x v="3"/>
    <x v="0"/>
    <x v="3"/>
    <x v="1"/>
    <x v="0"/>
    <x v="2"/>
  </r>
  <r>
    <x v="82"/>
    <x v="15"/>
    <x v="2"/>
    <n v="36.799999999999997"/>
    <n v="110.4"/>
    <x v="2"/>
    <x v="1"/>
    <x v="1"/>
    <x v="2"/>
    <x v="1"/>
    <x v="3"/>
    <x v="7"/>
    <x v="0"/>
    <x v="1"/>
  </r>
  <r>
    <x v="83"/>
    <x v="8"/>
    <x v="11"/>
    <n v="41.8"/>
    <n v="376.2"/>
    <x v="3"/>
    <x v="9"/>
    <x v="2"/>
    <x v="3"/>
    <x v="0"/>
    <x v="3"/>
    <x v="4"/>
    <x v="0"/>
    <x v="2"/>
  </r>
  <r>
    <x v="84"/>
    <x v="18"/>
    <x v="0"/>
    <n v="77.3"/>
    <n v="77.3"/>
    <x v="3"/>
    <x v="5"/>
    <x v="1"/>
    <x v="4"/>
    <x v="4"/>
    <x v="3"/>
    <x v="3"/>
    <x v="0"/>
    <x v="1"/>
  </r>
  <r>
    <x v="85"/>
    <x v="8"/>
    <x v="12"/>
    <n v="19.8"/>
    <n v="79.2"/>
    <x v="3"/>
    <x v="9"/>
    <x v="1"/>
    <x v="1"/>
    <x v="2"/>
    <x v="3"/>
    <x v="4"/>
    <x v="0"/>
    <x v="1"/>
  </r>
  <r>
    <x v="86"/>
    <x v="13"/>
    <x v="12"/>
    <n v="15.5"/>
    <n v="62"/>
    <x v="3"/>
    <x v="5"/>
    <x v="2"/>
    <x v="1"/>
    <x v="2"/>
    <x v="3"/>
    <x v="3"/>
    <x v="0"/>
    <x v="2"/>
  </r>
  <r>
    <x v="87"/>
    <x v="12"/>
    <x v="0"/>
    <n v="46.8"/>
    <n v="46.8"/>
    <x v="3"/>
    <x v="6"/>
    <x v="1"/>
    <x v="0"/>
    <x v="2"/>
    <x v="3"/>
    <x v="5"/>
    <x v="0"/>
    <x v="1"/>
  </r>
  <r>
    <x v="88"/>
    <x v="9"/>
    <x v="11"/>
    <n v="28.6"/>
    <n v="257.39999999999998"/>
    <x v="3"/>
    <x v="6"/>
    <x v="1"/>
    <x v="0"/>
    <x v="2"/>
    <x v="3"/>
    <x v="5"/>
    <x v="0"/>
    <x v="1"/>
  </r>
  <r>
    <x v="89"/>
    <x v="2"/>
    <x v="0"/>
    <n v="97.7"/>
    <n v="97.7"/>
    <x v="3"/>
    <x v="4"/>
    <x v="2"/>
    <x v="1"/>
    <x v="0"/>
    <x v="3"/>
    <x v="2"/>
    <x v="0"/>
    <x v="2"/>
  </r>
  <r>
    <x v="90"/>
    <x v="9"/>
    <x v="9"/>
    <n v="54.7"/>
    <n v="273.5"/>
    <x v="3"/>
    <x v="4"/>
    <x v="0"/>
    <x v="0"/>
    <x v="2"/>
    <x v="23"/>
    <x v="2"/>
    <x v="0"/>
    <x v="0"/>
  </r>
  <r>
    <x v="91"/>
    <x v="2"/>
    <x v="13"/>
    <n v="130.5"/>
    <n v="783"/>
    <x v="3"/>
    <x v="0"/>
    <x v="2"/>
    <x v="0"/>
    <x v="1"/>
    <x v="23"/>
    <x v="1"/>
    <x v="0"/>
    <x v="2"/>
  </r>
  <r>
    <x v="92"/>
    <x v="11"/>
    <x v="1"/>
    <n v="50.4"/>
    <n v="100.8"/>
    <x v="3"/>
    <x v="0"/>
    <x v="1"/>
    <x v="2"/>
    <x v="2"/>
    <x v="6"/>
    <x v="1"/>
    <x v="0"/>
    <x v="1"/>
  </r>
  <r>
    <x v="93"/>
    <x v="6"/>
    <x v="15"/>
    <n v="61.5"/>
    <n v="799.5"/>
    <x v="3"/>
    <x v="5"/>
    <x v="0"/>
    <x v="3"/>
    <x v="1"/>
    <x v="11"/>
    <x v="3"/>
    <x v="0"/>
    <x v="0"/>
  </r>
  <r>
    <x v="94"/>
    <x v="9"/>
    <x v="12"/>
    <n v="30.1"/>
    <n v="120.4"/>
    <x v="3"/>
    <x v="5"/>
    <x v="2"/>
    <x v="0"/>
    <x v="2"/>
    <x v="21"/>
    <x v="3"/>
    <x v="0"/>
    <x v="2"/>
  </r>
  <r>
    <x v="95"/>
    <x v="2"/>
    <x v="9"/>
    <n v="74.8"/>
    <n v="374"/>
    <x v="3"/>
    <x v="5"/>
    <x v="2"/>
    <x v="1"/>
    <x v="0"/>
    <x v="1"/>
    <x v="3"/>
    <x v="0"/>
    <x v="2"/>
  </r>
  <r>
    <x v="96"/>
    <x v="16"/>
    <x v="2"/>
    <n v="64.900000000000006"/>
    <n v="194.7"/>
    <x v="3"/>
    <x v="7"/>
    <x v="1"/>
    <x v="0"/>
    <x v="0"/>
    <x v="2"/>
    <x v="6"/>
    <x v="0"/>
    <x v="1"/>
  </r>
  <r>
    <x v="97"/>
    <x v="9"/>
    <x v="1"/>
    <n v="50.5"/>
    <n v="101"/>
    <x v="3"/>
    <x v="0"/>
    <x v="1"/>
    <x v="1"/>
    <x v="0"/>
    <x v="22"/>
    <x v="1"/>
    <x v="0"/>
    <x v="1"/>
  </r>
  <r>
    <x v="98"/>
    <x v="11"/>
    <x v="3"/>
    <n v="63"/>
    <n v="441"/>
    <x v="3"/>
    <x v="4"/>
    <x v="1"/>
    <x v="3"/>
    <x v="2"/>
    <x v="3"/>
    <x v="2"/>
    <x v="0"/>
    <x v="1"/>
  </r>
  <r>
    <x v="99"/>
    <x v="2"/>
    <x v="2"/>
    <n v="93.6"/>
    <n v="280.8"/>
    <x v="3"/>
    <x v="10"/>
    <x v="2"/>
    <x v="0"/>
    <x v="2"/>
    <x v="3"/>
    <x v="10"/>
    <x v="0"/>
    <x v="2"/>
  </r>
  <r>
    <x v="100"/>
    <x v="5"/>
    <x v="17"/>
    <n v="41.4"/>
    <n v="1242"/>
    <x v="3"/>
    <x v="6"/>
    <x v="1"/>
    <x v="2"/>
    <x v="2"/>
    <x v="3"/>
    <x v="5"/>
    <x v="0"/>
    <x v="1"/>
  </r>
  <r>
    <x v="101"/>
    <x v="2"/>
    <x v="1"/>
    <n v="160"/>
    <n v="320"/>
    <x v="4"/>
    <x v="0"/>
    <x v="1"/>
    <x v="2"/>
    <x v="2"/>
    <x v="5"/>
    <x v="3"/>
    <x v="1"/>
    <x v="1"/>
  </r>
  <r>
    <x v="102"/>
    <x v="19"/>
    <x v="5"/>
    <n v="10.5"/>
    <n v="115.5"/>
    <x v="4"/>
    <x v="6"/>
    <x v="2"/>
    <x v="4"/>
    <x v="0"/>
    <x v="8"/>
    <x v="2"/>
    <x v="1"/>
    <x v="2"/>
  </r>
  <r>
    <x v="103"/>
    <x v="10"/>
    <x v="1"/>
    <n v="53"/>
    <n v="106"/>
    <x v="4"/>
    <x v="5"/>
    <x v="1"/>
    <x v="2"/>
    <x v="4"/>
    <x v="17"/>
    <x v="7"/>
    <x v="1"/>
    <x v="1"/>
  </r>
  <r>
    <x v="104"/>
    <x v="8"/>
    <x v="2"/>
    <n v="18.5"/>
    <n v="55.5"/>
    <x v="4"/>
    <x v="9"/>
    <x v="2"/>
    <x v="1"/>
    <x v="2"/>
    <x v="11"/>
    <x v="0"/>
    <x v="1"/>
    <x v="2"/>
  </r>
  <r>
    <x v="105"/>
    <x v="16"/>
    <x v="2"/>
    <n v="84.5"/>
    <n v="253.5"/>
    <x v="4"/>
    <x v="4"/>
    <x v="2"/>
    <x v="4"/>
    <x v="1"/>
    <x v="13"/>
    <x v="1"/>
    <x v="1"/>
    <x v="2"/>
  </r>
  <r>
    <x v="106"/>
    <x v="15"/>
    <x v="3"/>
    <n v="31.2"/>
    <n v="218.4"/>
    <x v="4"/>
    <x v="5"/>
    <x v="2"/>
    <x v="2"/>
    <x v="2"/>
    <x v="3"/>
    <x v="7"/>
    <x v="1"/>
    <x v="2"/>
  </r>
  <r>
    <x v="107"/>
    <x v="8"/>
    <x v="16"/>
    <n v="32.6"/>
    <n v="586.80000000000007"/>
    <x v="4"/>
    <x v="0"/>
    <x v="1"/>
    <x v="1"/>
    <x v="1"/>
    <x v="3"/>
    <x v="3"/>
    <x v="1"/>
    <x v="1"/>
  </r>
  <r>
    <x v="108"/>
    <x v="10"/>
    <x v="12"/>
    <n v="45.4"/>
    <n v="181.6"/>
    <x v="4"/>
    <x v="4"/>
    <x v="1"/>
    <x v="1"/>
    <x v="0"/>
    <x v="3"/>
    <x v="1"/>
    <x v="1"/>
    <x v="1"/>
  </r>
  <r>
    <x v="109"/>
    <x v="2"/>
    <x v="4"/>
    <n v="120"/>
    <n v="1440"/>
    <x v="4"/>
    <x v="0"/>
    <x v="2"/>
    <x v="2"/>
    <x v="4"/>
    <x v="3"/>
    <x v="3"/>
    <x v="1"/>
    <x v="2"/>
  </r>
  <r>
    <x v="110"/>
    <x v="0"/>
    <x v="12"/>
    <n v="18.899999999999999"/>
    <n v="75.599999999999994"/>
    <x v="4"/>
    <x v="4"/>
    <x v="1"/>
    <x v="0"/>
    <x v="2"/>
    <x v="3"/>
    <x v="1"/>
    <x v="1"/>
    <x v="1"/>
  </r>
  <r>
    <x v="111"/>
    <x v="4"/>
    <x v="0"/>
    <n v="32"/>
    <n v="32"/>
    <x v="4"/>
    <x v="4"/>
    <x v="2"/>
    <x v="4"/>
    <x v="0"/>
    <x v="3"/>
    <x v="1"/>
    <x v="1"/>
    <x v="2"/>
  </r>
  <r>
    <x v="112"/>
    <x v="7"/>
    <x v="1"/>
    <n v="37.299999999999997"/>
    <n v="74.599999999999994"/>
    <x v="4"/>
    <x v="0"/>
    <x v="1"/>
    <x v="2"/>
    <x v="0"/>
    <x v="3"/>
    <x v="3"/>
    <x v="1"/>
    <x v="1"/>
  </r>
  <r>
    <x v="113"/>
    <x v="18"/>
    <x v="0"/>
    <n v="119.8"/>
    <n v="119.8"/>
    <x v="4"/>
    <x v="0"/>
    <x v="1"/>
    <x v="1"/>
    <x v="1"/>
    <x v="3"/>
    <x v="3"/>
    <x v="1"/>
    <x v="1"/>
  </r>
  <r>
    <x v="114"/>
    <x v="10"/>
    <x v="1"/>
    <n v="26.4"/>
    <n v="52.8"/>
    <x v="4"/>
    <x v="6"/>
    <x v="1"/>
    <x v="2"/>
    <x v="0"/>
    <x v="3"/>
    <x v="2"/>
    <x v="1"/>
    <x v="1"/>
  </r>
  <r>
    <x v="115"/>
    <x v="6"/>
    <x v="13"/>
    <n v="76.5"/>
    <n v="459"/>
    <x v="4"/>
    <x v="0"/>
    <x v="2"/>
    <x v="1"/>
    <x v="1"/>
    <x v="3"/>
    <x v="3"/>
    <x v="1"/>
    <x v="2"/>
  </r>
  <r>
    <x v="116"/>
    <x v="4"/>
    <x v="7"/>
    <n v="45.7"/>
    <n v="457"/>
    <x v="4"/>
    <x v="0"/>
    <x v="2"/>
    <x v="2"/>
    <x v="0"/>
    <x v="24"/>
    <x v="3"/>
    <x v="1"/>
    <x v="2"/>
  </r>
  <r>
    <x v="117"/>
    <x v="1"/>
    <x v="4"/>
    <n v="92.6"/>
    <n v="1111.2"/>
    <x v="4"/>
    <x v="4"/>
    <x v="2"/>
    <x v="2"/>
    <x v="0"/>
    <x v="25"/>
    <x v="1"/>
    <x v="1"/>
    <x v="2"/>
  </r>
  <r>
    <x v="118"/>
    <x v="6"/>
    <x v="13"/>
    <n v="60.1"/>
    <n v="360.6"/>
    <x v="4"/>
    <x v="0"/>
    <x v="1"/>
    <x v="1"/>
    <x v="0"/>
    <x v="23"/>
    <x v="3"/>
    <x v="1"/>
    <x v="1"/>
  </r>
  <r>
    <x v="119"/>
    <x v="1"/>
    <x v="2"/>
    <n v="73"/>
    <n v="219"/>
    <x v="4"/>
    <x v="0"/>
    <x v="2"/>
    <x v="3"/>
    <x v="1"/>
    <x v="6"/>
    <x v="3"/>
    <x v="1"/>
    <x v="2"/>
  </r>
  <r>
    <x v="120"/>
    <x v="6"/>
    <x v="2"/>
    <n v="44.3"/>
    <n v="132.9"/>
    <x v="4"/>
    <x v="8"/>
    <x v="0"/>
    <x v="2"/>
    <x v="2"/>
    <x v="6"/>
    <x v="5"/>
    <x v="1"/>
    <x v="0"/>
  </r>
  <r>
    <x v="121"/>
    <x v="6"/>
    <x v="2"/>
    <n v="63.3"/>
    <n v="189.9"/>
    <x v="4"/>
    <x v="0"/>
    <x v="1"/>
    <x v="2"/>
    <x v="0"/>
    <x v="6"/>
    <x v="3"/>
    <x v="1"/>
    <x v="1"/>
  </r>
  <r>
    <x v="122"/>
    <x v="12"/>
    <x v="0"/>
    <n v="66.8"/>
    <n v="66.8"/>
    <x v="4"/>
    <x v="0"/>
    <x v="2"/>
    <x v="1"/>
    <x v="0"/>
    <x v="6"/>
    <x v="3"/>
    <x v="1"/>
    <x v="2"/>
  </r>
  <r>
    <x v="123"/>
    <x v="2"/>
    <x v="1"/>
    <n v="59.7"/>
    <n v="119.4"/>
    <x v="4"/>
    <x v="0"/>
    <x v="2"/>
    <x v="0"/>
    <x v="0"/>
    <x v="7"/>
    <x v="3"/>
    <x v="1"/>
    <x v="2"/>
  </r>
  <r>
    <x v="124"/>
    <x v="1"/>
    <x v="13"/>
    <n v="92"/>
    <n v="552"/>
    <x v="4"/>
    <x v="4"/>
    <x v="1"/>
    <x v="0"/>
    <x v="4"/>
    <x v="7"/>
    <x v="1"/>
    <x v="1"/>
    <x v="1"/>
  </r>
  <r>
    <x v="125"/>
    <x v="7"/>
    <x v="1"/>
    <n v="87.6"/>
    <n v="175.2"/>
    <x v="4"/>
    <x v="4"/>
    <x v="1"/>
    <x v="1"/>
    <x v="1"/>
    <x v="8"/>
    <x v="1"/>
    <x v="1"/>
    <x v="1"/>
  </r>
  <r>
    <x v="126"/>
    <x v="6"/>
    <x v="2"/>
    <n v="84.5"/>
    <n v="253.5"/>
    <x v="4"/>
    <x v="0"/>
    <x v="2"/>
    <x v="1"/>
    <x v="1"/>
    <x v="8"/>
    <x v="3"/>
    <x v="1"/>
    <x v="2"/>
  </r>
  <r>
    <x v="127"/>
    <x v="1"/>
    <x v="1"/>
    <n v="116.3"/>
    <n v="232.6"/>
    <x v="5"/>
    <x v="6"/>
    <x v="1"/>
    <x v="2"/>
    <x v="2"/>
    <x v="8"/>
    <x v="1"/>
    <x v="1"/>
    <x v="1"/>
  </r>
  <r>
    <x v="128"/>
    <x v="6"/>
    <x v="9"/>
    <n v="52.7"/>
    <n v="263.5"/>
    <x v="5"/>
    <x v="9"/>
    <x v="1"/>
    <x v="0"/>
    <x v="0"/>
    <x v="8"/>
    <x v="5"/>
    <x v="1"/>
    <x v="1"/>
  </r>
  <r>
    <x v="129"/>
    <x v="16"/>
    <x v="2"/>
    <n v="34.200000000000003"/>
    <n v="102.6"/>
    <x v="5"/>
    <x v="4"/>
    <x v="1"/>
    <x v="0"/>
    <x v="2"/>
    <x v="26"/>
    <x v="3"/>
    <x v="1"/>
    <x v="1"/>
  </r>
  <r>
    <x v="130"/>
    <x v="9"/>
    <x v="0"/>
    <n v="23.3"/>
    <n v="23.3"/>
    <x v="5"/>
    <x v="11"/>
    <x v="3"/>
    <x v="2"/>
    <x v="2"/>
    <x v="9"/>
    <x v="8"/>
    <x v="1"/>
    <x v="3"/>
  </r>
  <r>
    <x v="131"/>
    <x v="0"/>
    <x v="18"/>
    <n v="25.9"/>
    <n v="673.4"/>
    <x v="5"/>
    <x v="8"/>
    <x v="2"/>
    <x v="4"/>
    <x v="1"/>
    <x v="9"/>
    <x v="2"/>
    <x v="1"/>
    <x v="2"/>
  </r>
  <r>
    <x v="132"/>
    <x v="6"/>
    <x v="19"/>
    <n v="54.9"/>
    <n v="1592.1"/>
    <x v="5"/>
    <x v="4"/>
    <x v="1"/>
    <x v="1"/>
    <x v="2"/>
    <x v="9"/>
    <x v="3"/>
    <x v="1"/>
    <x v="1"/>
  </r>
  <r>
    <x v="133"/>
    <x v="5"/>
    <x v="2"/>
    <n v="75.8"/>
    <n v="227.4"/>
    <x v="5"/>
    <x v="7"/>
    <x v="3"/>
    <x v="1"/>
    <x v="0"/>
    <x v="18"/>
    <x v="0"/>
    <x v="1"/>
    <x v="3"/>
  </r>
  <r>
    <x v="134"/>
    <x v="1"/>
    <x v="11"/>
    <n v="44.9"/>
    <n v="404.1"/>
    <x v="5"/>
    <x v="8"/>
    <x v="2"/>
    <x v="2"/>
    <x v="2"/>
    <x v="2"/>
    <x v="2"/>
    <x v="1"/>
    <x v="2"/>
  </r>
  <r>
    <x v="135"/>
    <x v="11"/>
    <x v="1"/>
    <n v="48.8"/>
    <n v="97.6"/>
    <x v="5"/>
    <x v="6"/>
    <x v="2"/>
    <x v="3"/>
    <x v="0"/>
    <x v="27"/>
    <x v="1"/>
    <x v="1"/>
    <x v="2"/>
  </r>
  <r>
    <x v="136"/>
    <x v="15"/>
    <x v="0"/>
    <n v="20.3"/>
    <n v="20.3"/>
    <x v="5"/>
    <x v="4"/>
    <x v="2"/>
    <x v="0"/>
    <x v="2"/>
    <x v="22"/>
    <x v="3"/>
    <x v="1"/>
    <x v="2"/>
  </r>
  <r>
    <x v="137"/>
    <x v="5"/>
    <x v="3"/>
    <n v="36.4"/>
    <n v="254.8"/>
    <x v="5"/>
    <x v="8"/>
    <x v="2"/>
    <x v="0"/>
    <x v="1"/>
    <x v="3"/>
    <x v="2"/>
    <x v="1"/>
    <x v="2"/>
  </r>
  <r>
    <x v="138"/>
    <x v="0"/>
    <x v="0"/>
    <n v="19"/>
    <n v="19"/>
    <x v="5"/>
    <x v="7"/>
    <x v="2"/>
    <x v="1"/>
    <x v="2"/>
    <x v="3"/>
    <x v="0"/>
    <x v="1"/>
    <x v="2"/>
  </r>
  <r>
    <x v="139"/>
    <x v="8"/>
    <x v="0"/>
    <n v="17.8"/>
    <n v="17.8"/>
    <x v="5"/>
    <x v="0"/>
    <x v="1"/>
    <x v="0"/>
    <x v="0"/>
    <x v="3"/>
    <x v="7"/>
    <x v="1"/>
    <x v="1"/>
  </r>
  <r>
    <x v="140"/>
    <x v="2"/>
    <x v="13"/>
    <n v="139.6"/>
    <n v="837.59999999999991"/>
    <x v="5"/>
    <x v="8"/>
    <x v="1"/>
    <x v="0"/>
    <x v="0"/>
    <x v="3"/>
    <x v="2"/>
    <x v="1"/>
    <x v="1"/>
  </r>
  <r>
    <x v="141"/>
    <x v="9"/>
    <x v="0"/>
    <n v="31.7"/>
    <n v="31.7"/>
    <x v="5"/>
    <x v="0"/>
    <x v="0"/>
    <x v="0"/>
    <x v="0"/>
    <x v="3"/>
    <x v="7"/>
    <x v="1"/>
    <x v="0"/>
  </r>
  <r>
    <x v="142"/>
    <x v="8"/>
    <x v="8"/>
    <n v="26.3"/>
    <n v="210.4"/>
    <x v="5"/>
    <x v="8"/>
    <x v="2"/>
    <x v="4"/>
    <x v="4"/>
    <x v="3"/>
    <x v="2"/>
    <x v="1"/>
    <x v="2"/>
  </r>
  <r>
    <x v="143"/>
    <x v="4"/>
    <x v="1"/>
    <n v="47.8"/>
    <n v="95.6"/>
    <x v="5"/>
    <x v="4"/>
    <x v="0"/>
    <x v="0"/>
    <x v="0"/>
    <x v="3"/>
    <x v="3"/>
    <x v="1"/>
    <x v="0"/>
  </r>
  <r>
    <x v="144"/>
    <x v="9"/>
    <x v="2"/>
    <n v="69.400000000000006"/>
    <n v="208.2"/>
    <x v="5"/>
    <x v="9"/>
    <x v="2"/>
    <x v="0"/>
    <x v="0"/>
    <x v="3"/>
    <x v="5"/>
    <x v="1"/>
    <x v="2"/>
  </r>
  <r>
    <x v="145"/>
    <x v="18"/>
    <x v="4"/>
    <n v="25.8"/>
    <n v="309.60000000000002"/>
    <x v="5"/>
    <x v="4"/>
    <x v="1"/>
    <x v="4"/>
    <x v="4"/>
    <x v="3"/>
    <x v="3"/>
    <x v="1"/>
    <x v="1"/>
  </r>
  <r>
    <x v="146"/>
    <x v="0"/>
    <x v="12"/>
    <n v="26.4"/>
    <n v="105.6"/>
    <x v="5"/>
    <x v="4"/>
    <x v="1"/>
    <x v="1"/>
    <x v="2"/>
    <x v="3"/>
    <x v="3"/>
    <x v="1"/>
    <x v="1"/>
  </r>
  <r>
    <x v="147"/>
    <x v="8"/>
    <x v="12"/>
    <n v="15.7"/>
    <n v="62.8"/>
    <x v="5"/>
    <x v="4"/>
    <x v="1"/>
    <x v="2"/>
    <x v="0"/>
    <x v="3"/>
    <x v="3"/>
    <x v="1"/>
    <x v="1"/>
  </r>
  <r>
    <x v="148"/>
    <x v="8"/>
    <x v="0"/>
    <n v="39.700000000000003"/>
    <n v="39.700000000000003"/>
    <x v="5"/>
    <x v="9"/>
    <x v="1"/>
    <x v="0"/>
    <x v="0"/>
    <x v="3"/>
    <x v="5"/>
    <x v="1"/>
    <x v="1"/>
  </r>
  <r>
    <x v="149"/>
    <x v="10"/>
    <x v="12"/>
    <n v="31.1"/>
    <n v="124.4"/>
    <x v="5"/>
    <x v="6"/>
    <x v="2"/>
    <x v="2"/>
    <x v="1"/>
    <x v="3"/>
    <x v="1"/>
    <x v="1"/>
    <x v="2"/>
  </r>
  <r>
    <x v="150"/>
    <x v="13"/>
    <x v="20"/>
    <n v="23.4"/>
    <n v="351"/>
    <x v="5"/>
    <x v="11"/>
    <x v="1"/>
    <x v="0"/>
    <x v="0"/>
    <x v="3"/>
    <x v="8"/>
    <x v="1"/>
    <x v="1"/>
  </r>
  <r>
    <x v="151"/>
    <x v="1"/>
    <x v="12"/>
    <n v="57.1"/>
    <n v="228.4"/>
    <x v="6"/>
    <x v="6"/>
    <x v="1"/>
    <x v="2"/>
    <x v="0"/>
    <x v="25"/>
    <x v="3"/>
    <x v="1"/>
    <x v="1"/>
  </r>
  <r>
    <x v="152"/>
    <x v="2"/>
    <x v="9"/>
    <n v="89.9"/>
    <n v="449.5"/>
    <x v="6"/>
    <x v="4"/>
    <x v="2"/>
    <x v="0"/>
    <x v="3"/>
    <x v="23"/>
    <x v="7"/>
    <x v="1"/>
    <x v="2"/>
  </r>
  <r>
    <x v="153"/>
    <x v="10"/>
    <x v="3"/>
    <n v="48.1"/>
    <n v="336.7"/>
    <x v="6"/>
    <x v="8"/>
    <x v="2"/>
    <x v="1"/>
    <x v="2"/>
    <x v="6"/>
    <x v="1"/>
    <x v="1"/>
    <x v="2"/>
  </r>
  <r>
    <x v="154"/>
    <x v="8"/>
    <x v="1"/>
    <n v="29.3"/>
    <n v="58.6"/>
    <x v="6"/>
    <x v="4"/>
    <x v="2"/>
    <x v="1"/>
    <x v="1"/>
    <x v="6"/>
    <x v="7"/>
    <x v="1"/>
    <x v="2"/>
  </r>
  <r>
    <x v="155"/>
    <x v="8"/>
    <x v="12"/>
    <n v="28.8"/>
    <n v="115.2"/>
    <x v="6"/>
    <x v="6"/>
    <x v="2"/>
    <x v="0"/>
    <x v="4"/>
    <x v="6"/>
    <x v="3"/>
    <x v="1"/>
    <x v="2"/>
  </r>
  <r>
    <x v="156"/>
    <x v="10"/>
    <x v="9"/>
    <n v="40.5"/>
    <n v="202.5"/>
    <x v="6"/>
    <x v="7"/>
    <x v="2"/>
    <x v="3"/>
    <x v="0"/>
    <x v="6"/>
    <x v="5"/>
    <x v="1"/>
    <x v="2"/>
  </r>
  <r>
    <x v="157"/>
    <x v="18"/>
    <x v="21"/>
    <n v="65.099999999999994"/>
    <n v="911.39999999999986"/>
    <x v="6"/>
    <x v="6"/>
    <x v="2"/>
    <x v="4"/>
    <x v="0"/>
    <x v="7"/>
    <x v="3"/>
    <x v="1"/>
    <x v="2"/>
  </r>
  <r>
    <x v="158"/>
    <x v="8"/>
    <x v="12"/>
    <n v="40.299999999999997"/>
    <n v="161.19999999999999"/>
    <x v="6"/>
    <x v="12"/>
    <x v="2"/>
    <x v="2"/>
    <x v="0"/>
    <x v="7"/>
    <x v="0"/>
    <x v="1"/>
    <x v="2"/>
  </r>
  <r>
    <x v="159"/>
    <x v="6"/>
    <x v="9"/>
    <n v="51.8"/>
    <n v="259"/>
    <x v="6"/>
    <x v="6"/>
    <x v="1"/>
    <x v="2"/>
    <x v="2"/>
    <x v="8"/>
    <x v="3"/>
    <x v="1"/>
    <x v="1"/>
  </r>
  <r>
    <x v="160"/>
    <x v="6"/>
    <x v="2"/>
    <n v="61.3"/>
    <n v="183.9"/>
    <x v="6"/>
    <x v="6"/>
    <x v="2"/>
    <x v="3"/>
    <x v="0"/>
    <x v="8"/>
    <x v="3"/>
    <x v="1"/>
    <x v="2"/>
  </r>
  <r>
    <x v="161"/>
    <x v="2"/>
    <x v="12"/>
    <n v="122.5"/>
    <n v="490"/>
    <x v="6"/>
    <x v="6"/>
    <x v="1"/>
    <x v="0"/>
    <x v="0"/>
    <x v="8"/>
    <x v="3"/>
    <x v="1"/>
    <x v="1"/>
  </r>
  <r>
    <x v="162"/>
    <x v="0"/>
    <x v="11"/>
    <n v="12.5"/>
    <n v="112.5"/>
    <x v="6"/>
    <x v="6"/>
    <x v="0"/>
    <x v="1"/>
    <x v="2"/>
    <x v="8"/>
    <x v="3"/>
    <x v="1"/>
    <x v="0"/>
  </r>
  <r>
    <x v="163"/>
    <x v="15"/>
    <x v="8"/>
    <n v="37.5"/>
    <n v="300"/>
    <x v="6"/>
    <x v="6"/>
    <x v="2"/>
    <x v="0"/>
    <x v="0"/>
    <x v="9"/>
    <x v="3"/>
    <x v="1"/>
    <x v="2"/>
  </r>
  <r>
    <x v="164"/>
    <x v="6"/>
    <x v="2"/>
    <n v="40"/>
    <n v="120"/>
    <x v="6"/>
    <x v="9"/>
    <x v="1"/>
    <x v="0"/>
    <x v="4"/>
    <x v="11"/>
    <x v="2"/>
    <x v="1"/>
    <x v="1"/>
  </r>
  <r>
    <x v="165"/>
    <x v="17"/>
    <x v="8"/>
    <n v="38.5"/>
    <n v="308"/>
    <x v="6"/>
    <x v="12"/>
    <x v="2"/>
    <x v="2"/>
    <x v="1"/>
    <x v="11"/>
    <x v="0"/>
    <x v="1"/>
    <x v="2"/>
  </r>
  <r>
    <x v="166"/>
    <x v="2"/>
    <x v="1"/>
    <n v="86.4"/>
    <n v="172.8"/>
    <x v="6"/>
    <x v="8"/>
    <x v="2"/>
    <x v="0"/>
    <x v="0"/>
    <x v="18"/>
    <x v="1"/>
    <x v="1"/>
    <x v="2"/>
  </r>
  <r>
    <x v="167"/>
    <x v="10"/>
    <x v="0"/>
    <n v="50.7"/>
    <n v="50.7"/>
    <x v="6"/>
    <x v="7"/>
    <x v="2"/>
    <x v="1"/>
    <x v="0"/>
    <x v="18"/>
    <x v="5"/>
    <x v="1"/>
    <x v="2"/>
  </r>
  <r>
    <x v="168"/>
    <x v="10"/>
    <x v="1"/>
    <n v="61"/>
    <n v="122"/>
    <x v="6"/>
    <x v="13"/>
    <x v="2"/>
    <x v="4"/>
    <x v="1"/>
    <x v="18"/>
    <x v="11"/>
    <x v="1"/>
    <x v="2"/>
  </r>
  <r>
    <x v="169"/>
    <x v="4"/>
    <x v="1"/>
    <n v="19.899999999999999"/>
    <n v="39.799999999999997"/>
    <x v="6"/>
    <x v="9"/>
    <x v="2"/>
    <x v="1"/>
    <x v="0"/>
    <x v="28"/>
    <x v="2"/>
    <x v="1"/>
    <x v="2"/>
  </r>
  <r>
    <x v="170"/>
    <x v="5"/>
    <x v="0"/>
    <n v="78.3"/>
    <n v="78.3"/>
    <x v="6"/>
    <x v="4"/>
    <x v="2"/>
    <x v="0"/>
    <x v="2"/>
    <x v="1"/>
    <x v="7"/>
    <x v="1"/>
    <x v="2"/>
  </r>
  <r>
    <x v="171"/>
    <x v="0"/>
    <x v="10"/>
    <n v="10.4"/>
    <n v="197.6"/>
    <x v="6"/>
    <x v="8"/>
    <x v="1"/>
    <x v="0"/>
    <x v="2"/>
    <x v="2"/>
    <x v="1"/>
    <x v="1"/>
    <x v="1"/>
  </r>
  <r>
    <x v="172"/>
    <x v="10"/>
    <x v="0"/>
    <n v="36.1"/>
    <n v="36.1"/>
    <x v="6"/>
    <x v="9"/>
    <x v="1"/>
    <x v="3"/>
    <x v="2"/>
    <x v="3"/>
    <x v="2"/>
    <x v="1"/>
    <x v="1"/>
  </r>
  <r>
    <x v="173"/>
    <x v="14"/>
    <x v="1"/>
    <n v="17.3"/>
    <n v="34.6"/>
    <x v="6"/>
    <x v="8"/>
    <x v="2"/>
    <x v="1"/>
    <x v="2"/>
    <x v="3"/>
    <x v="1"/>
    <x v="1"/>
    <x v="2"/>
  </r>
  <r>
    <x v="174"/>
    <x v="10"/>
    <x v="1"/>
    <n v="30.5"/>
    <n v="61"/>
    <x v="6"/>
    <x v="6"/>
    <x v="2"/>
    <x v="1"/>
    <x v="2"/>
    <x v="3"/>
    <x v="3"/>
    <x v="1"/>
    <x v="2"/>
  </r>
  <r>
    <x v="175"/>
    <x v="18"/>
    <x v="22"/>
    <n v="70.099999999999994"/>
    <n v="4346.2"/>
    <x v="6"/>
    <x v="4"/>
    <x v="2"/>
    <x v="2"/>
    <x v="0"/>
    <x v="3"/>
    <x v="7"/>
    <x v="1"/>
    <x v="2"/>
  </r>
  <r>
    <x v="176"/>
    <x v="3"/>
    <x v="0"/>
    <n v="76.099999999999994"/>
    <n v="76.099999999999994"/>
    <x v="6"/>
    <x v="4"/>
    <x v="2"/>
    <x v="2"/>
    <x v="1"/>
    <x v="3"/>
    <x v="7"/>
    <x v="1"/>
    <x v="2"/>
  </r>
  <r>
    <x v="177"/>
    <x v="15"/>
    <x v="15"/>
    <n v="34.200000000000003"/>
    <n v="444.6"/>
    <x v="6"/>
    <x v="6"/>
    <x v="1"/>
    <x v="0"/>
    <x v="0"/>
    <x v="3"/>
    <x v="3"/>
    <x v="1"/>
    <x v="1"/>
  </r>
  <r>
    <x v="178"/>
    <x v="8"/>
    <x v="9"/>
    <n v="30.3"/>
    <n v="151.5"/>
    <x v="6"/>
    <x v="12"/>
    <x v="2"/>
    <x v="4"/>
    <x v="0"/>
    <x v="3"/>
    <x v="0"/>
    <x v="1"/>
    <x v="2"/>
  </r>
  <r>
    <x v="179"/>
    <x v="6"/>
    <x v="9"/>
    <n v="52.5"/>
    <n v="262.5"/>
    <x v="6"/>
    <x v="7"/>
    <x v="0"/>
    <x v="3"/>
    <x v="0"/>
    <x v="3"/>
    <x v="5"/>
    <x v="1"/>
    <x v="0"/>
  </r>
  <r>
    <x v="180"/>
    <x v="9"/>
    <x v="5"/>
    <n v="28.7"/>
    <n v="315.7"/>
    <x v="6"/>
    <x v="6"/>
    <x v="2"/>
    <x v="2"/>
    <x v="0"/>
    <x v="3"/>
    <x v="3"/>
    <x v="1"/>
    <x v="2"/>
  </r>
  <r>
    <x v="181"/>
    <x v="7"/>
    <x v="3"/>
    <n v="52"/>
    <n v="364"/>
    <x v="6"/>
    <x v="6"/>
    <x v="1"/>
    <x v="1"/>
    <x v="4"/>
    <x v="3"/>
    <x v="3"/>
    <x v="1"/>
    <x v="1"/>
  </r>
  <r>
    <x v="182"/>
    <x v="0"/>
    <x v="0"/>
    <n v="13.3"/>
    <n v="13.3"/>
    <x v="7"/>
    <x v="12"/>
    <x v="2"/>
    <x v="2"/>
    <x v="1"/>
    <x v="3"/>
    <x v="5"/>
    <x v="1"/>
    <x v="2"/>
  </r>
  <r>
    <x v="183"/>
    <x v="0"/>
    <x v="2"/>
    <n v="15.7"/>
    <n v="47.099999999999987"/>
    <x v="7"/>
    <x v="8"/>
    <x v="2"/>
    <x v="1"/>
    <x v="0"/>
    <x v="29"/>
    <x v="3"/>
    <x v="1"/>
    <x v="2"/>
  </r>
  <r>
    <x v="184"/>
    <x v="8"/>
    <x v="1"/>
    <n v="25.6"/>
    <n v="51.2"/>
    <x v="7"/>
    <x v="8"/>
    <x v="1"/>
    <x v="0"/>
    <x v="2"/>
    <x v="23"/>
    <x v="3"/>
    <x v="1"/>
    <x v="1"/>
  </r>
  <r>
    <x v="185"/>
    <x v="8"/>
    <x v="0"/>
    <n v="43.4"/>
    <n v="43.4"/>
    <x v="7"/>
    <x v="14"/>
    <x v="1"/>
    <x v="0"/>
    <x v="0"/>
    <x v="6"/>
    <x v="0"/>
    <x v="1"/>
    <x v="1"/>
  </r>
  <r>
    <x v="186"/>
    <x v="11"/>
    <x v="11"/>
    <n v="33.4"/>
    <n v="300.60000000000002"/>
    <x v="7"/>
    <x v="6"/>
    <x v="2"/>
    <x v="0"/>
    <x v="0"/>
    <x v="8"/>
    <x v="7"/>
    <x v="1"/>
    <x v="2"/>
  </r>
  <r>
    <x v="187"/>
    <x v="8"/>
    <x v="10"/>
    <n v="55"/>
    <n v="1045"/>
    <x v="7"/>
    <x v="8"/>
    <x v="2"/>
    <x v="1"/>
    <x v="2"/>
    <x v="8"/>
    <x v="3"/>
    <x v="1"/>
    <x v="2"/>
  </r>
  <r>
    <x v="188"/>
    <x v="8"/>
    <x v="2"/>
    <n v="23.6"/>
    <n v="70.800000000000011"/>
    <x v="7"/>
    <x v="8"/>
    <x v="1"/>
    <x v="0"/>
    <x v="2"/>
    <x v="8"/>
    <x v="3"/>
    <x v="1"/>
    <x v="1"/>
  </r>
  <r>
    <x v="189"/>
    <x v="12"/>
    <x v="11"/>
    <n v="104"/>
    <n v="936"/>
    <x v="7"/>
    <x v="9"/>
    <x v="2"/>
    <x v="2"/>
    <x v="2"/>
    <x v="17"/>
    <x v="1"/>
    <x v="1"/>
    <x v="2"/>
  </r>
  <r>
    <x v="190"/>
    <x v="6"/>
    <x v="1"/>
    <n v="51.8"/>
    <n v="103.6"/>
    <x v="7"/>
    <x v="12"/>
    <x v="0"/>
    <x v="0"/>
    <x v="2"/>
    <x v="10"/>
    <x v="5"/>
    <x v="1"/>
    <x v="0"/>
  </r>
  <r>
    <x v="191"/>
    <x v="10"/>
    <x v="9"/>
    <n v="34.5"/>
    <n v="172.5"/>
    <x v="7"/>
    <x v="9"/>
    <x v="0"/>
    <x v="2"/>
    <x v="2"/>
    <x v="11"/>
    <x v="1"/>
    <x v="1"/>
    <x v="0"/>
  </r>
  <r>
    <x v="192"/>
    <x v="6"/>
    <x v="1"/>
    <n v="51.8"/>
    <n v="103.6"/>
    <x v="7"/>
    <x v="9"/>
    <x v="1"/>
    <x v="1"/>
    <x v="2"/>
    <x v="30"/>
    <x v="1"/>
    <x v="1"/>
    <x v="1"/>
  </r>
  <r>
    <x v="193"/>
    <x v="18"/>
    <x v="23"/>
    <n v="131.5"/>
    <n v="5654.5"/>
    <x v="7"/>
    <x v="8"/>
    <x v="2"/>
    <x v="0"/>
    <x v="2"/>
    <x v="18"/>
    <x v="3"/>
    <x v="1"/>
    <x v="2"/>
  </r>
  <r>
    <x v="194"/>
    <x v="8"/>
    <x v="3"/>
    <n v="47.8"/>
    <n v="334.6"/>
    <x v="7"/>
    <x v="6"/>
    <x v="2"/>
    <x v="0"/>
    <x v="0"/>
    <x v="19"/>
    <x v="7"/>
    <x v="1"/>
    <x v="2"/>
  </r>
  <r>
    <x v="195"/>
    <x v="0"/>
    <x v="1"/>
    <n v="10.199999999999999"/>
    <n v="20.399999999999999"/>
    <x v="7"/>
    <x v="9"/>
    <x v="2"/>
    <x v="0"/>
    <x v="0"/>
    <x v="19"/>
    <x v="1"/>
    <x v="1"/>
    <x v="2"/>
  </r>
  <r>
    <x v="196"/>
    <x v="8"/>
    <x v="8"/>
    <n v="41"/>
    <n v="328"/>
    <x v="7"/>
    <x v="6"/>
    <x v="2"/>
    <x v="1"/>
    <x v="2"/>
    <x v="19"/>
    <x v="7"/>
    <x v="1"/>
    <x v="2"/>
  </r>
  <r>
    <x v="197"/>
    <x v="10"/>
    <x v="3"/>
    <n v="50.8"/>
    <n v="355.6"/>
    <x v="7"/>
    <x v="7"/>
    <x v="2"/>
    <x v="1"/>
    <x v="0"/>
    <x v="21"/>
    <x v="2"/>
    <x v="1"/>
    <x v="2"/>
  </r>
  <r>
    <x v="198"/>
    <x v="18"/>
    <x v="2"/>
    <n v="39.6"/>
    <n v="118.8"/>
    <x v="7"/>
    <x v="8"/>
    <x v="1"/>
    <x v="2"/>
    <x v="2"/>
    <x v="1"/>
    <x v="3"/>
    <x v="1"/>
    <x v="1"/>
  </r>
  <r>
    <x v="199"/>
    <x v="5"/>
    <x v="1"/>
    <n v="69.5"/>
    <n v="139"/>
    <x v="7"/>
    <x v="9"/>
    <x v="1"/>
    <x v="0"/>
    <x v="2"/>
    <x v="2"/>
    <x v="1"/>
    <x v="1"/>
    <x v="1"/>
  </r>
  <r>
    <x v="200"/>
    <x v="8"/>
    <x v="8"/>
    <n v="32.6"/>
    <n v="260.8"/>
    <x v="7"/>
    <x v="7"/>
    <x v="1"/>
    <x v="1"/>
    <x v="0"/>
    <x v="3"/>
    <x v="2"/>
    <x v="1"/>
    <x v="1"/>
  </r>
  <r>
    <x v="201"/>
    <x v="7"/>
    <x v="1"/>
    <n v="49.1"/>
    <n v="98.2"/>
    <x v="7"/>
    <x v="15"/>
    <x v="1"/>
    <x v="3"/>
    <x v="2"/>
    <x v="3"/>
    <x v="9"/>
    <x v="1"/>
    <x v="1"/>
  </r>
  <r>
    <x v="202"/>
    <x v="6"/>
    <x v="1"/>
    <n v="49.4"/>
    <n v="98.8"/>
    <x v="8"/>
    <x v="9"/>
    <x v="2"/>
    <x v="2"/>
    <x v="0"/>
    <x v="3"/>
    <x v="3"/>
    <x v="1"/>
    <x v="2"/>
  </r>
  <r>
    <x v="203"/>
    <x v="7"/>
    <x v="3"/>
    <n v="65.099999999999994"/>
    <n v="455.69999999999987"/>
    <x v="8"/>
    <x v="12"/>
    <x v="2"/>
    <x v="2"/>
    <x v="2"/>
    <x v="3"/>
    <x v="2"/>
    <x v="1"/>
    <x v="2"/>
  </r>
  <r>
    <x v="204"/>
    <x v="3"/>
    <x v="1"/>
    <n v="52.1"/>
    <n v="104.2"/>
    <x v="8"/>
    <x v="14"/>
    <x v="2"/>
    <x v="2"/>
    <x v="0"/>
    <x v="3"/>
    <x v="5"/>
    <x v="1"/>
    <x v="2"/>
  </r>
  <r>
    <x v="205"/>
    <x v="2"/>
    <x v="12"/>
    <n v="129.19999999999999"/>
    <n v="516.79999999999995"/>
    <x v="8"/>
    <x v="9"/>
    <x v="2"/>
    <x v="1"/>
    <x v="0"/>
    <x v="3"/>
    <x v="3"/>
    <x v="1"/>
    <x v="2"/>
  </r>
  <r>
    <x v="206"/>
    <x v="1"/>
    <x v="10"/>
    <n v="81.8"/>
    <n v="1554.2"/>
    <x v="8"/>
    <x v="8"/>
    <x v="2"/>
    <x v="1"/>
    <x v="1"/>
    <x v="3"/>
    <x v="7"/>
    <x v="1"/>
    <x v="2"/>
  </r>
  <r>
    <x v="207"/>
    <x v="17"/>
    <x v="0"/>
    <n v="24.9"/>
    <n v="24.9"/>
    <x v="8"/>
    <x v="14"/>
    <x v="2"/>
    <x v="1"/>
    <x v="0"/>
    <x v="3"/>
    <x v="5"/>
    <x v="1"/>
    <x v="2"/>
  </r>
  <r>
    <x v="208"/>
    <x v="0"/>
    <x v="2"/>
    <n v="49.4"/>
    <n v="148.19999999999999"/>
    <x v="8"/>
    <x v="12"/>
    <x v="2"/>
    <x v="4"/>
    <x v="4"/>
    <x v="3"/>
    <x v="2"/>
    <x v="1"/>
    <x v="2"/>
  </r>
  <r>
    <x v="209"/>
    <x v="8"/>
    <x v="1"/>
    <n v="22.7"/>
    <n v="45.4"/>
    <x v="8"/>
    <x v="9"/>
    <x v="1"/>
    <x v="3"/>
    <x v="2"/>
    <x v="3"/>
    <x v="3"/>
    <x v="1"/>
    <x v="1"/>
  </r>
  <r>
    <x v="210"/>
    <x v="1"/>
    <x v="0"/>
    <n v="77.3"/>
    <n v="77.3"/>
    <x v="8"/>
    <x v="8"/>
    <x v="2"/>
    <x v="0"/>
    <x v="2"/>
    <x v="6"/>
    <x v="7"/>
    <x v="1"/>
    <x v="2"/>
  </r>
  <r>
    <x v="211"/>
    <x v="1"/>
    <x v="9"/>
    <n v="109.1"/>
    <n v="545.5"/>
    <x v="8"/>
    <x v="12"/>
    <x v="2"/>
    <x v="0"/>
    <x v="0"/>
    <x v="6"/>
    <x v="2"/>
    <x v="1"/>
    <x v="2"/>
  </r>
  <r>
    <x v="212"/>
    <x v="2"/>
    <x v="12"/>
    <n v="53.9"/>
    <n v="215.6"/>
    <x v="8"/>
    <x v="9"/>
    <x v="1"/>
    <x v="0"/>
    <x v="1"/>
    <x v="8"/>
    <x v="3"/>
    <x v="1"/>
    <x v="1"/>
  </r>
  <r>
    <x v="213"/>
    <x v="9"/>
    <x v="18"/>
    <n v="21.2"/>
    <n v="551.19999999999993"/>
    <x v="8"/>
    <x v="8"/>
    <x v="2"/>
    <x v="0"/>
    <x v="0"/>
    <x v="9"/>
    <x v="7"/>
    <x v="1"/>
    <x v="2"/>
  </r>
  <r>
    <x v="214"/>
    <x v="16"/>
    <x v="12"/>
    <n v="69"/>
    <n v="276"/>
    <x v="8"/>
    <x v="7"/>
    <x v="2"/>
    <x v="1"/>
    <x v="1"/>
    <x v="18"/>
    <x v="1"/>
    <x v="1"/>
    <x v="2"/>
  </r>
  <r>
    <x v="215"/>
    <x v="6"/>
    <x v="2"/>
    <n v="46.2"/>
    <n v="138.6"/>
    <x v="8"/>
    <x v="7"/>
    <x v="2"/>
    <x v="0"/>
    <x v="2"/>
    <x v="31"/>
    <x v="1"/>
    <x v="1"/>
    <x v="2"/>
  </r>
  <r>
    <x v="216"/>
    <x v="1"/>
    <x v="9"/>
    <n v="97.4"/>
    <n v="487"/>
    <x v="8"/>
    <x v="14"/>
    <x v="2"/>
    <x v="4"/>
    <x v="2"/>
    <x v="21"/>
    <x v="5"/>
    <x v="1"/>
    <x v="2"/>
  </r>
  <r>
    <x v="217"/>
    <x v="8"/>
    <x v="9"/>
    <n v="21"/>
    <n v="105"/>
    <x v="8"/>
    <x v="9"/>
    <x v="1"/>
    <x v="0"/>
    <x v="1"/>
    <x v="21"/>
    <x v="3"/>
    <x v="1"/>
    <x v="1"/>
  </r>
  <r>
    <x v="218"/>
    <x v="5"/>
    <x v="1"/>
    <n v="32.700000000000003"/>
    <n v="65.400000000000006"/>
    <x v="9"/>
    <x v="14"/>
    <x v="2"/>
    <x v="1"/>
    <x v="0"/>
    <x v="2"/>
    <x v="2"/>
    <x v="1"/>
    <x v="2"/>
  </r>
  <r>
    <x v="219"/>
    <x v="6"/>
    <x v="12"/>
    <n v="48"/>
    <n v="192"/>
    <x v="9"/>
    <x v="7"/>
    <x v="1"/>
    <x v="3"/>
    <x v="0"/>
    <x v="3"/>
    <x v="3"/>
    <x v="1"/>
    <x v="1"/>
  </r>
  <r>
    <x v="220"/>
    <x v="6"/>
    <x v="2"/>
    <n v="68.2"/>
    <n v="204.6"/>
    <x v="9"/>
    <x v="16"/>
    <x v="0"/>
    <x v="0"/>
    <x v="2"/>
    <x v="3"/>
    <x v="5"/>
    <x v="1"/>
    <x v="0"/>
  </r>
  <r>
    <x v="221"/>
    <x v="5"/>
    <x v="0"/>
    <n v="45.4"/>
    <n v="45.4"/>
    <x v="9"/>
    <x v="12"/>
    <x v="1"/>
    <x v="1"/>
    <x v="0"/>
    <x v="3"/>
    <x v="1"/>
    <x v="1"/>
    <x v="1"/>
  </r>
  <r>
    <x v="222"/>
    <x v="12"/>
    <x v="1"/>
    <n v="53.9"/>
    <n v="107.8"/>
    <x v="9"/>
    <x v="7"/>
    <x v="2"/>
    <x v="2"/>
    <x v="0"/>
    <x v="3"/>
    <x v="3"/>
    <x v="1"/>
    <x v="2"/>
  </r>
  <r>
    <x v="223"/>
    <x v="2"/>
    <x v="12"/>
    <n v="62.1"/>
    <n v="248.4"/>
    <x v="9"/>
    <x v="16"/>
    <x v="2"/>
    <x v="0"/>
    <x v="0"/>
    <x v="4"/>
    <x v="5"/>
    <x v="1"/>
    <x v="2"/>
  </r>
  <r>
    <x v="224"/>
    <x v="13"/>
    <x v="3"/>
    <n v="33.1"/>
    <n v="231.7"/>
    <x v="9"/>
    <x v="11"/>
    <x v="1"/>
    <x v="1"/>
    <x v="0"/>
    <x v="6"/>
    <x v="0"/>
    <x v="1"/>
    <x v="1"/>
  </r>
  <r>
    <x v="225"/>
    <x v="18"/>
    <x v="9"/>
    <n v="35.200000000000003"/>
    <n v="176"/>
    <x v="9"/>
    <x v="9"/>
    <x v="2"/>
    <x v="1"/>
    <x v="0"/>
    <x v="6"/>
    <x v="7"/>
    <x v="1"/>
    <x v="2"/>
  </r>
  <r>
    <x v="226"/>
    <x v="9"/>
    <x v="2"/>
    <n v="32.1"/>
    <n v="96.300000000000011"/>
    <x v="9"/>
    <x v="11"/>
    <x v="1"/>
    <x v="3"/>
    <x v="0"/>
    <x v="8"/>
    <x v="0"/>
    <x v="1"/>
    <x v="1"/>
  </r>
  <r>
    <x v="227"/>
    <x v="11"/>
    <x v="0"/>
    <n v="38.1"/>
    <n v="38.1"/>
    <x v="9"/>
    <x v="11"/>
    <x v="2"/>
    <x v="0"/>
    <x v="2"/>
    <x v="8"/>
    <x v="0"/>
    <x v="1"/>
    <x v="2"/>
  </r>
  <r>
    <x v="228"/>
    <x v="8"/>
    <x v="0"/>
    <n v="65.2"/>
    <n v="65.2"/>
    <x v="9"/>
    <x v="11"/>
    <x v="2"/>
    <x v="3"/>
    <x v="1"/>
    <x v="8"/>
    <x v="0"/>
    <x v="1"/>
    <x v="2"/>
  </r>
  <r>
    <x v="229"/>
    <x v="10"/>
    <x v="3"/>
    <n v="55.2"/>
    <n v="386.4"/>
    <x v="9"/>
    <x v="7"/>
    <x v="1"/>
    <x v="2"/>
    <x v="0"/>
    <x v="11"/>
    <x v="3"/>
    <x v="1"/>
    <x v="1"/>
  </r>
  <r>
    <x v="230"/>
    <x v="6"/>
    <x v="0"/>
    <n v="62"/>
    <n v="62"/>
    <x v="9"/>
    <x v="16"/>
    <x v="2"/>
    <x v="0"/>
    <x v="0"/>
    <x v="11"/>
    <x v="5"/>
    <x v="1"/>
    <x v="2"/>
  </r>
  <r>
    <x v="231"/>
    <x v="7"/>
    <x v="2"/>
    <n v="45.9"/>
    <n v="137.69999999999999"/>
    <x v="9"/>
    <x v="7"/>
    <x v="2"/>
    <x v="2"/>
    <x v="0"/>
    <x v="32"/>
    <x v="3"/>
    <x v="1"/>
    <x v="2"/>
  </r>
  <r>
    <x v="232"/>
    <x v="18"/>
    <x v="2"/>
    <n v="58.3"/>
    <n v="174.9"/>
    <x v="9"/>
    <x v="9"/>
    <x v="1"/>
    <x v="1"/>
    <x v="1"/>
    <x v="18"/>
    <x v="7"/>
    <x v="1"/>
    <x v="1"/>
  </r>
  <r>
    <x v="233"/>
    <x v="8"/>
    <x v="1"/>
    <n v="22.3"/>
    <n v="44.6"/>
    <x v="9"/>
    <x v="14"/>
    <x v="2"/>
    <x v="0"/>
    <x v="2"/>
    <x v="20"/>
    <x v="2"/>
    <x v="1"/>
    <x v="2"/>
  </r>
  <r>
    <x v="234"/>
    <x v="19"/>
    <x v="9"/>
    <n v="24"/>
    <n v="120"/>
    <x v="9"/>
    <x v="7"/>
    <x v="1"/>
    <x v="4"/>
    <x v="0"/>
    <x v="1"/>
    <x v="3"/>
    <x v="1"/>
    <x v="1"/>
  </r>
  <r>
    <x v="235"/>
    <x v="0"/>
    <x v="7"/>
    <n v="21.3"/>
    <n v="213"/>
    <x v="9"/>
    <x v="9"/>
    <x v="2"/>
    <x v="1"/>
    <x v="2"/>
    <x v="22"/>
    <x v="7"/>
    <x v="1"/>
    <x v="2"/>
  </r>
  <r>
    <x v="236"/>
    <x v="6"/>
    <x v="24"/>
    <n v="57.8"/>
    <n v="2369.8000000000002"/>
    <x v="9"/>
    <x v="12"/>
    <x v="2"/>
    <x v="0"/>
    <x v="2"/>
    <x v="3"/>
    <x v="1"/>
    <x v="1"/>
    <x v="2"/>
  </r>
  <r>
    <x v="237"/>
    <x v="10"/>
    <x v="2"/>
    <n v="67.599999999999994"/>
    <n v="202.8"/>
    <x v="9"/>
    <x v="7"/>
    <x v="2"/>
    <x v="0"/>
    <x v="0"/>
    <x v="3"/>
    <x v="3"/>
    <x v="1"/>
    <x v="2"/>
  </r>
  <r>
    <x v="238"/>
    <x v="6"/>
    <x v="13"/>
    <n v="66.7"/>
    <n v="400.2"/>
    <x v="9"/>
    <x v="16"/>
    <x v="1"/>
    <x v="4"/>
    <x v="1"/>
    <x v="3"/>
    <x v="5"/>
    <x v="1"/>
    <x v="1"/>
  </r>
  <r>
    <x v="239"/>
    <x v="1"/>
    <x v="12"/>
    <n v="53.1"/>
    <n v="212.4"/>
    <x v="9"/>
    <x v="12"/>
    <x v="2"/>
    <x v="1"/>
    <x v="0"/>
    <x v="3"/>
    <x v="1"/>
    <x v="1"/>
    <x v="2"/>
  </r>
  <r>
    <x v="240"/>
    <x v="12"/>
    <x v="2"/>
    <n v="57.4"/>
    <n v="172.2"/>
    <x v="9"/>
    <x v="14"/>
    <x v="2"/>
    <x v="0"/>
    <x v="2"/>
    <x v="29"/>
    <x v="2"/>
    <x v="1"/>
    <x v="2"/>
  </r>
  <r>
    <x v="241"/>
    <x v="2"/>
    <x v="9"/>
    <n v="58.1"/>
    <n v="290.5"/>
    <x v="9"/>
    <x v="9"/>
    <x v="1"/>
    <x v="2"/>
    <x v="2"/>
    <x v="6"/>
    <x v="7"/>
    <x v="1"/>
    <x v="1"/>
  </r>
  <r>
    <x v="242"/>
    <x v="5"/>
    <x v="2"/>
    <n v="31.8"/>
    <n v="95.4"/>
    <x v="10"/>
    <x v="14"/>
    <x v="1"/>
    <x v="3"/>
    <x v="0"/>
    <x v="6"/>
    <x v="1"/>
    <x v="1"/>
    <x v="1"/>
  </r>
  <r>
    <x v="243"/>
    <x v="4"/>
    <x v="2"/>
    <n v="31.5"/>
    <n v="94.5"/>
    <x v="10"/>
    <x v="16"/>
    <x v="1"/>
    <x v="0"/>
    <x v="1"/>
    <x v="8"/>
    <x v="2"/>
    <x v="1"/>
    <x v="1"/>
  </r>
  <r>
    <x v="244"/>
    <x v="6"/>
    <x v="3"/>
    <n v="55.9"/>
    <n v="391.3"/>
    <x v="10"/>
    <x v="11"/>
    <x v="2"/>
    <x v="1"/>
    <x v="2"/>
    <x v="8"/>
    <x v="5"/>
    <x v="1"/>
    <x v="2"/>
  </r>
  <r>
    <x v="245"/>
    <x v="8"/>
    <x v="1"/>
    <n v="36.4"/>
    <n v="72.8"/>
    <x v="10"/>
    <x v="12"/>
    <x v="1"/>
    <x v="1"/>
    <x v="1"/>
    <x v="9"/>
    <x v="3"/>
    <x v="1"/>
    <x v="1"/>
  </r>
  <r>
    <x v="246"/>
    <x v="1"/>
    <x v="9"/>
    <n v="47.3"/>
    <n v="236.5"/>
    <x v="10"/>
    <x v="16"/>
    <x v="1"/>
    <x v="2"/>
    <x v="0"/>
    <x v="10"/>
    <x v="2"/>
    <x v="1"/>
    <x v="1"/>
  </r>
  <r>
    <x v="247"/>
    <x v="6"/>
    <x v="2"/>
    <n v="82.5"/>
    <n v="247.5"/>
    <x v="10"/>
    <x v="12"/>
    <x v="1"/>
    <x v="0"/>
    <x v="0"/>
    <x v="11"/>
    <x v="3"/>
    <x v="1"/>
    <x v="1"/>
  </r>
  <r>
    <x v="248"/>
    <x v="0"/>
    <x v="0"/>
    <n v="14.3"/>
    <n v="14.3"/>
    <x v="10"/>
    <x v="12"/>
    <x v="2"/>
    <x v="0"/>
    <x v="0"/>
    <x v="21"/>
    <x v="3"/>
    <x v="1"/>
    <x v="2"/>
  </r>
  <r>
    <x v="249"/>
    <x v="2"/>
    <x v="13"/>
    <n v="57.6"/>
    <n v="345.6"/>
    <x v="10"/>
    <x v="17"/>
    <x v="2"/>
    <x v="0"/>
    <x v="0"/>
    <x v="21"/>
    <x v="12"/>
    <x v="1"/>
    <x v="2"/>
  </r>
  <r>
    <x v="250"/>
    <x v="2"/>
    <x v="2"/>
    <n v="142.4"/>
    <n v="427.2"/>
    <x v="10"/>
    <x v="14"/>
    <x v="1"/>
    <x v="4"/>
    <x v="1"/>
    <x v="21"/>
    <x v="1"/>
    <x v="1"/>
    <x v="1"/>
  </r>
  <r>
    <x v="251"/>
    <x v="12"/>
    <x v="0"/>
    <n v="30.2"/>
    <n v="30.2"/>
    <x v="10"/>
    <x v="11"/>
    <x v="1"/>
    <x v="1"/>
    <x v="2"/>
    <x v="2"/>
    <x v="5"/>
    <x v="1"/>
    <x v="1"/>
  </r>
  <r>
    <x v="252"/>
    <x v="18"/>
    <x v="2"/>
    <n v="65.3"/>
    <n v="195.9"/>
    <x v="10"/>
    <x v="12"/>
    <x v="3"/>
    <x v="1"/>
    <x v="0"/>
    <x v="33"/>
    <x v="3"/>
    <x v="1"/>
    <x v="3"/>
  </r>
  <r>
    <x v="253"/>
    <x v="0"/>
    <x v="1"/>
    <n v="33.4"/>
    <n v="66.8"/>
    <x v="10"/>
    <x v="12"/>
    <x v="1"/>
    <x v="1"/>
    <x v="1"/>
    <x v="22"/>
    <x v="3"/>
    <x v="1"/>
    <x v="1"/>
  </r>
  <r>
    <x v="254"/>
    <x v="7"/>
    <x v="1"/>
    <n v="45.1"/>
    <n v="90.2"/>
    <x v="10"/>
    <x v="18"/>
    <x v="1"/>
    <x v="0"/>
    <x v="0"/>
    <x v="0"/>
    <x v="9"/>
    <x v="1"/>
    <x v="1"/>
  </r>
  <r>
    <x v="255"/>
    <x v="2"/>
    <x v="3"/>
    <n v="61.7"/>
    <n v="431.9"/>
    <x v="10"/>
    <x v="14"/>
    <x v="2"/>
    <x v="4"/>
    <x v="0"/>
    <x v="3"/>
    <x v="1"/>
    <x v="1"/>
    <x v="2"/>
  </r>
  <r>
    <x v="256"/>
    <x v="9"/>
    <x v="2"/>
    <n v="45.1"/>
    <n v="135.30000000000001"/>
    <x v="11"/>
    <x v="14"/>
    <x v="1"/>
    <x v="4"/>
    <x v="1"/>
    <x v="3"/>
    <x v="3"/>
    <x v="2"/>
    <x v="1"/>
  </r>
  <r>
    <x v="257"/>
    <x v="15"/>
    <x v="9"/>
    <n v="22.7"/>
    <n v="113.5"/>
    <x v="11"/>
    <x v="10"/>
    <x v="1"/>
    <x v="0"/>
    <x v="2"/>
    <x v="4"/>
    <x v="0"/>
    <x v="2"/>
    <x v="1"/>
  </r>
  <r>
    <x v="258"/>
    <x v="8"/>
    <x v="0"/>
    <n v="17.600000000000001"/>
    <n v="17.600000000000001"/>
    <x v="11"/>
    <x v="14"/>
    <x v="2"/>
    <x v="0"/>
    <x v="2"/>
    <x v="23"/>
    <x v="3"/>
    <x v="2"/>
    <x v="2"/>
  </r>
  <r>
    <x v="259"/>
    <x v="14"/>
    <x v="1"/>
    <n v="11.3"/>
    <n v="22.6"/>
    <x v="11"/>
    <x v="11"/>
    <x v="2"/>
    <x v="3"/>
    <x v="2"/>
    <x v="23"/>
    <x v="2"/>
    <x v="2"/>
    <x v="2"/>
  </r>
  <r>
    <x v="260"/>
    <x v="6"/>
    <x v="2"/>
    <n v="53.4"/>
    <n v="160.19999999999999"/>
    <x v="11"/>
    <x v="11"/>
    <x v="1"/>
    <x v="3"/>
    <x v="2"/>
    <x v="5"/>
    <x v="2"/>
    <x v="2"/>
    <x v="1"/>
  </r>
  <r>
    <x v="261"/>
    <x v="6"/>
    <x v="5"/>
    <n v="51.1"/>
    <n v="562.1"/>
    <x v="11"/>
    <x v="16"/>
    <x v="2"/>
    <x v="2"/>
    <x v="2"/>
    <x v="8"/>
    <x v="1"/>
    <x v="2"/>
    <x v="2"/>
  </r>
  <r>
    <x v="262"/>
    <x v="8"/>
    <x v="1"/>
    <n v="27.5"/>
    <n v="55"/>
    <x v="11"/>
    <x v="14"/>
    <x v="1"/>
    <x v="4"/>
    <x v="1"/>
    <x v="8"/>
    <x v="3"/>
    <x v="2"/>
    <x v="1"/>
  </r>
  <r>
    <x v="263"/>
    <x v="9"/>
    <x v="0"/>
    <n v="33.5"/>
    <n v="33.5"/>
    <x v="11"/>
    <x v="16"/>
    <x v="2"/>
    <x v="0"/>
    <x v="4"/>
    <x v="8"/>
    <x v="1"/>
    <x v="2"/>
    <x v="2"/>
  </r>
  <r>
    <x v="264"/>
    <x v="4"/>
    <x v="0"/>
    <n v="59.5"/>
    <n v="59.5"/>
    <x v="11"/>
    <x v="12"/>
    <x v="1"/>
    <x v="0"/>
    <x v="2"/>
    <x v="18"/>
    <x v="7"/>
    <x v="2"/>
    <x v="1"/>
  </r>
  <r>
    <x v="265"/>
    <x v="17"/>
    <x v="12"/>
    <n v="23.5"/>
    <n v="94"/>
    <x v="11"/>
    <x v="14"/>
    <x v="2"/>
    <x v="3"/>
    <x v="3"/>
    <x v="19"/>
    <x v="3"/>
    <x v="2"/>
    <x v="2"/>
  </r>
  <r>
    <x v="266"/>
    <x v="6"/>
    <x v="0"/>
    <n v="49.7"/>
    <n v="49.7"/>
    <x v="11"/>
    <x v="14"/>
    <x v="0"/>
    <x v="1"/>
    <x v="2"/>
    <x v="20"/>
    <x v="3"/>
    <x v="2"/>
    <x v="0"/>
  </r>
  <r>
    <x v="267"/>
    <x v="6"/>
    <x v="12"/>
    <n v="44.2"/>
    <n v="176.8"/>
    <x v="11"/>
    <x v="11"/>
    <x v="2"/>
    <x v="0"/>
    <x v="2"/>
    <x v="21"/>
    <x v="2"/>
    <x v="2"/>
    <x v="2"/>
  </r>
  <r>
    <x v="268"/>
    <x v="8"/>
    <x v="0"/>
    <n v="22.1"/>
    <n v="22.1"/>
    <x v="11"/>
    <x v="15"/>
    <x v="2"/>
    <x v="1"/>
    <x v="1"/>
    <x v="33"/>
    <x v="5"/>
    <x v="2"/>
    <x v="2"/>
  </r>
  <r>
    <x v="269"/>
    <x v="6"/>
    <x v="2"/>
    <n v="90.9"/>
    <n v="272.7"/>
    <x v="11"/>
    <x v="14"/>
    <x v="2"/>
    <x v="2"/>
    <x v="4"/>
    <x v="3"/>
    <x v="3"/>
    <x v="2"/>
    <x v="2"/>
  </r>
  <r>
    <x v="270"/>
    <x v="8"/>
    <x v="2"/>
    <n v="44.5"/>
    <n v="133.5"/>
    <x v="11"/>
    <x v="14"/>
    <x v="2"/>
    <x v="1"/>
    <x v="0"/>
    <x v="3"/>
    <x v="3"/>
    <x v="2"/>
    <x v="2"/>
  </r>
  <r>
    <x v="271"/>
    <x v="9"/>
    <x v="13"/>
    <n v="32.299999999999997"/>
    <n v="193.8"/>
    <x v="11"/>
    <x v="15"/>
    <x v="2"/>
    <x v="0"/>
    <x v="0"/>
    <x v="3"/>
    <x v="5"/>
    <x v="2"/>
    <x v="2"/>
  </r>
  <r>
    <x v="272"/>
    <x v="17"/>
    <x v="2"/>
    <n v="87.5"/>
    <n v="262.5"/>
    <x v="11"/>
    <x v="14"/>
    <x v="2"/>
    <x v="1"/>
    <x v="1"/>
    <x v="3"/>
    <x v="3"/>
    <x v="2"/>
    <x v="2"/>
  </r>
  <r>
    <x v="273"/>
    <x v="16"/>
    <x v="9"/>
    <n v="48.7"/>
    <n v="243.5"/>
    <x v="11"/>
    <x v="14"/>
    <x v="1"/>
    <x v="2"/>
    <x v="0"/>
    <x v="3"/>
    <x v="3"/>
    <x v="2"/>
    <x v="1"/>
  </r>
  <r>
    <x v="274"/>
    <x v="0"/>
    <x v="9"/>
    <n v="22.5"/>
    <n v="112.5"/>
    <x v="11"/>
    <x v="14"/>
    <x v="1"/>
    <x v="0"/>
    <x v="0"/>
    <x v="3"/>
    <x v="3"/>
    <x v="2"/>
    <x v="1"/>
  </r>
  <r>
    <x v="275"/>
    <x v="1"/>
    <x v="8"/>
    <n v="65.900000000000006"/>
    <n v="527.20000000000005"/>
    <x v="11"/>
    <x v="11"/>
    <x v="2"/>
    <x v="1"/>
    <x v="2"/>
    <x v="3"/>
    <x v="2"/>
    <x v="2"/>
    <x v="2"/>
  </r>
  <r>
    <x v="276"/>
    <x v="6"/>
    <x v="9"/>
    <n v="41.9"/>
    <n v="209.5"/>
    <x v="11"/>
    <x v="18"/>
    <x v="0"/>
    <x v="0"/>
    <x v="0"/>
    <x v="3"/>
    <x v="6"/>
    <x v="2"/>
    <x v="0"/>
  </r>
  <r>
    <x v="277"/>
    <x v="1"/>
    <x v="9"/>
    <n v="67.5"/>
    <n v="337.5"/>
    <x v="11"/>
    <x v="14"/>
    <x v="2"/>
    <x v="0"/>
    <x v="2"/>
    <x v="3"/>
    <x v="3"/>
    <x v="2"/>
    <x v="2"/>
  </r>
  <r>
    <x v="278"/>
    <x v="9"/>
    <x v="0"/>
    <n v="60.4"/>
    <n v="60.4"/>
    <x v="12"/>
    <x v="11"/>
    <x v="2"/>
    <x v="1"/>
    <x v="1"/>
    <x v="3"/>
    <x v="1"/>
    <x v="2"/>
    <x v="2"/>
  </r>
  <r>
    <x v="279"/>
    <x v="1"/>
    <x v="3"/>
    <n v="30.4"/>
    <n v="212.8"/>
    <x v="12"/>
    <x v="15"/>
    <x v="2"/>
    <x v="4"/>
    <x v="0"/>
    <x v="3"/>
    <x v="2"/>
    <x v="2"/>
    <x v="2"/>
  </r>
  <r>
    <x v="280"/>
    <x v="14"/>
    <x v="1"/>
    <n v="24.5"/>
    <n v="49"/>
    <x v="12"/>
    <x v="16"/>
    <x v="1"/>
    <x v="3"/>
    <x v="2"/>
    <x v="3"/>
    <x v="3"/>
    <x v="2"/>
    <x v="1"/>
  </r>
  <r>
    <x v="281"/>
    <x v="2"/>
    <x v="2"/>
    <n v="105.9"/>
    <n v="317.7"/>
    <x v="12"/>
    <x v="13"/>
    <x v="1"/>
    <x v="0"/>
    <x v="0"/>
    <x v="10"/>
    <x v="0"/>
    <x v="2"/>
    <x v="1"/>
  </r>
  <r>
    <x v="282"/>
    <x v="10"/>
    <x v="25"/>
    <n v="25.9"/>
    <n v="621.59999999999991"/>
    <x v="12"/>
    <x v="16"/>
    <x v="2"/>
    <x v="4"/>
    <x v="0"/>
    <x v="23"/>
    <x v="3"/>
    <x v="2"/>
    <x v="2"/>
  </r>
  <r>
    <x v="283"/>
    <x v="6"/>
    <x v="2"/>
    <n v="66.8"/>
    <n v="200.4"/>
    <x v="12"/>
    <x v="14"/>
    <x v="1"/>
    <x v="0"/>
    <x v="0"/>
    <x v="23"/>
    <x v="7"/>
    <x v="2"/>
    <x v="1"/>
  </r>
  <r>
    <x v="284"/>
    <x v="6"/>
    <x v="2"/>
    <n v="112.3"/>
    <n v="336.9"/>
    <x v="12"/>
    <x v="16"/>
    <x v="1"/>
    <x v="2"/>
    <x v="4"/>
    <x v="6"/>
    <x v="3"/>
    <x v="2"/>
    <x v="1"/>
  </r>
  <r>
    <x v="285"/>
    <x v="1"/>
    <x v="13"/>
    <n v="94.1"/>
    <n v="564.59999999999991"/>
    <x v="12"/>
    <x v="16"/>
    <x v="2"/>
    <x v="0"/>
    <x v="4"/>
    <x v="6"/>
    <x v="3"/>
    <x v="2"/>
    <x v="2"/>
  </r>
  <r>
    <x v="286"/>
    <x v="5"/>
    <x v="0"/>
    <n v="40.700000000000003"/>
    <n v="40.700000000000003"/>
    <x v="12"/>
    <x v="15"/>
    <x v="2"/>
    <x v="2"/>
    <x v="0"/>
    <x v="6"/>
    <x v="2"/>
    <x v="2"/>
    <x v="2"/>
  </r>
  <r>
    <x v="287"/>
    <x v="3"/>
    <x v="1"/>
    <n v="71.400000000000006"/>
    <n v="142.80000000000001"/>
    <x v="12"/>
    <x v="16"/>
    <x v="1"/>
    <x v="0"/>
    <x v="0"/>
    <x v="7"/>
    <x v="3"/>
    <x v="2"/>
    <x v="1"/>
  </r>
  <r>
    <x v="288"/>
    <x v="0"/>
    <x v="16"/>
    <n v="15.6"/>
    <n v="280.8"/>
    <x v="12"/>
    <x v="16"/>
    <x v="1"/>
    <x v="1"/>
    <x v="3"/>
    <x v="8"/>
    <x v="3"/>
    <x v="2"/>
    <x v="1"/>
  </r>
  <r>
    <x v="289"/>
    <x v="10"/>
    <x v="12"/>
    <n v="37.799999999999997"/>
    <n v="151.19999999999999"/>
    <x v="12"/>
    <x v="16"/>
    <x v="1"/>
    <x v="2"/>
    <x v="2"/>
    <x v="8"/>
    <x v="3"/>
    <x v="2"/>
    <x v="1"/>
  </r>
  <r>
    <x v="290"/>
    <x v="4"/>
    <x v="2"/>
    <n v="28.1"/>
    <n v="84.300000000000011"/>
    <x v="12"/>
    <x v="10"/>
    <x v="1"/>
    <x v="0"/>
    <x v="0"/>
    <x v="8"/>
    <x v="5"/>
    <x v="2"/>
    <x v="1"/>
  </r>
  <r>
    <x v="291"/>
    <x v="7"/>
    <x v="13"/>
    <n v="51.4"/>
    <n v="308.39999999999998"/>
    <x v="12"/>
    <x v="10"/>
    <x v="1"/>
    <x v="0"/>
    <x v="0"/>
    <x v="8"/>
    <x v="5"/>
    <x v="2"/>
    <x v="1"/>
  </r>
  <r>
    <x v="292"/>
    <x v="7"/>
    <x v="1"/>
    <n v="97.7"/>
    <n v="195.4"/>
    <x v="12"/>
    <x v="11"/>
    <x v="2"/>
    <x v="4"/>
    <x v="2"/>
    <x v="17"/>
    <x v="1"/>
    <x v="2"/>
    <x v="2"/>
  </r>
  <r>
    <x v="293"/>
    <x v="1"/>
    <x v="12"/>
    <n v="63.8"/>
    <n v="255.2"/>
    <x v="12"/>
    <x v="16"/>
    <x v="1"/>
    <x v="2"/>
    <x v="0"/>
    <x v="12"/>
    <x v="3"/>
    <x v="2"/>
    <x v="1"/>
  </r>
  <r>
    <x v="294"/>
    <x v="13"/>
    <x v="1"/>
    <n v="20.100000000000001"/>
    <n v="40.200000000000003"/>
    <x v="12"/>
    <x v="11"/>
    <x v="1"/>
    <x v="0"/>
    <x v="2"/>
    <x v="20"/>
    <x v="1"/>
    <x v="2"/>
    <x v="1"/>
  </r>
  <r>
    <x v="295"/>
    <x v="11"/>
    <x v="2"/>
    <n v="50.4"/>
    <n v="151.19999999999999"/>
    <x v="12"/>
    <x v="15"/>
    <x v="2"/>
    <x v="3"/>
    <x v="0"/>
    <x v="13"/>
    <x v="2"/>
    <x v="2"/>
    <x v="2"/>
  </r>
  <r>
    <x v="296"/>
    <x v="0"/>
    <x v="0"/>
    <n v="16.2"/>
    <n v="16.2"/>
    <x v="12"/>
    <x v="19"/>
    <x v="2"/>
    <x v="1"/>
    <x v="0"/>
    <x v="1"/>
    <x v="10"/>
    <x v="2"/>
    <x v="2"/>
  </r>
  <r>
    <x v="297"/>
    <x v="6"/>
    <x v="3"/>
    <n v="80.900000000000006"/>
    <n v="566.30000000000007"/>
    <x v="12"/>
    <x v="11"/>
    <x v="1"/>
    <x v="4"/>
    <x v="4"/>
    <x v="2"/>
    <x v="1"/>
    <x v="2"/>
    <x v="1"/>
  </r>
  <r>
    <x v="298"/>
    <x v="9"/>
    <x v="13"/>
    <n v="95.2"/>
    <n v="571.20000000000005"/>
    <x v="12"/>
    <x v="11"/>
    <x v="2"/>
    <x v="0"/>
    <x v="2"/>
    <x v="2"/>
    <x v="1"/>
    <x v="2"/>
    <x v="2"/>
  </r>
  <r>
    <x v="299"/>
    <x v="5"/>
    <x v="8"/>
    <n v="70.400000000000006"/>
    <n v="563.20000000000005"/>
    <x v="12"/>
    <x v="16"/>
    <x v="1"/>
    <x v="1"/>
    <x v="1"/>
    <x v="3"/>
    <x v="3"/>
    <x v="2"/>
    <x v="1"/>
  </r>
  <r>
    <x v="300"/>
    <x v="0"/>
    <x v="9"/>
    <n v="10.7"/>
    <n v="53.5"/>
    <x v="12"/>
    <x v="10"/>
    <x v="2"/>
    <x v="2"/>
    <x v="0"/>
    <x v="3"/>
    <x v="5"/>
    <x v="2"/>
    <x v="2"/>
  </r>
  <r>
    <x v="301"/>
    <x v="8"/>
    <x v="9"/>
    <n v="19.600000000000001"/>
    <n v="98"/>
    <x v="12"/>
    <x v="11"/>
    <x v="2"/>
    <x v="0"/>
    <x v="3"/>
    <x v="3"/>
    <x v="1"/>
    <x v="2"/>
    <x v="2"/>
  </r>
  <r>
    <x v="302"/>
    <x v="8"/>
    <x v="5"/>
    <n v="34.700000000000003"/>
    <n v="381.7"/>
    <x v="12"/>
    <x v="11"/>
    <x v="2"/>
    <x v="0"/>
    <x v="2"/>
    <x v="3"/>
    <x v="1"/>
    <x v="2"/>
    <x v="2"/>
  </r>
  <r>
    <x v="303"/>
    <x v="10"/>
    <x v="11"/>
    <n v="34.1"/>
    <n v="306.89999999999998"/>
    <x v="12"/>
    <x v="16"/>
    <x v="2"/>
    <x v="4"/>
    <x v="1"/>
    <x v="3"/>
    <x v="3"/>
    <x v="2"/>
    <x v="2"/>
  </r>
  <r>
    <x v="304"/>
    <x v="0"/>
    <x v="26"/>
    <n v="29.3"/>
    <n v="1435.7"/>
    <x v="12"/>
    <x v="14"/>
    <x v="1"/>
    <x v="0"/>
    <x v="1"/>
    <x v="3"/>
    <x v="7"/>
    <x v="2"/>
    <x v="1"/>
  </r>
  <r>
    <x v="305"/>
    <x v="1"/>
    <x v="0"/>
    <n v="55.2"/>
    <n v="55.2"/>
    <x v="12"/>
    <x v="16"/>
    <x v="2"/>
    <x v="0"/>
    <x v="1"/>
    <x v="3"/>
    <x v="3"/>
    <x v="2"/>
    <x v="2"/>
  </r>
  <r>
    <x v="306"/>
    <x v="18"/>
    <x v="2"/>
    <n v="26"/>
    <n v="78"/>
    <x v="12"/>
    <x v="15"/>
    <x v="2"/>
    <x v="0"/>
    <x v="2"/>
    <x v="3"/>
    <x v="2"/>
    <x v="2"/>
    <x v="2"/>
  </r>
  <r>
    <x v="307"/>
    <x v="14"/>
    <x v="1"/>
    <n v="14.2"/>
    <n v="28.4"/>
    <x v="12"/>
    <x v="13"/>
    <x v="2"/>
    <x v="3"/>
    <x v="0"/>
    <x v="14"/>
    <x v="0"/>
    <x v="2"/>
    <x v="2"/>
  </r>
  <r>
    <x v="308"/>
    <x v="8"/>
    <x v="11"/>
    <n v="22.7"/>
    <n v="204.3"/>
    <x v="13"/>
    <x v="11"/>
    <x v="1"/>
    <x v="1"/>
    <x v="0"/>
    <x v="6"/>
    <x v="3"/>
    <x v="2"/>
    <x v="1"/>
  </r>
  <r>
    <x v="309"/>
    <x v="0"/>
    <x v="20"/>
    <n v="19.8"/>
    <n v="297"/>
    <x v="13"/>
    <x v="16"/>
    <x v="2"/>
    <x v="0"/>
    <x v="2"/>
    <x v="6"/>
    <x v="7"/>
    <x v="2"/>
    <x v="2"/>
  </r>
  <r>
    <x v="310"/>
    <x v="0"/>
    <x v="2"/>
    <n v="31.7"/>
    <n v="95.1"/>
    <x v="13"/>
    <x v="11"/>
    <x v="1"/>
    <x v="2"/>
    <x v="0"/>
    <x v="6"/>
    <x v="3"/>
    <x v="2"/>
    <x v="1"/>
  </r>
  <r>
    <x v="311"/>
    <x v="8"/>
    <x v="12"/>
    <n v="30.4"/>
    <n v="121.6"/>
    <x v="13"/>
    <x v="13"/>
    <x v="1"/>
    <x v="0"/>
    <x v="0"/>
    <x v="6"/>
    <x v="5"/>
    <x v="2"/>
    <x v="1"/>
  </r>
  <r>
    <x v="312"/>
    <x v="0"/>
    <x v="12"/>
    <n v="25.6"/>
    <n v="102.4"/>
    <x v="13"/>
    <x v="11"/>
    <x v="1"/>
    <x v="3"/>
    <x v="0"/>
    <x v="8"/>
    <x v="3"/>
    <x v="2"/>
    <x v="1"/>
  </r>
  <r>
    <x v="313"/>
    <x v="5"/>
    <x v="1"/>
    <n v="34.9"/>
    <n v="69.8"/>
    <x v="13"/>
    <x v="11"/>
    <x v="2"/>
    <x v="2"/>
    <x v="0"/>
    <x v="9"/>
    <x v="3"/>
    <x v="2"/>
    <x v="2"/>
  </r>
  <r>
    <x v="314"/>
    <x v="7"/>
    <x v="13"/>
    <n v="42.7"/>
    <n v="256.2"/>
    <x v="13"/>
    <x v="10"/>
    <x v="1"/>
    <x v="2"/>
    <x v="1"/>
    <x v="11"/>
    <x v="2"/>
    <x v="2"/>
    <x v="1"/>
  </r>
  <r>
    <x v="315"/>
    <x v="8"/>
    <x v="0"/>
    <n v="23.9"/>
    <n v="23.9"/>
    <x v="13"/>
    <x v="15"/>
    <x v="2"/>
    <x v="3"/>
    <x v="0"/>
    <x v="11"/>
    <x v="1"/>
    <x v="2"/>
    <x v="2"/>
  </r>
  <r>
    <x v="316"/>
    <x v="6"/>
    <x v="0"/>
    <n v="124.3"/>
    <n v="124.3"/>
    <x v="13"/>
    <x v="11"/>
    <x v="0"/>
    <x v="2"/>
    <x v="1"/>
    <x v="21"/>
    <x v="3"/>
    <x v="2"/>
    <x v="0"/>
  </r>
  <r>
    <x v="317"/>
    <x v="8"/>
    <x v="13"/>
    <n v="35.9"/>
    <n v="215.4"/>
    <x v="13"/>
    <x v="11"/>
    <x v="2"/>
    <x v="0"/>
    <x v="1"/>
    <x v="1"/>
    <x v="3"/>
    <x v="2"/>
    <x v="2"/>
  </r>
  <r>
    <x v="318"/>
    <x v="2"/>
    <x v="1"/>
    <n v="69.099999999999994"/>
    <n v="138.19999999999999"/>
    <x v="13"/>
    <x v="10"/>
    <x v="2"/>
    <x v="0"/>
    <x v="2"/>
    <x v="22"/>
    <x v="2"/>
    <x v="2"/>
    <x v="2"/>
  </r>
  <r>
    <x v="319"/>
    <x v="7"/>
    <x v="0"/>
    <n v="58.4"/>
    <n v="58.4"/>
    <x v="13"/>
    <x v="13"/>
    <x v="1"/>
    <x v="0"/>
    <x v="0"/>
    <x v="22"/>
    <x v="5"/>
    <x v="2"/>
    <x v="1"/>
  </r>
  <r>
    <x v="320"/>
    <x v="5"/>
    <x v="0"/>
    <n v="65.2"/>
    <n v="65.2"/>
    <x v="13"/>
    <x v="15"/>
    <x v="3"/>
    <x v="4"/>
    <x v="4"/>
    <x v="3"/>
    <x v="1"/>
    <x v="2"/>
    <x v="3"/>
  </r>
  <r>
    <x v="321"/>
    <x v="8"/>
    <x v="14"/>
    <n v="32.700000000000003"/>
    <n v="555.90000000000009"/>
    <x v="13"/>
    <x v="20"/>
    <x v="0"/>
    <x v="4"/>
    <x v="0"/>
    <x v="3"/>
    <x v="6"/>
    <x v="2"/>
    <x v="0"/>
  </r>
  <r>
    <x v="322"/>
    <x v="10"/>
    <x v="3"/>
    <n v="24.4"/>
    <n v="170.8"/>
    <x v="13"/>
    <x v="11"/>
    <x v="2"/>
    <x v="0"/>
    <x v="0"/>
    <x v="3"/>
    <x v="3"/>
    <x v="2"/>
    <x v="2"/>
  </r>
  <r>
    <x v="323"/>
    <x v="14"/>
    <x v="1"/>
    <n v="50.4"/>
    <n v="100.8"/>
    <x v="13"/>
    <x v="21"/>
    <x v="1"/>
    <x v="0"/>
    <x v="1"/>
    <x v="3"/>
    <x v="4"/>
    <x v="2"/>
    <x v="1"/>
  </r>
  <r>
    <x v="324"/>
    <x v="1"/>
    <x v="1"/>
    <n v="100"/>
    <n v="200"/>
    <x v="13"/>
    <x v="11"/>
    <x v="2"/>
    <x v="0"/>
    <x v="0"/>
    <x v="3"/>
    <x v="3"/>
    <x v="2"/>
    <x v="2"/>
  </r>
  <r>
    <x v="325"/>
    <x v="10"/>
    <x v="2"/>
    <n v="43"/>
    <n v="129"/>
    <x v="14"/>
    <x v="11"/>
    <x v="2"/>
    <x v="2"/>
    <x v="1"/>
    <x v="3"/>
    <x v="7"/>
    <x v="2"/>
    <x v="2"/>
  </r>
  <r>
    <x v="326"/>
    <x v="1"/>
    <x v="9"/>
    <n v="64.400000000000006"/>
    <n v="322"/>
    <x v="14"/>
    <x v="10"/>
    <x v="1"/>
    <x v="2"/>
    <x v="1"/>
    <x v="3"/>
    <x v="1"/>
    <x v="2"/>
    <x v="1"/>
  </r>
  <r>
    <x v="327"/>
    <x v="18"/>
    <x v="1"/>
    <n v="57.4"/>
    <n v="114.8"/>
    <x v="14"/>
    <x v="15"/>
    <x v="1"/>
    <x v="2"/>
    <x v="1"/>
    <x v="3"/>
    <x v="3"/>
    <x v="2"/>
    <x v="1"/>
  </r>
  <r>
    <x v="328"/>
    <x v="2"/>
    <x v="2"/>
    <n v="55.1"/>
    <n v="165.3"/>
    <x v="14"/>
    <x v="13"/>
    <x v="2"/>
    <x v="1"/>
    <x v="0"/>
    <x v="3"/>
    <x v="2"/>
    <x v="2"/>
    <x v="2"/>
  </r>
  <r>
    <x v="329"/>
    <x v="7"/>
    <x v="12"/>
    <n v="45.4"/>
    <n v="181.6"/>
    <x v="14"/>
    <x v="15"/>
    <x v="2"/>
    <x v="1"/>
    <x v="0"/>
    <x v="3"/>
    <x v="3"/>
    <x v="2"/>
    <x v="2"/>
  </r>
  <r>
    <x v="330"/>
    <x v="3"/>
    <x v="2"/>
    <n v="93.3"/>
    <n v="279.89999999999998"/>
    <x v="14"/>
    <x v="15"/>
    <x v="2"/>
    <x v="0"/>
    <x v="0"/>
    <x v="15"/>
    <x v="3"/>
    <x v="2"/>
    <x v="2"/>
  </r>
  <r>
    <x v="331"/>
    <x v="2"/>
    <x v="10"/>
    <n v="158.19999999999999"/>
    <n v="3005.8"/>
    <x v="14"/>
    <x v="15"/>
    <x v="2"/>
    <x v="1"/>
    <x v="2"/>
    <x v="16"/>
    <x v="3"/>
    <x v="2"/>
    <x v="2"/>
  </r>
  <r>
    <x v="332"/>
    <x v="2"/>
    <x v="1"/>
    <n v="74.900000000000006"/>
    <n v="149.80000000000001"/>
    <x v="14"/>
    <x v="10"/>
    <x v="1"/>
    <x v="3"/>
    <x v="0"/>
    <x v="6"/>
    <x v="1"/>
    <x v="2"/>
    <x v="1"/>
  </r>
  <r>
    <x v="333"/>
    <x v="8"/>
    <x v="3"/>
    <n v="26"/>
    <n v="182"/>
    <x v="14"/>
    <x v="13"/>
    <x v="2"/>
    <x v="1"/>
    <x v="0"/>
    <x v="8"/>
    <x v="2"/>
    <x v="2"/>
    <x v="2"/>
  </r>
  <r>
    <x v="334"/>
    <x v="9"/>
    <x v="13"/>
    <n v="37.5"/>
    <n v="225"/>
    <x v="14"/>
    <x v="15"/>
    <x v="2"/>
    <x v="0"/>
    <x v="1"/>
    <x v="8"/>
    <x v="3"/>
    <x v="2"/>
    <x v="2"/>
  </r>
  <r>
    <x v="335"/>
    <x v="6"/>
    <x v="1"/>
    <n v="75.8"/>
    <n v="151.6"/>
    <x v="14"/>
    <x v="20"/>
    <x v="1"/>
    <x v="0"/>
    <x v="0"/>
    <x v="8"/>
    <x v="4"/>
    <x v="2"/>
    <x v="1"/>
  </r>
  <r>
    <x v="336"/>
    <x v="7"/>
    <x v="0"/>
    <n v="48.5"/>
    <n v="48.5"/>
    <x v="14"/>
    <x v="22"/>
    <x v="0"/>
    <x v="4"/>
    <x v="2"/>
    <x v="8"/>
    <x v="13"/>
    <x v="2"/>
    <x v="0"/>
  </r>
  <r>
    <x v="337"/>
    <x v="6"/>
    <x v="2"/>
    <n v="98.9"/>
    <n v="296.7"/>
    <x v="14"/>
    <x v="10"/>
    <x v="2"/>
    <x v="4"/>
    <x v="1"/>
    <x v="8"/>
    <x v="1"/>
    <x v="2"/>
    <x v="2"/>
  </r>
  <r>
    <x v="338"/>
    <x v="1"/>
    <x v="4"/>
    <n v="50.9"/>
    <n v="610.79999999999995"/>
    <x v="14"/>
    <x v="11"/>
    <x v="1"/>
    <x v="4"/>
    <x v="0"/>
    <x v="8"/>
    <x v="7"/>
    <x v="2"/>
    <x v="1"/>
  </r>
  <r>
    <x v="339"/>
    <x v="12"/>
    <x v="13"/>
    <n v="84.7"/>
    <n v="508.2"/>
    <x v="14"/>
    <x v="11"/>
    <x v="2"/>
    <x v="2"/>
    <x v="0"/>
    <x v="8"/>
    <x v="7"/>
    <x v="2"/>
    <x v="2"/>
  </r>
  <r>
    <x v="340"/>
    <x v="8"/>
    <x v="0"/>
    <n v="20.7"/>
    <n v="20.7"/>
    <x v="14"/>
    <x v="10"/>
    <x v="2"/>
    <x v="3"/>
    <x v="2"/>
    <x v="8"/>
    <x v="1"/>
    <x v="2"/>
    <x v="2"/>
  </r>
  <r>
    <x v="341"/>
    <x v="12"/>
    <x v="11"/>
    <n v="57.8"/>
    <n v="520.19999999999993"/>
    <x v="14"/>
    <x v="19"/>
    <x v="1"/>
    <x v="0"/>
    <x v="4"/>
    <x v="17"/>
    <x v="11"/>
    <x v="2"/>
    <x v="1"/>
  </r>
  <r>
    <x v="342"/>
    <x v="2"/>
    <x v="1"/>
    <n v="106.9"/>
    <n v="213.8"/>
    <x v="14"/>
    <x v="10"/>
    <x v="2"/>
    <x v="0"/>
    <x v="2"/>
    <x v="16"/>
    <x v="1"/>
    <x v="2"/>
    <x v="2"/>
  </r>
  <r>
    <x v="343"/>
    <x v="3"/>
    <x v="9"/>
    <n v="45.2"/>
    <n v="226"/>
    <x v="14"/>
    <x v="18"/>
    <x v="2"/>
    <x v="1"/>
    <x v="0"/>
    <x v="21"/>
    <x v="5"/>
    <x v="2"/>
    <x v="2"/>
  </r>
  <r>
    <x v="344"/>
    <x v="8"/>
    <x v="15"/>
    <n v="34.6"/>
    <n v="449.8"/>
    <x v="14"/>
    <x v="11"/>
    <x v="2"/>
    <x v="1"/>
    <x v="1"/>
    <x v="21"/>
    <x v="7"/>
    <x v="2"/>
    <x v="2"/>
  </r>
  <r>
    <x v="345"/>
    <x v="15"/>
    <x v="0"/>
    <n v="43.8"/>
    <n v="43.8"/>
    <x v="14"/>
    <x v="10"/>
    <x v="0"/>
    <x v="0"/>
    <x v="2"/>
    <x v="21"/>
    <x v="1"/>
    <x v="2"/>
    <x v="0"/>
  </r>
  <r>
    <x v="346"/>
    <x v="15"/>
    <x v="0"/>
    <n v="20.399999999999999"/>
    <n v="20.399999999999999"/>
    <x v="14"/>
    <x v="10"/>
    <x v="1"/>
    <x v="4"/>
    <x v="1"/>
    <x v="21"/>
    <x v="1"/>
    <x v="2"/>
    <x v="1"/>
  </r>
  <r>
    <x v="347"/>
    <x v="1"/>
    <x v="0"/>
    <n v="36.700000000000003"/>
    <n v="36.700000000000003"/>
    <x v="14"/>
    <x v="15"/>
    <x v="1"/>
    <x v="0"/>
    <x v="1"/>
    <x v="1"/>
    <x v="3"/>
    <x v="2"/>
    <x v="1"/>
  </r>
  <r>
    <x v="348"/>
    <x v="8"/>
    <x v="2"/>
    <n v="27.2"/>
    <n v="81.599999999999994"/>
    <x v="14"/>
    <x v="18"/>
    <x v="1"/>
    <x v="0"/>
    <x v="2"/>
    <x v="1"/>
    <x v="5"/>
    <x v="2"/>
    <x v="1"/>
  </r>
  <r>
    <x v="349"/>
    <x v="6"/>
    <x v="0"/>
    <n v="58.2"/>
    <n v="58.2"/>
    <x v="14"/>
    <x v="15"/>
    <x v="2"/>
    <x v="0"/>
    <x v="2"/>
    <x v="18"/>
    <x v="3"/>
    <x v="2"/>
    <x v="2"/>
  </r>
  <r>
    <x v="350"/>
    <x v="8"/>
    <x v="2"/>
    <n v="25.6"/>
    <n v="76.800000000000011"/>
    <x v="14"/>
    <x v="15"/>
    <x v="1"/>
    <x v="4"/>
    <x v="4"/>
    <x v="2"/>
    <x v="3"/>
    <x v="2"/>
    <x v="1"/>
  </r>
  <r>
    <x v="351"/>
    <x v="10"/>
    <x v="0"/>
    <n v="21.2"/>
    <n v="21.2"/>
    <x v="14"/>
    <x v="11"/>
    <x v="2"/>
    <x v="1"/>
    <x v="2"/>
    <x v="3"/>
    <x v="7"/>
    <x v="2"/>
    <x v="2"/>
  </r>
  <r>
    <x v="352"/>
    <x v="6"/>
    <x v="1"/>
    <n v="48.2"/>
    <n v="96.4"/>
    <x v="14"/>
    <x v="23"/>
    <x v="2"/>
    <x v="0"/>
    <x v="2"/>
    <x v="3"/>
    <x v="9"/>
    <x v="2"/>
    <x v="2"/>
  </r>
  <r>
    <x v="353"/>
    <x v="1"/>
    <x v="12"/>
    <n v="83.4"/>
    <n v="333.6"/>
    <x v="15"/>
    <x v="10"/>
    <x v="1"/>
    <x v="0"/>
    <x v="0"/>
    <x v="3"/>
    <x v="3"/>
    <x v="2"/>
    <x v="1"/>
  </r>
  <r>
    <x v="354"/>
    <x v="9"/>
    <x v="2"/>
    <n v="45.3"/>
    <n v="135.9"/>
    <x v="15"/>
    <x v="24"/>
    <x v="1"/>
    <x v="2"/>
    <x v="1"/>
    <x v="3"/>
    <x v="4"/>
    <x v="2"/>
    <x v="1"/>
  </r>
  <r>
    <x v="355"/>
    <x v="17"/>
    <x v="0"/>
    <n v="42"/>
    <n v="42"/>
    <x v="15"/>
    <x v="10"/>
    <x v="0"/>
    <x v="0"/>
    <x v="0"/>
    <x v="3"/>
    <x v="3"/>
    <x v="2"/>
    <x v="0"/>
  </r>
  <r>
    <x v="356"/>
    <x v="0"/>
    <x v="11"/>
    <n v="21.8"/>
    <n v="196.2"/>
    <x v="15"/>
    <x v="13"/>
    <x v="2"/>
    <x v="1"/>
    <x v="0"/>
    <x v="3"/>
    <x v="1"/>
    <x v="2"/>
    <x v="2"/>
  </r>
  <r>
    <x v="357"/>
    <x v="8"/>
    <x v="16"/>
    <n v="21.4"/>
    <n v="385.2"/>
    <x v="15"/>
    <x v="18"/>
    <x v="2"/>
    <x v="1"/>
    <x v="2"/>
    <x v="3"/>
    <x v="2"/>
    <x v="2"/>
    <x v="2"/>
  </r>
  <r>
    <x v="358"/>
    <x v="10"/>
    <x v="2"/>
    <n v="45"/>
    <n v="135"/>
    <x v="15"/>
    <x v="15"/>
    <x v="2"/>
    <x v="1"/>
    <x v="2"/>
    <x v="3"/>
    <x v="7"/>
    <x v="2"/>
    <x v="2"/>
  </r>
  <r>
    <x v="359"/>
    <x v="14"/>
    <x v="0"/>
    <n v="39.6"/>
    <n v="39.6"/>
    <x v="15"/>
    <x v="10"/>
    <x v="1"/>
    <x v="0"/>
    <x v="2"/>
    <x v="3"/>
    <x v="3"/>
    <x v="2"/>
    <x v="1"/>
  </r>
  <r>
    <x v="360"/>
    <x v="12"/>
    <x v="2"/>
    <n v="79.8"/>
    <n v="239.4"/>
    <x v="15"/>
    <x v="24"/>
    <x v="2"/>
    <x v="1"/>
    <x v="4"/>
    <x v="3"/>
    <x v="4"/>
    <x v="2"/>
    <x v="2"/>
  </r>
  <r>
    <x v="361"/>
    <x v="1"/>
    <x v="12"/>
    <n v="63.6"/>
    <n v="254.4"/>
    <x v="15"/>
    <x v="10"/>
    <x v="3"/>
    <x v="0"/>
    <x v="2"/>
    <x v="24"/>
    <x v="3"/>
    <x v="2"/>
    <x v="3"/>
  </r>
  <r>
    <x v="362"/>
    <x v="7"/>
    <x v="7"/>
    <n v="92.7"/>
    <n v="927"/>
    <x v="15"/>
    <x v="21"/>
    <x v="1"/>
    <x v="1"/>
    <x v="2"/>
    <x v="6"/>
    <x v="5"/>
    <x v="2"/>
    <x v="1"/>
  </r>
  <r>
    <x v="363"/>
    <x v="1"/>
    <x v="12"/>
    <n v="48.4"/>
    <n v="193.6"/>
    <x v="15"/>
    <x v="13"/>
    <x v="2"/>
    <x v="1"/>
    <x v="2"/>
    <x v="6"/>
    <x v="1"/>
    <x v="2"/>
    <x v="2"/>
  </r>
  <r>
    <x v="364"/>
    <x v="9"/>
    <x v="8"/>
    <n v="36"/>
    <n v="288"/>
    <x v="15"/>
    <x v="18"/>
    <x v="1"/>
    <x v="2"/>
    <x v="2"/>
    <x v="8"/>
    <x v="2"/>
    <x v="2"/>
    <x v="1"/>
  </r>
  <r>
    <x v="365"/>
    <x v="8"/>
    <x v="4"/>
    <n v="27"/>
    <n v="324"/>
    <x v="15"/>
    <x v="13"/>
    <x v="2"/>
    <x v="2"/>
    <x v="1"/>
    <x v="8"/>
    <x v="1"/>
    <x v="2"/>
    <x v="2"/>
  </r>
  <r>
    <x v="366"/>
    <x v="2"/>
    <x v="8"/>
    <n v="53.9"/>
    <n v="431.2"/>
    <x v="15"/>
    <x v="10"/>
    <x v="0"/>
    <x v="0"/>
    <x v="0"/>
    <x v="8"/>
    <x v="3"/>
    <x v="2"/>
    <x v="0"/>
  </r>
  <r>
    <x v="367"/>
    <x v="3"/>
    <x v="11"/>
    <n v="48.4"/>
    <n v="435.6"/>
    <x v="15"/>
    <x v="10"/>
    <x v="2"/>
    <x v="1"/>
    <x v="0"/>
    <x v="9"/>
    <x v="3"/>
    <x v="2"/>
    <x v="2"/>
  </r>
  <r>
    <x v="368"/>
    <x v="17"/>
    <x v="1"/>
    <n v="49.9"/>
    <n v="99.8"/>
    <x v="15"/>
    <x v="20"/>
    <x v="1"/>
    <x v="4"/>
    <x v="4"/>
    <x v="10"/>
    <x v="0"/>
    <x v="2"/>
    <x v="1"/>
  </r>
  <r>
    <x v="369"/>
    <x v="1"/>
    <x v="2"/>
    <n v="51.7"/>
    <n v="155.1"/>
    <x v="15"/>
    <x v="10"/>
    <x v="2"/>
    <x v="0"/>
    <x v="2"/>
    <x v="11"/>
    <x v="3"/>
    <x v="2"/>
    <x v="2"/>
  </r>
  <r>
    <x v="370"/>
    <x v="8"/>
    <x v="2"/>
    <n v="41.8"/>
    <n v="125.4"/>
    <x v="15"/>
    <x v="13"/>
    <x v="2"/>
    <x v="2"/>
    <x v="0"/>
    <x v="18"/>
    <x v="1"/>
    <x v="2"/>
    <x v="2"/>
  </r>
  <r>
    <x v="371"/>
    <x v="4"/>
    <x v="12"/>
    <n v="36.200000000000003"/>
    <n v="144.80000000000001"/>
    <x v="16"/>
    <x v="13"/>
    <x v="1"/>
    <x v="2"/>
    <x v="2"/>
    <x v="21"/>
    <x v="3"/>
    <x v="2"/>
    <x v="1"/>
  </r>
  <r>
    <x v="372"/>
    <x v="2"/>
    <x v="0"/>
    <n v="150.9"/>
    <n v="150.9"/>
    <x v="16"/>
    <x v="22"/>
    <x v="1"/>
    <x v="0"/>
    <x v="0"/>
    <x v="1"/>
    <x v="14"/>
    <x v="2"/>
    <x v="1"/>
  </r>
  <r>
    <x v="373"/>
    <x v="18"/>
    <x v="12"/>
    <n v="77.599999999999994"/>
    <n v="310.39999999999998"/>
    <x v="16"/>
    <x v="13"/>
    <x v="0"/>
    <x v="2"/>
    <x v="0"/>
    <x v="3"/>
    <x v="3"/>
    <x v="2"/>
    <x v="0"/>
  </r>
  <r>
    <x v="374"/>
    <x v="13"/>
    <x v="9"/>
    <n v="65.5"/>
    <n v="327.5"/>
    <x v="16"/>
    <x v="10"/>
    <x v="1"/>
    <x v="1"/>
    <x v="0"/>
    <x v="3"/>
    <x v="7"/>
    <x v="2"/>
    <x v="1"/>
  </r>
  <r>
    <x v="375"/>
    <x v="6"/>
    <x v="2"/>
    <n v="90.1"/>
    <n v="270.3"/>
    <x v="16"/>
    <x v="18"/>
    <x v="2"/>
    <x v="0"/>
    <x v="0"/>
    <x v="3"/>
    <x v="1"/>
    <x v="2"/>
    <x v="2"/>
  </r>
  <r>
    <x v="376"/>
    <x v="1"/>
    <x v="1"/>
    <n v="108.3"/>
    <n v="216.6"/>
    <x v="16"/>
    <x v="21"/>
    <x v="3"/>
    <x v="4"/>
    <x v="0"/>
    <x v="3"/>
    <x v="2"/>
    <x v="2"/>
    <x v="3"/>
  </r>
  <r>
    <x v="377"/>
    <x v="5"/>
    <x v="2"/>
    <n v="59.9"/>
    <n v="179.7"/>
    <x v="16"/>
    <x v="20"/>
    <x v="2"/>
    <x v="0"/>
    <x v="0"/>
    <x v="3"/>
    <x v="5"/>
    <x v="2"/>
    <x v="2"/>
  </r>
  <r>
    <x v="378"/>
    <x v="2"/>
    <x v="14"/>
    <n v="139"/>
    <n v="2363"/>
    <x v="16"/>
    <x v="18"/>
    <x v="2"/>
    <x v="1"/>
    <x v="4"/>
    <x v="3"/>
    <x v="1"/>
    <x v="2"/>
    <x v="2"/>
  </r>
  <r>
    <x v="379"/>
    <x v="6"/>
    <x v="2"/>
    <n v="87.3"/>
    <n v="261.89999999999998"/>
    <x v="16"/>
    <x v="13"/>
    <x v="2"/>
    <x v="0"/>
    <x v="0"/>
    <x v="3"/>
    <x v="3"/>
    <x v="2"/>
    <x v="2"/>
  </r>
  <r>
    <x v="380"/>
    <x v="11"/>
    <x v="12"/>
    <n v="42.3"/>
    <n v="169.2"/>
    <x v="16"/>
    <x v="10"/>
    <x v="1"/>
    <x v="0"/>
    <x v="0"/>
    <x v="3"/>
    <x v="7"/>
    <x v="2"/>
    <x v="1"/>
  </r>
  <r>
    <x v="381"/>
    <x v="14"/>
    <x v="8"/>
    <n v="103.6"/>
    <n v="828.8"/>
    <x v="16"/>
    <x v="13"/>
    <x v="3"/>
    <x v="0"/>
    <x v="1"/>
    <x v="3"/>
    <x v="3"/>
    <x v="2"/>
    <x v="3"/>
  </r>
  <r>
    <x v="382"/>
    <x v="6"/>
    <x v="1"/>
    <n v="90.9"/>
    <n v="181.8"/>
    <x v="16"/>
    <x v="13"/>
    <x v="1"/>
    <x v="1"/>
    <x v="0"/>
    <x v="6"/>
    <x v="3"/>
    <x v="2"/>
    <x v="1"/>
  </r>
  <r>
    <x v="383"/>
    <x v="9"/>
    <x v="27"/>
    <n v="100.9"/>
    <n v="1614.4"/>
    <x v="16"/>
    <x v="13"/>
    <x v="2"/>
    <x v="1"/>
    <x v="0"/>
    <x v="6"/>
    <x v="3"/>
    <x v="2"/>
    <x v="2"/>
  </r>
  <r>
    <x v="384"/>
    <x v="4"/>
    <x v="9"/>
    <n v="36"/>
    <n v="180"/>
    <x v="16"/>
    <x v="18"/>
    <x v="2"/>
    <x v="1"/>
    <x v="0"/>
    <x v="7"/>
    <x v="1"/>
    <x v="2"/>
    <x v="2"/>
  </r>
  <r>
    <x v="385"/>
    <x v="6"/>
    <x v="13"/>
    <n v="83.3"/>
    <n v="499.8"/>
    <x v="16"/>
    <x v="21"/>
    <x v="0"/>
    <x v="2"/>
    <x v="0"/>
    <x v="7"/>
    <x v="2"/>
    <x v="2"/>
    <x v="0"/>
  </r>
  <r>
    <x v="386"/>
    <x v="2"/>
    <x v="14"/>
    <n v="60.3"/>
    <n v="1025.0999999999999"/>
    <x v="16"/>
    <x v="13"/>
    <x v="1"/>
    <x v="2"/>
    <x v="1"/>
    <x v="7"/>
    <x v="3"/>
    <x v="2"/>
    <x v="1"/>
  </r>
  <r>
    <x v="387"/>
    <x v="2"/>
    <x v="13"/>
    <n v="120.3"/>
    <n v="721.8"/>
    <x v="16"/>
    <x v="13"/>
    <x v="1"/>
    <x v="2"/>
    <x v="0"/>
    <x v="8"/>
    <x v="3"/>
    <x v="2"/>
    <x v="1"/>
  </r>
  <r>
    <x v="388"/>
    <x v="4"/>
    <x v="7"/>
    <n v="34"/>
    <n v="340"/>
    <x v="16"/>
    <x v="20"/>
    <x v="2"/>
    <x v="2"/>
    <x v="0"/>
    <x v="8"/>
    <x v="5"/>
    <x v="2"/>
    <x v="2"/>
  </r>
  <r>
    <x v="389"/>
    <x v="10"/>
    <x v="9"/>
    <n v="42.6"/>
    <n v="213"/>
    <x v="16"/>
    <x v="21"/>
    <x v="1"/>
    <x v="1"/>
    <x v="0"/>
    <x v="8"/>
    <x v="2"/>
    <x v="2"/>
    <x v="1"/>
  </r>
  <r>
    <x v="390"/>
    <x v="5"/>
    <x v="28"/>
    <n v="47.4"/>
    <n v="948"/>
    <x v="16"/>
    <x v="10"/>
    <x v="2"/>
    <x v="2"/>
    <x v="1"/>
    <x v="17"/>
    <x v="7"/>
    <x v="2"/>
    <x v="2"/>
  </r>
  <r>
    <x v="391"/>
    <x v="2"/>
    <x v="0"/>
    <n v="74"/>
    <n v="74"/>
    <x v="17"/>
    <x v="18"/>
    <x v="1"/>
    <x v="1"/>
    <x v="0"/>
    <x v="11"/>
    <x v="3"/>
    <x v="2"/>
    <x v="1"/>
  </r>
  <r>
    <x v="392"/>
    <x v="2"/>
    <x v="9"/>
    <n v="60.4"/>
    <n v="302"/>
    <x v="17"/>
    <x v="20"/>
    <x v="2"/>
    <x v="1"/>
    <x v="4"/>
    <x v="18"/>
    <x v="2"/>
    <x v="2"/>
    <x v="2"/>
  </r>
  <r>
    <x v="393"/>
    <x v="12"/>
    <x v="1"/>
    <n v="69.3"/>
    <n v="138.6"/>
    <x v="17"/>
    <x v="20"/>
    <x v="1"/>
    <x v="1"/>
    <x v="1"/>
    <x v="13"/>
    <x v="2"/>
    <x v="2"/>
    <x v="1"/>
  </r>
  <r>
    <x v="394"/>
    <x v="5"/>
    <x v="9"/>
    <n v="81"/>
    <n v="405"/>
    <x v="17"/>
    <x v="25"/>
    <x v="1"/>
    <x v="3"/>
    <x v="0"/>
    <x v="21"/>
    <x v="4"/>
    <x v="2"/>
    <x v="1"/>
  </r>
  <r>
    <x v="395"/>
    <x v="15"/>
    <x v="2"/>
    <n v="41.5"/>
    <n v="124.5"/>
    <x v="17"/>
    <x v="21"/>
    <x v="3"/>
    <x v="1"/>
    <x v="0"/>
    <x v="21"/>
    <x v="1"/>
    <x v="2"/>
    <x v="3"/>
  </r>
  <r>
    <x v="396"/>
    <x v="18"/>
    <x v="1"/>
    <n v="69.7"/>
    <n v="139.4"/>
    <x v="17"/>
    <x v="23"/>
    <x v="1"/>
    <x v="1"/>
    <x v="0"/>
    <x v="21"/>
    <x v="0"/>
    <x v="2"/>
    <x v="1"/>
  </r>
  <r>
    <x v="397"/>
    <x v="2"/>
    <x v="9"/>
    <n v="83.6"/>
    <n v="418"/>
    <x v="17"/>
    <x v="13"/>
    <x v="2"/>
    <x v="4"/>
    <x v="0"/>
    <x v="1"/>
    <x v="7"/>
    <x v="2"/>
    <x v="2"/>
  </r>
  <r>
    <x v="398"/>
    <x v="8"/>
    <x v="3"/>
    <n v="21.5"/>
    <n v="150.5"/>
    <x v="17"/>
    <x v="21"/>
    <x v="1"/>
    <x v="1"/>
    <x v="4"/>
    <x v="0"/>
    <x v="1"/>
    <x v="2"/>
    <x v="1"/>
  </r>
  <r>
    <x v="399"/>
    <x v="8"/>
    <x v="8"/>
    <n v="28.6"/>
    <n v="228.8"/>
    <x v="17"/>
    <x v="18"/>
    <x v="1"/>
    <x v="0"/>
    <x v="0"/>
    <x v="3"/>
    <x v="3"/>
    <x v="2"/>
    <x v="1"/>
  </r>
  <r>
    <x v="400"/>
    <x v="8"/>
    <x v="13"/>
    <n v="18.8"/>
    <n v="112.8"/>
    <x v="17"/>
    <x v="20"/>
    <x v="1"/>
    <x v="3"/>
    <x v="2"/>
    <x v="3"/>
    <x v="2"/>
    <x v="2"/>
    <x v="1"/>
  </r>
  <r>
    <x v="401"/>
    <x v="10"/>
    <x v="12"/>
    <n v="35.1"/>
    <n v="140.4"/>
    <x v="17"/>
    <x v="13"/>
    <x v="2"/>
    <x v="1"/>
    <x v="1"/>
    <x v="3"/>
    <x v="7"/>
    <x v="2"/>
    <x v="2"/>
  </r>
  <r>
    <x v="402"/>
    <x v="0"/>
    <x v="1"/>
    <n v="12.7"/>
    <n v="25.4"/>
    <x v="17"/>
    <x v="21"/>
    <x v="2"/>
    <x v="1"/>
    <x v="2"/>
    <x v="3"/>
    <x v="1"/>
    <x v="2"/>
    <x v="2"/>
  </r>
  <r>
    <x v="403"/>
    <x v="8"/>
    <x v="9"/>
    <n v="27.4"/>
    <n v="137"/>
    <x v="17"/>
    <x v="21"/>
    <x v="3"/>
    <x v="0"/>
    <x v="0"/>
    <x v="3"/>
    <x v="1"/>
    <x v="2"/>
    <x v="3"/>
  </r>
  <r>
    <x v="404"/>
    <x v="10"/>
    <x v="1"/>
    <n v="61.3"/>
    <n v="122.6"/>
    <x v="17"/>
    <x v="18"/>
    <x v="2"/>
    <x v="1"/>
    <x v="0"/>
    <x v="6"/>
    <x v="3"/>
    <x v="2"/>
    <x v="2"/>
  </r>
  <r>
    <x v="405"/>
    <x v="8"/>
    <x v="1"/>
    <n v="64.7"/>
    <n v="129.4"/>
    <x v="17"/>
    <x v="21"/>
    <x v="2"/>
    <x v="3"/>
    <x v="2"/>
    <x v="6"/>
    <x v="1"/>
    <x v="2"/>
    <x v="2"/>
  </r>
  <r>
    <x v="406"/>
    <x v="7"/>
    <x v="12"/>
    <n v="91.4"/>
    <n v="365.6"/>
    <x v="17"/>
    <x v="21"/>
    <x v="2"/>
    <x v="0"/>
    <x v="0"/>
    <x v="8"/>
    <x v="1"/>
    <x v="2"/>
    <x v="2"/>
  </r>
  <r>
    <x v="407"/>
    <x v="0"/>
    <x v="1"/>
    <n v="33.1"/>
    <n v="66.2"/>
    <x v="18"/>
    <x v="21"/>
    <x v="1"/>
    <x v="0"/>
    <x v="2"/>
    <x v="8"/>
    <x v="3"/>
    <x v="3"/>
    <x v="1"/>
  </r>
  <r>
    <x v="408"/>
    <x v="3"/>
    <x v="1"/>
    <n v="105.6"/>
    <n v="211.2"/>
    <x v="18"/>
    <x v="21"/>
    <x v="1"/>
    <x v="2"/>
    <x v="1"/>
    <x v="8"/>
    <x v="3"/>
    <x v="3"/>
    <x v="1"/>
  </r>
  <r>
    <x v="409"/>
    <x v="10"/>
    <x v="2"/>
    <n v="46.4"/>
    <n v="139.19999999999999"/>
    <x v="18"/>
    <x v="21"/>
    <x v="1"/>
    <x v="2"/>
    <x v="0"/>
    <x v="9"/>
    <x v="3"/>
    <x v="3"/>
    <x v="1"/>
  </r>
  <r>
    <x v="410"/>
    <x v="9"/>
    <x v="21"/>
    <n v="35.299999999999997"/>
    <n v="494.19999999999987"/>
    <x v="18"/>
    <x v="24"/>
    <x v="2"/>
    <x v="4"/>
    <x v="1"/>
    <x v="11"/>
    <x v="2"/>
    <x v="3"/>
    <x v="2"/>
  </r>
  <r>
    <x v="411"/>
    <x v="0"/>
    <x v="1"/>
    <n v="16.100000000000001"/>
    <n v="32.200000000000003"/>
    <x v="18"/>
    <x v="20"/>
    <x v="1"/>
    <x v="3"/>
    <x v="2"/>
    <x v="32"/>
    <x v="1"/>
    <x v="3"/>
    <x v="1"/>
  </r>
  <r>
    <x v="412"/>
    <x v="4"/>
    <x v="1"/>
    <n v="27.9"/>
    <n v="55.8"/>
    <x v="18"/>
    <x v="24"/>
    <x v="1"/>
    <x v="0"/>
    <x v="0"/>
    <x v="13"/>
    <x v="2"/>
    <x v="3"/>
    <x v="1"/>
  </r>
  <r>
    <x v="413"/>
    <x v="8"/>
    <x v="0"/>
    <n v="47.1"/>
    <n v="47.1"/>
    <x v="18"/>
    <x v="22"/>
    <x v="2"/>
    <x v="1"/>
    <x v="0"/>
    <x v="2"/>
    <x v="9"/>
    <x v="3"/>
    <x v="2"/>
  </r>
  <r>
    <x v="414"/>
    <x v="6"/>
    <x v="1"/>
    <n v="85"/>
    <n v="170"/>
    <x v="18"/>
    <x v="24"/>
    <x v="0"/>
    <x v="2"/>
    <x v="2"/>
    <x v="22"/>
    <x v="2"/>
    <x v="3"/>
    <x v="0"/>
  </r>
  <r>
    <x v="415"/>
    <x v="18"/>
    <x v="1"/>
    <n v="89"/>
    <n v="178"/>
    <x v="18"/>
    <x v="20"/>
    <x v="2"/>
    <x v="0"/>
    <x v="0"/>
    <x v="3"/>
    <x v="1"/>
    <x v="3"/>
    <x v="2"/>
  </r>
  <r>
    <x v="416"/>
    <x v="16"/>
    <x v="2"/>
    <n v="36.6"/>
    <n v="109.8"/>
    <x v="18"/>
    <x v="21"/>
    <x v="3"/>
    <x v="3"/>
    <x v="2"/>
    <x v="3"/>
    <x v="3"/>
    <x v="3"/>
    <x v="3"/>
  </r>
  <r>
    <x v="417"/>
    <x v="6"/>
    <x v="3"/>
    <n v="43.5"/>
    <n v="304.5"/>
    <x v="18"/>
    <x v="21"/>
    <x v="1"/>
    <x v="1"/>
    <x v="2"/>
    <x v="3"/>
    <x v="3"/>
    <x v="3"/>
    <x v="1"/>
  </r>
  <r>
    <x v="418"/>
    <x v="9"/>
    <x v="10"/>
    <n v="30.5"/>
    <n v="579.5"/>
    <x v="18"/>
    <x v="18"/>
    <x v="2"/>
    <x v="3"/>
    <x v="0"/>
    <x v="3"/>
    <x v="7"/>
    <x v="3"/>
    <x v="2"/>
  </r>
  <r>
    <x v="419"/>
    <x v="1"/>
    <x v="1"/>
    <n v="107.7"/>
    <n v="215.4"/>
    <x v="18"/>
    <x v="23"/>
    <x v="1"/>
    <x v="3"/>
    <x v="4"/>
    <x v="3"/>
    <x v="5"/>
    <x v="3"/>
    <x v="1"/>
  </r>
  <r>
    <x v="420"/>
    <x v="17"/>
    <x v="18"/>
    <n v="57.1"/>
    <n v="1484.6"/>
    <x v="18"/>
    <x v="21"/>
    <x v="1"/>
    <x v="1"/>
    <x v="0"/>
    <x v="3"/>
    <x v="3"/>
    <x v="3"/>
    <x v="1"/>
  </r>
  <r>
    <x v="421"/>
    <x v="2"/>
    <x v="7"/>
    <n v="111.7"/>
    <n v="1117"/>
    <x v="18"/>
    <x v="21"/>
    <x v="2"/>
    <x v="4"/>
    <x v="2"/>
    <x v="3"/>
    <x v="3"/>
    <x v="3"/>
    <x v="2"/>
  </r>
  <r>
    <x v="422"/>
    <x v="18"/>
    <x v="3"/>
    <n v="44.3"/>
    <n v="310.10000000000002"/>
    <x v="18"/>
    <x v="24"/>
    <x v="1"/>
    <x v="3"/>
    <x v="2"/>
    <x v="3"/>
    <x v="2"/>
    <x v="3"/>
    <x v="1"/>
  </r>
  <r>
    <x v="423"/>
    <x v="2"/>
    <x v="8"/>
    <n v="95.8"/>
    <n v="766.4"/>
    <x v="18"/>
    <x v="17"/>
    <x v="3"/>
    <x v="0"/>
    <x v="0"/>
    <x v="3"/>
    <x v="4"/>
    <x v="3"/>
    <x v="3"/>
  </r>
  <r>
    <x v="424"/>
    <x v="10"/>
    <x v="3"/>
    <n v="22.6"/>
    <n v="158.19999999999999"/>
    <x v="18"/>
    <x v="24"/>
    <x v="2"/>
    <x v="3"/>
    <x v="1"/>
    <x v="3"/>
    <x v="2"/>
    <x v="3"/>
    <x v="2"/>
  </r>
  <r>
    <x v="425"/>
    <x v="8"/>
    <x v="8"/>
    <n v="25.6"/>
    <n v="204.8"/>
    <x v="18"/>
    <x v="20"/>
    <x v="2"/>
    <x v="4"/>
    <x v="0"/>
    <x v="3"/>
    <x v="1"/>
    <x v="3"/>
    <x v="2"/>
  </r>
  <r>
    <x v="426"/>
    <x v="6"/>
    <x v="27"/>
    <n v="54.3"/>
    <n v="868.8"/>
    <x v="18"/>
    <x v="24"/>
    <x v="2"/>
    <x v="4"/>
    <x v="0"/>
    <x v="3"/>
    <x v="2"/>
    <x v="3"/>
    <x v="2"/>
  </r>
  <r>
    <x v="427"/>
    <x v="18"/>
    <x v="15"/>
    <n v="51.3"/>
    <n v="666.9"/>
    <x v="18"/>
    <x v="20"/>
    <x v="1"/>
    <x v="0"/>
    <x v="2"/>
    <x v="3"/>
    <x v="1"/>
    <x v="3"/>
    <x v="1"/>
  </r>
  <r>
    <x v="428"/>
    <x v="0"/>
    <x v="8"/>
    <n v="25.6"/>
    <n v="204.8"/>
    <x v="18"/>
    <x v="21"/>
    <x v="2"/>
    <x v="1"/>
    <x v="1"/>
    <x v="3"/>
    <x v="3"/>
    <x v="3"/>
    <x v="2"/>
  </r>
  <r>
    <x v="429"/>
    <x v="0"/>
    <x v="1"/>
    <n v="15.6"/>
    <n v="31.2"/>
    <x v="18"/>
    <x v="21"/>
    <x v="2"/>
    <x v="2"/>
    <x v="2"/>
    <x v="3"/>
    <x v="3"/>
    <x v="3"/>
    <x v="2"/>
  </r>
  <r>
    <x v="430"/>
    <x v="8"/>
    <x v="2"/>
    <n v="30.3"/>
    <n v="90.9"/>
    <x v="18"/>
    <x v="23"/>
    <x v="2"/>
    <x v="0"/>
    <x v="1"/>
    <x v="3"/>
    <x v="5"/>
    <x v="3"/>
    <x v="2"/>
  </r>
  <r>
    <x v="431"/>
    <x v="12"/>
    <x v="1"/>
    <n v="30.3"/>
    <n v="60.6"/>
    <x v="18"/>
    <x v="25"/>
    <x v="2"/>
    <x v="0"/>
    <x v="2"/>
    <x v="10"/>
    <x v="0"/>
    <x v="3"/>
    <x v="2"/>
  </r>
  <r>
    <x v="432"/>
    <x v="10"/>
    <x v="2"/>
    <n v="53"/>
    <n v="159"/>
    <x v="18"/>
    <x v="19"/>
    <x v="2"/>
    <x v="2"/>
    <x v="0"/>
    <x v="24"/>
    <x v="6"/>
    <x v="3"/>
    <x v="2"/>
  </r>
  <r>
    <x v="433"/>
    <x v="5"/>
    <x v="16"/>
    <n v="59.9"/>
    <n v="1078.2"/>
    <x v="18"/>
    <x v="24"/>
    <x v="1"/>
    <x v="2"/>
    <x v="4"/>
    <x v="25"/>
    <x v="2"/>
    <x v="3"/>
    <x v="1"/>
  </r>
  <r>
    <x v="434"/>
    <x v="9"/>
    <x v="1"/>
    <n v="45.7"/>
    <n v="91.4"/>
    <x v="18"/>
    <x v="21"/>
    <x v="2"/>
    <x v="1"/>
    <x v="2"/>
    <x v="6"/>
    <x v="3"/>
    <x v="3"/>
    <x v="2"/>
  </r>
  <r>
    <x v="435"/>
    <x v="8"/>
    <x v="12"/>
    <n v="46.1"/>
    <n v="184.4"/>
    <x v="18"/>
    <x v="21"/>
    <x v="1"/>
    <x v="0"/>
    <x v="0"/>
    <x v="6"/>
    <x v="3"/>
    <x v="3"/>
    <x v="1"/>
  </r>
  <r>
    <x v="436"/>
    <x v="8"/>
    <x v="2"/>
    <n v="17.5"/>
    <n v="52.5"/>
    <x v="18"/>
    <x v="21"/>
    <x v="2"/>
    <x v="0"/>
    <x v="2"/>
    <x v="8"/>
    <x v="3"/>
    <x v="3"/>
    <x v="2"/>
  </r>
  <r>
    <x v="437"/>
    <x v="10"/>
    <x v="2"/>
    <n v="36.5"/>
    <n v="109.5"/>
    <x v="18"/>
    <x v="26"/>
    <x v="1"/>
    <x v="2"/>
    <x v="0"/>
    <x v="8"/>
    <x v="11"/>
    <x v="3"/>
    <x v="1"/>
  </r>
  <r>
    <x v="438"/>
    <x v="8"/>
    <x v="1"/>
    <n v="47.5"/>
    <n v="95"/>
    <x v="19"/>
    <x v="24"/>
    <x v="2"/>
    <x v="1"/>
    <x v="0"/>
    <x v="8"/>
    <x v="1"/>
    <x v="3"/>
    <x v="2"/>
  </r>
  <r>
    <x v="439"/>
    <x v="6"/>
    <x v="9"/>
    <n v="45.6"/>
    <n v="228"/>
    <x v="19"/>
    <x v="24"/>
    <x v="2"/>
    <x v="0"/>
    <x v="2"/>
    <x v="8"/>
    <x v="1"/>
    <x v="3"/>
    <x v="2"/>
  </r>
  <r>
    <x v="440"/>
    <x v="9"/>
    <x v="1"/>
    <n v="50.5"/>
    <n v="101"/>
    <x v="19"/>
    <x v="24"/>
    <x v="1"/>
    <x v="0"/>
    <x v="1"/>
    <x v="17"/>
    <x v="1"/>
    <x v="3"/>
    <x v="1"/>
  </r>
  <r>
    <x v="441"/>
    <x v="2"/>
    <x v="7"/>
    <n v="99.8"/>
    <n v="998"/>
    <x v="19"/>
    <x v="23"/>
    <x v="2"/>
    <x v="2"/>
    <x v="1"/>
    <x v="17"/>
    <x v="2"/>
    <x v="3"/>
    <x v="2"/>
  </r>
  <r>
    <x v="442"/>
    <x v="8"/>
    <x v="20"/>
    <n v="19.2"/>
    <n v="288"/>
    <x v="19"/>
    <x v="24"/>
    <x v="3"/>
    <x v="4"/>
    <x v="1"/>
    <x v="26"/>
    <x v="1"/>
    <x v="3"/>
    <x v="3"/>
  </r>
  <r>
    <x v="443"/>
    <x v="17"/>
    <x v="2"/>
    <n v="22.6"/>
    <n v="67.800000000000011"/>
    <x v="19"/>
    <x v="20"/>
    <x v="1"/>
    <x v="1"/>
    <x v="0"/>
    <x v="11"/>
    <x v="3"/>
    <x v="3"/>
    <x v="1"/>
  </r>
  <r>
    <x v="444"/>
    <x v="1"/>
    <x v="20"/>
    <n v="126.9"/>
    <n v="1903.5"/>
    <x v="19"/>
    <x v="24"/>
    <x v="2"/>
    <x v="0"/>
    <x v="2"/>
    <x v="11"/>
    <x v="1"/>
    <x v="3"/>
    <x v="2"/>
  </r>
  <r>
    <x v="445"/>
    <x v="2"/>
    <x v="1"/>
    <n v="100.3"/>
    <n v="200.6"/>
    <x v="19"/>
    <x v="20"/>
    <x v="2"/>
    <x v="0"/>
    <x v="1"/>
    <x v="11"/>
    <x v="3"/>
    <x v="3"/>
    <x v="2"/>
  </r>
  <r>
    <x v="446"/>
    <x v="4"/>
    <x v="16"/>
    <n v="24.6"/>
    <n v="442.8"/>
    <x v="19"/>
    <x v="20"/>
    <x v="2"/>
    <x v="4"/>
    <x v="0"/>
    <x v="13"/>
    <x v="3"/>
    <x v="3"/>
    <x v="2"/>
  </r>
  <r>
    <x v="447"/>
    <x v="6"/>
    <x v="1"/>
    <n v="47.3"/>
    <n v="94.6"/>
    <x v="19"/>
    <x v="20"/>
    <x v="1"/>
    <x v="1"/>
    <x v="2"/>
    <x v="13"/>
    <x v="3"/>
    <x v="3"/>
    <x v="1"/>
  </r>
  <r>
    <x v="448"/>
    <x v="6"/>
    <x v="3"/>
    <n v="40.799999999999997"/>
    <n v="285.60000000000002"/>
    <x v="19"/>
    <x v="23"/>
    <x v="2"/>
    <x v="2"/>
    <x v="2"/>
    <x v="21"/>
    <x v="2"/>
    <x v="3"/>
    <x v="2"/>
  </r>
  <r>
    <x v="449"/>
    <x v="8"/>
    <x v="8"/>
    <n v="49.2"/>
    <n v="393.6"/>
    <x v="19"/>
    <x v="24"/>
    <x v="2"/>
    <x v="0"/>
    <x v="0"/>
    <x v="1"/>
    <x v="1"/>
    <x v="3"/>
    <x v="2"/>
  </r>
  <r>
    <x v="450"/>
    <x v="8"/>
    <x v="0"/>
    <n v="28.5"/>
    <n v="28.5"/>
    <x v="19"/>
    <x v="24"/>
    <x v="0"/>
    <x v="2"/>
    <x v="1"/>
    <x v="3"/>
    <x v="1"/>
    <x v="3"/>
    <x v="0"/>
  </r>
  <r>
    <x v="451"/>
    <x v="18"/>
    <x v="1"/>
    <n v="36.799999999999997"/>
    <n v="73.599999999999994"/>
    <x v="19"/>
    <x v="19"/>
    <x v="2"/>
    <x v="0"/>
    <x v="2"/>
    <x v="3"/>
    <x v="4"/>
    <x v="3"/>
    <x v="2"/>
  </r>
  <r>
    <x v="452"/>
    <x v="7"/>
    <x v="2"/>
    <n v="33.5"/>
    <n v="100.5"/>
    <x v="19"/>
    <x v="20"/>
    <x v="2"/>
    <x v="0"/>
    <x v="1"/>
    <x v="3"/>
    <x v="3"/>
    <x v="3"/>
    <x v="2"/>
  </r>
  <r>
    <x v="453"/>
    <x v="6"/>
    <x v="13"/>
    <n v="62.5"/>
    <n v="375"/>
    <x v="19"/>
    <x v="24"/>
    <x v="2"/>
    <x v="0"/>
    <x v="0"/>
    <x v="3"/>
    <x v="1"/>
    <x v="3"/>
    <x v="2"/>
  </r>
  <r>
    <x v="454"/>
    <x v="8"/>
    <x v="29"/>
    <n v="47.9"/>
    <n v="1916"/>
    <x v="19"/>
    <x v="20"/>
    <x v="2"/>
    <x v="3"/>
    <x v="0"/>
    <x v="3"/>
    <x v="3"/>
    <x v="3"/>
    <x v="2"/>
  </r>
  <r>
    <x v="455"/>
    <x v="6"/>
    <x v="13"/>
    <n v="92.9"/>
    <n v="557.40000000000009"/>
    <x v="19"/>
    <x v="27"/>
    <x v="2"/>
    <x v="0"/>
    <x v="4"/>
    <x v="3"/>
    <x v="11"/>
    <x v="3"/>
    <x v="2"/>
  </r>
  <r>
    <x v="456"/>
    <x v="12"/>
    <x v="2"/>
    <n v="44.1"/>
    <n v="132.30000000000001"/>
    <x v="19"/>
    <x v="21"/>
    <x v="2"/>
    <x v="1"/>
    <x v="1"/>
    <x v="19"/>
    <x v="7"/>
    <x v="3"/>
    <x v="2"/>
  </r>
  <r>
    <x v="457"/>
    <x v="0"/>
    <x v="0"/>
    <n v="11.4"/>
    <n v="11.4"/>
    <x v="20"/>
    <x v="23"/>
    <x v="2"/>
    <x v="2"/>
    <x v="0"/>
    <x v="5"/>
    <x v="1"/>
    <x v="3"/>
    <x v="2"/>
  </r>
  <r>
    <x v="458"/>
    <x v="6"/>
    <x v="0"/>
    <n v="83.7"/>
    <n v="83.7"/>
    <x v="20"/>
    <x v="23"/>
    <x v="2"/>
    <x v="0"/>
    <x v="2"/>
    <x v="6"/>
    <x v="1"/>
    <x v="3"/>
    <x v="2"/>
  </r>
  <r>
    <x v="459"/>
    <x v="10"/>
    <x v="1"/>
    <n v="23.2"/>
    <n v="46.4"/>
    <x v="20"/>
    <x v="24"/>
    <x v="1"/>
    <x v="2"/>
    <x v="0"/>
    <x v="8"/>
    <x v="3"/>
    <x v="3"/>
    <x v="1"/>
  </r>
  <r>
    <x v="460"/>
    <x v="2"/>
    <x v="0"/>
    <n v="162.1"/>
    <n v="162.1"/>
    <x v="20"/>
    <x v="25"/>
    <x v="2"/>
    <x v="0"/>
    <x v="2"/>
    <x v="9"/>
    <x v="2"/>
    <x v="3"/>
    <x v="2"/>
  </r>
  <r>
    <x v="461"/>
    <x v="6"/>
    <x v="12"/>
    <n v="49.2"/>
    <n v="196.8"/>
    <x v="20"/>
    <x v="17"/>
    <x v="1"/>
    <x v="1"/>
    <x v="0"/>
    <x v="9"/>
    <x v="5"/>
    <x v="3"/>
    <x v="1"/>
  </r>
  <r>
    <x v="462"/>
    <x v="1"/>
    <x v="1"/>
    <n v="61"/>
    <n v="122"/>
    <x v="20"/>
    <x v="24"/>
    <x v="1"/>
    <x v="3"/>
    <x v="0"/>
    <x v="10"/>
    <x v="3"/>
    <x v="3"/>
    <x v="1"/>
  </r>
  <r>
    <x v="463"/>
    <x v="2"/>
    <x v="7"/>
    <n v="53.1"/>
    <n v="531"/>
    <x v="20"/>
    <x v="23"/>
    <x v="1"/>
    <x v="0"/>
    <x v="0"/>
    <x v="11"/>
    <x v="1"/>
    <x v="3"/>
    <x v="1"/>
  </r>
  <r>
    <x v="464"/>
    <x v="4"/>
    <x v="1"/>
    <n v="22.4"/>
    <n v="44.8"/>
    <x v="20"/>
    <x v="23"/>
    <x v="0"/>
    <x v="1"/>
    <x v="2"/>
    <x v="13"/>
    <x v="1"/>
    <x v="3"/>
    <x v="0"/>
  </r>
  <r>
    <x v="465"/>
    <x v="1"/>
    <x v="9"/>
    <n v="75.3"/>
    <n v="376.5"/>
    <x v="20"/>
    <x v="24"/>
    <x v="1"/>
    <x v="0"/>
    <x v="0"/>
    <x v="21"/>
    <x v="3"/>
    <x v="3"/>
    <x v="1"/>
  </r>
  <r>
    <x v="466"/>
    <x v="6"/>
    <x v="0"/>
    <n v="48.5"/>
    <n v="48.5"/>
    <x v="20"/>
    <x v="24"/>
    <x v="2"/>
    <x v="0"/>
    <x v="1"/>
    <x v="21"/>
    <x v="3"/>
    <x v="3"/>
    <x v="2"/>
  </r>
  <r>
    <x v="467"/>
    <x v="6"/>
    <x v="0"/>
    <n v="42.6"/>
    <n v="42.6"/>
    <x v="20"/>
    <x v="17"/>
    <x v="2"/>
    <x v="3"/>
    <x v="0"/>
    <x v="1"/>
    <x v="5"/>
    <x v="3"/>
    <x v="2"/>
  </r>
  <r>
    <x v="468"/>
    <x v="5"/>
    <x v="9"/>
    <n v="49"/>
    <n v="245"/>
    <x v="20"/>
    <x v="24"/>
    <x v="1"/>
    <x v="0"/>
    <x v="0"/>
    <x v="22"/>
    <x v="3"/>
    <x v="3"/>
    <x v="1"/>
  </r>
  <r>
    <x v="469"/>
    <x v="8"/>
    <x v="2"/>
    <n v="31.3"/>
    <n v="93.9"/>
    <x v="20"/>
    <x v="24"/>
    <x v="1"/>
    <x v="2"/>
    <x v="1"/>
    <x v="3"/>
    <x v="3"/>
    <x v="3"/>
    <x v="1"/>
  </r>
  <r>
    <x v="470"/>
    <x v="2"/>
    <x v="1"/>
    <n v="85.4"/>
    <n v="170.8"/>
    <x v="20"/>
    <x v="24"/>
    <x v="2"/>
    <x v="2"/>
    <x v="0"/>
    <x v="3"/>
    <x v="3"/>
    <x v="3"/>
    <x v="2"/>
  </r>
  <r>
    <x v="471"/>
    <x v="8"/>
    <x v="12"/>
    <n v="40"/>
    <n v="160"/>
    <x v="20"/>
    <x v="24"/>
    <x v="3"/>
    <x v="0"/>
    <x v="2"/>
    <x v="3"/>
    <x v="3"/>
    <x v="3"/>
    <x v="3"/>
  </r>
  <r>
    <x v="472"/>
    <x v="5"/>
    <x v="1"/>
    <n v="38.5"/>
    <n v="77"/>
    <x v="20"/>
    <x v="25"/>
    <x v="1"/>
    <x v="1"/>
    <x v="2"/>
    <x v="3"/>
    <x v="2"/>
    <x v="3"/>
    <x v="1"/>
  </r>
  <r>
    <x v="473"/>
    <x v="2"/>
    <x v="1"/>
    <n v="57.8"/>
    <n v="115.6"/>
    <x v="20"/>
    <x v="24"/>
    <x v="0"/>
    <x v="0"/>
    <x v="0"/>
    <x v="3"/>
    <x v="3"/>
    <x v="3"/>
    <x v="0"/>
  </r>
  <r>
    <x v="474"/>
    <x v="8"/>
    <x v="0"/>
    <n v="19.2"/>
    <n v="19.2"/>
    <x v="20"/>
    <x v="24"/>
    <x v="2"/>
    <x v="0"/>
    <x v="4"/>
    <x v="3"/>
    <x v="3"/>
    <x v="3"/>
    <x v="2"/>
  </r>
  <r>
    <x v="475"/>
    <x v="6"/>
    <x v="13"/>
    <n v="114.8"/>
    <n v="688.8"/>
    <x v="20"/>
    <x v="25"/>
    <x v="1"/>
    <x v="1"/>
    <x v="1"/>
    <x v="3"/>
    <x v="2"/>
    <x v="3"/>
    <x v="1"/>
  </r>
  <r>
    <x v="476"/>
    <x v="10"/>
    <x v="3"/>
    <n v="48.4"/>
    <n v="338.8"/>
    <x v="20"/>
    <x v="25"/>
    <x v="2"/>
    <x v="3"/>
    <x v="1"/>
    <x v="3"/>
    <x v="2"/>
    <x v="3"/>
    <x v="2"/>
  </r>
  <r>
    <x v="477"/>
    <x v="9"/>
    <x v="9"/>
    <n v="73.2"/>
    <n v="366"/>
    <x v="20"/>
    <x v="24"/>
    <x v="2"/>
    <x v="1"/>
    <x v="4"/>
    <x v="3"/>
    <x v="3"/>
    <x v="3"/>
    <x v="2"/>
  </r>
  <r>
    <x v="478"/>
    <x v="15"/>
    <x v="1"/>
    <n v="48.6"/>
    <n v="97.2"/>
    <x v="20"/>
    <x v="17"/>
    <x v="2"/>
    <x v="3"/>
    <x v="0"/>
    <x v="3"/>
    <x v="5"/>
    <x v="3"/>
    <x v="2"/>
  </r>
  <r>
    <x v="479"/>
    <x v="0"/>
    <x v="13"/>
    <n v="48.7"/>
    <n v="292.2"/>
    <x v="20"/>
    <x v="24"/>
    <x v="1"/>
    <x v="0"/>
    <x v="0"/>
    <x v="3"/>
    <x v="3"/>
    <x v="3"/>
    <x v="1"/>
  </r>
  <r>
    <x v="480"/>
    <x v="4"/>
    <x v="1"/>
    <n v="32.200000000000003"/>
    <n v="64.400000000000006"/>
    <x v="20"/>
    <x v="25"/>
    <x v="1"/>
    <x v="2"/>
    <x v="2"/>
    <x v="3"/>
    <x v="2"/>
    <x v="3"/>
    <x v="1"/>
  </r>
  <r>
    <x v="481"/>
    <x v="15"/>
    <x v="8"/>
    <n v="25.8"/>
    <n v="206.4"/>
    <x v="20"/>
    <x v="24"/>
    <x v="1"/>
    <x v="0"/>
    <x v="0"/>
    <x v="10"/>
    <x v="3"/>
    <x v="3"/>
    <x v="1"/>
  </r>
  <r>
    <x v="482"/>
    <x v="6"/>
    <x v="1"/>
    <n v="94.8"/>
    <n v="189.6"/>
    <x v="21"/>
    <x v="17"/>
    <x v="2"/>
    <x v="1"/>
    <x v="1"/>
    <x v="25"/>
    <x v="2"/>
    <x v="3"/>
    <x v="2"/>
  </r>
  <r>
    <x v="483"/>
    <x v="15"/>
    <x v="30"/>
    <n v="56.8"/>
    <n v="1420"/>
    <x v="21"/>
    <x v="17"/>
    <x v="1"/>
    <x v="0"/>
    <x v="0"/>
    <x v="25"/>
    <x v="2"/>
    <x v="3"/>
    <x v="1"/>
  </r>
  <r>
    <x v="484"/>
    <x v="8"/>
    <x v="27"/>
    <n v="18.3"/>
    <n v="292.8"/>
    <x v="21"/>
    <x v="28"/>
    <x v="2"/>
    <x v="2"/>
    <x v="2"/>
    <x v="23"/>
    <x v="6"/>
    <x v="3"/>
    <x v="2"/>
  </r>
  <r>
    <x v="485"/>
    <x v="0"/>
    <x v="2"/>
    <n v="16.8"/>
    <n v="50.400000000000013"/>
    <x v="21"/>
    <x v="22"/>
    <x v="2"/>
    <x v="2"/>
    <x v="2"/>
    <x v="8"/>
    <x v="0"/>
    <x v="3"/>
    <x v="2"/>
  </r>
  <r>
    <x v="486"/>
    <x v="5"/>
    <x v="5"/>
    <n v="35.799999999999997"/>
    <n v="393.8"/>
    <x v="21"/>
    <x v="23"/>
    <x v="1"/>
    <x v="1"/>
    <x v="0"/>
    <x v="17"/>
    <x v="3"/>
    <x v="3"/>
    <x v="1"/>
  </r>
  <r>
    <x v="487"/>
    <x v="18"/>
    <x v="0"/>
    <n v="64.900000000000006"/>
    <n v="64.900000000000006"/>
    <x v="21"/>
    <x v="23"/>
    <x v="1"/>
    <x v="0"/>
    <x v="1"/>
    <x v="17"/>
    <x v="3"/>
    <x v="3"/>
    <x v="1"/>
  </r>
  <r>
    <x v="488"/>
    <x v="18"/>
    <x v="0"/>
    <n v="28.5"/>
    <n v="28.5"/>
    <x v="21"/>
    <x v="25"/>
    <x v="0"/>
    <x v="1"/>
    <x v="0"/>
    <x v="9"/>
    <x v="1"/>
    <x v="3"/>
    <x v="0"/>
  </r>
  <r>
    <x v="489"/>
    <x v="18"/>
    <x v="1"/>
    <n v="103.5"/>
    <n v="207"/>
    <x v="21"/>
    <x v="25"/>
    <x v="2"/>
    <x v="1"/>
    <x v="0"/>
    <x v="10"/>
    <x v="1"/>
    <x v="3"/>
    <x v="2"/>
  </r>
  <r>
    <x v="490"/>
    <x v="4"/>
    <x v="1"/>
    <n v="41.2"/>
    <n v="82.4"/>
    <x v="21"/>
    <x v="23"/>
    <x v="2"/>
    <x v="1"/>
    <x v="0"/>
    <x v="10"/>
    <x v="3"/>
    <x v="3"/>
    <x v="2"/>
  </r>
  <r>
    <x v="491"/>
    <x v="9"/>
    <x v="0"/>
    <n v="37.799999999999997"/>
    <n v="37.799999999999997"/>
    <x v="21"/>
    <x v="25"/>
    <x v="2"/>
    <x v="3"/>
    <x v="3"/>
    <x v="11"/>
    <x v="1"/>
    <x v="3"/>
    <x v="2"/>
  </r>
  <r>
    <x v="492"/>
    <x v="8"/>
    <x v="1"/>
    <n v="42.6"/>
    <n v="85.2"/>
    <x v="21"/>
    <x v="25"/>
    <x v="2"/>
    <x v="4"/>
    <x v="0"/>
    <x v="11"/>
    <x v="1"/>
    <x v="3"/>
    <x v="2"/>
  </r>
  <r>
    <x v="493"/>
    <x v="8"/>
    <x v="7"/>
    <n v="15.2"/>
    <n v="152"/>
    <x v="21"/>
    <x v="25"/>
    <x v="2"/>
    <x v="2"/>
    <x v="0"/>
    <x v="11"/>
    <x v="1"/>
    <x v="3"/>
    <x v="2"/>
  </r>
  <r>
    <x v="494"/>
    <x v="7"/>
    <x v="12"/>
    <n v="83.4"/>
    <n v="333.6"/>
    <x v="21"/>
    <x v="23"/>
    <x v="2"/>
    <x v="2"/>
    <x v="1"/>
    <x v="18"/>
    <x v="3"/>
    <x v="3"/>
    <x v="2"/>
  </r>
  <r>
    <x v="495"/>
    <x v="19"/>
    <x v="1"/>
    <n v="27.7"/>
    <n v="55.4"/>
    <x v="21"/>
    <x v="23"/>
    <x v="2"/>
    <x v="0"/>
    <x v="1"/>
    <x v="13"/>
    <x v="3"/>
    <x v="3"/>
    <x v="2"/>
  </r>
  <r>
    <x v="496"/>
    <x v="10"/>
    <x v="4"/>
    <n v="20.8"/>
    <n v="249.6"/>
    <x v="21"/>
    <x v="23"/>
    <x v="1"/>
    <x v="3"/>
    <x v="0"/>
    <x v="13"/>
    <x v="3"/>
    <x v="3"/>
    <x v="1"/>
  </r>
  <r>
    <x v="497"/>
    <x v="11"/>
    <x v="1"/>
    <n v="72.7"/>
    <n v="145.4"/>
    <x v="21"/>
    <x v="19"/>
    <x v="2"/>
    <x v="4"/>
    <x v="2"/>
    <x v="20"/>
    <x v="5"/>
    <x v="3"/>
    <x v="2"/>
  </r>
  <r>
    <x v="498"/>
    <x v="10"/>
    <x v="12"/>
    <n v="38.6"/>
    <n v="154.4"/>
    <x v="21"/>
    <x v="23"/>
    <x v="1"/>
    <x v="0"/>
    <x v="2"/>
    <x v="22"/>
    <x v="3"/>
    <x v="3"/>
    <x v="1"/>
  </r>
  <r>
    <x v="499"/>
    <x v="8"/>
    <x v="3"/>
    <n v="33.1"/>
    <n v="231.7"/>
    <x v="21"/>
    <x v="23"/>
    <x v="3"/>
    <x v="4"/>
    <x v="3"/>
    <x v="3"/>
    <x v="3"/>
    <x v="3"/>
    <x v="3"/>
  </r>
  <r>
    <x v="500"/>
    <x v="10"/>
    <x v="1"/>
    <n v="30.5"/>
    <n v="61"/>
    <x v="21"/>
    <x v="24"/>
    <x v="0"/>
    <x v="1"/>
    <x v="1"/>
    <x v="3"/>
    <x v="7"/>
    <x v="3"/>
    <x v="0"/>
  </r>
  <r>
    <x v="501"/>
    <x v="9"/>
    <x v="1"/>
    <n v="69.599999999999994"/>
    <n v="139.19999999999999"/>
    <x v="21"/>
    <x v="23"/>
    <x v="1"/>
    <x v="0"/>
    <x v="1"/>
    <x v="3"/>
    <x v="3"/>
    <x v="3"/>
    <x v="1"/>
  </r>
  <r>
    <x v="502"/>
    <x v="11"/>
    <x v="0"/>
    <n v="42.4"/>
    <n v="42.4"/>
    <x v="21"/>
    <x v="19"/>
    <x v="2"/>
    <x v="1"/>
    <x v="0"/>
    <x v="3"/>
    <x v="5"/>
    <x v="3"/>
    <x v="2"/>
  </r>
  <r>
    <x v="503"/>
    <x v="17"/>
    <x v="0"/>
    <n v="32.200000000000003"/>
    <n v="32.200000000000003"/>
    <x v="21"/>
    <x v="17"/>
    <x v="2"/>
    <x v="2"/>
    <x v="1"/>
    <x v="3"/>
    <x v="2"/>
    <x v="3"/>
    <x v="2"/>
  </r>
  <r>
    <x v="504"/>
    <x v="6"/>
    <x v="1"/>
    <n v="41.5"/>
    <n v="83"/>
    <x v="21"/>
    <x v="17"/>
    <x v="2"/>
    <x v="0"/>
    <x v="2"/>
    <x v="3"/>
    <x v="2"/>
    <x v="3"/>
    <x v="2"/>
  </r>
  <r>
    <x v="505"/>
    <x v="16"/>
    <x v="11"/>
    <n v="58.9"/>
    <n v="530.1"/>
    <x v="21"/>
    <x v="19"/>
    <x v="2"/>
    <x v="3"/>
    <x v="0"/>
    <x v="3"/>
    <x v="5"/>
    <x v="3"/>
    <x v="2"/>
  </r>
  <r>
    <x v="506"/>
    <x v="2"/>
    <x v="0"/>
    <n v="57.1"/>
    <n v="57.1"/>
    <x v="21"/>
    <x v="17"/>
    <x v="2"/>
    <x v="1"/>
    <x v="0"/>
    <x v="3"/>
    <x v="2"/>
    <x v="3"/>
    <x v="2"/>
  </r>
  <r>
    <x v="507"/>
    <x v="6"/>
    <x v="0"/>
    <n v="57.2"/>
    <n v="57.2"/>
    <x v="21"/>
    <x v="25"/>
    <x v="1"/>
    <x v="1"/>
    <x v="0"/>
    <x v="3"/>
    <x v="1"/>
    <x v="3"/>
    <x v="1"/>
  </r>
  <r>
    <x v="508"/>
    <x v="8"/>
    <x v="1"/>
    <n v="35.1"/>
    <n v="70.2"/>
    <x v="21"/>
    <x v="23"/>
    <x v="1"/>
    <x v="1"/>
    <x v="0"/>
    <x v="6"/>
    <x v="3"/>
    <x v="3"/>
    <x v="1"/>
  </r>
  <r>
    <x v="509"/>
    <x v="1"/>
    <x v="0"/>
    <n v="52.1"/>
    <n v="52.1"/>
    <x v="21"/>
    <x v="25"/>
    <x v="2"/>
    <x v="4"/>
    <x v="1"/>
    <x v="8"/>
    <x v="1"/>
    <x v="3"/>
    <x v="2"/>
  </r>
  <r>
    <x v="510"/>
    <x v="13"/>
    <x v="2"/>
    <n v="59.8"/>
    <n v="179.4"/>
    <x v="21"/>
    <x v="25"/>
    <x v="2"/>
    <x v="4"/>
    <x v="1"/>
    <x v="8"/>
    <x v="1"/>
    <x v="3"/>
    <x v="2"/>
  </r>
  <r>
    <x v="511"/>
    <x v="3"/>
    <x v="12"/>
    <n v="83.3"/>
    <n v="333.2"/>
    <x v="21"/>
    <x v="24"/>
    <x v="0"/>
    <x v="2"/>
    <x v="0"/>
    <x v="8"/>
    <x v="7"/>
    <x v="3"/>
    <x v="0"/>
  </r>
  <r>
    <x v="512"/>
    <x v="15"/>
    <x v="4"/>
    <n v="41.3"/>
    <n v="495.6"/>
    <x v="21"/>
    <x v="23"/>
    <x v="2"/>
    <x v="1"/>
    <x v="0"/>
    <x v="8"/>
    <x v="3"/>
    <x v="3"/>
    <x v="2"/>
  </r>
  <r>
    <x v="513"/>
    <x v="8"/>
    <x v="9"/>
    <n v="16"/>
    <n v="80"/>
    <x v="21"/>
    <x v="25"/>
    <x v="1"/>
    <x v="4"/>
    <x v="1"/>
    <x v="9"/>
    <x v="1"/>
    <x v="3"/>
    <x v="1"/>
  </r>
  <r>
    <x v="514"/>
    <x v="10"/>
    <x v="1"/>
    <n v="20.8"/>
    <n v="41.6"/>
    <x v="22"/>
    <x v="17"/>
    <x v="1"/>
    <x v="0"/>
    <x v="2"/>
    <x v="11"/>
    <x v="1"/>
    <x v="3"/>
    <x v="1"/>
  </r>
  <r>
    <x v="515"/>
    <x v="8"/>
    <x v="31"/>
    <n v="27.1"/>
    <n v="758.80000000000007"/>
    <x v="22"/>
    <x v="25"/>
    <x v="0"/>
    <x v="3"/>
    <x v="2"/>
    <x v="11"/>
    <x v="3"/>
    <x v="3"/>
    <x v="0"/>
  </r>
  <r>
    <x v="516"/>
    <x v="10"/>
    <x v="1"/>
    <n v="38.9"/>
    <n v="77.8"/>
    <x v="22"/>
    <x v="17"/>
    <x v="2"/>
    <x v="0"/>
    <x v="0"/>
    <x v="18"/>
    <x v="1"/>
    <x v="3"/>
    <x v="2"/>
  </r>
  <r>
    <x v="517"/>
    <x v="0"/>
    <x v="1"/>
    <n v="10.8"/>
    <n v="21.6"/>
    <x v="22"/>
    <x v="19"/>
    <x v="2"/>
    <x v="1"/>
    <x v="2"/>
    <x v="21"/>
    <x v="2"/>
    <x v="3"/>
    <x v="2"/>
  </r>
  <r>
    <x v="518"/>
    <x v="4"/>
    <x v="15"/>
    <n v="48.4"/>
    <n v="629.19999999999993"/>
    <x v="22"/>
    <x v="22"/>
    <x v="2"/>
    <x v="0"/>
    <x v="0"/>
    <x v="21"/>
    <x v="5"/>
    <x v="3"/>
    <x v="2"/>
  </r>
  <r>
    <x v="519"/>
    <x v="4"/>
    <x v="2"/>
    <n v="29.2"/>
    <n v="87.6"/>
    <x v="22"/>
    <x v="19"/>
    <x v="2"/>
    <x v="1"/>
    <x v="1"/>
    <x v="2"/>
    <x v="2"/>
    <x v="3"/>
    <x v="2"/>
  </r>
  <r>
    <x v="520"/>
    <x v="4"/>
    <x v="1"/>
    <n v="25.1"/>
    <n v="50.2"/>
    <x v="22"/>
    <x v="25"/>
    <x v="1"/>
    <x v="0"/>
    <x v="1"/>
    <x v="2"/>
    <x v="3"/>
    <x v="3"/>
    <x v="1"/>
  </r>
  <r>
    <x v="521"/>
    <x v="7"/>
    <x v="2"/>
    <n v="65.599999999999994"/>
    <n v="196.8"/>
    <x v="22"/>
    <x v="23"/>
    <x v="2"/>
    <x v="2"/>
    <x v="1"/>
    <x v="3"/>
    <x v="7"/>
    <x v="3"/>
    <x v="2"/>
  </r>
  <r>
    <x v="522"/>
    <x v="2"/>
    <x v="1"/>
    <n v="57.3"/>
    <n v="114.6"/>
    <x v="22"/>
    <x v="23"/>
    <x v="0"/>
    <x v="0"/>
    <x v="0"/>
    <x v="3"/>
    <x v="7"/>
    <x v="3"/>
    <x v="0"/>
  </r>
  <r>
    <x v="523"/>
    <x v="9"/>
    <x v="12"/>
    <n v="22.4"/>
    <n v="89.6"/>
    <x v="22"/>
    <x v="25"/>
    <x v="2"/>
    <x v="2"/>
    <x v="2"/>
    <x v="3"/>
    <x v="3"/>
    <x v="3"/>
    <x v="2"/>
  </r>
  <r>
    <x v="524"/>
    <x v="12"/>
    <x v="11"/>
    <n v="45.7"/>
    <n v="411.3"/>
    <x v="22"/>
    <x v="25"/>
    <x v="2"/>
    <x v="0"/>
    <x v="0"/>
    <x v="3"/>
    <x v="3"/>
    <x v="3"/>
    <x v="2"/>
  </r>
  <r>
    <x v="525"/>
    <x v="8"/>
    <x v="1"/>
    <n v="29.3"/>
    <n v="58.6"/>
    <x v="22"/>
    <x v="25"/>
    <x v="1"/>
    <x v="1"/>
    <x v="0"/>
    <x v="3"/>
    <x v="3"/>
    <x v="3"/>
    <x v="1"/>
  </r>
  <r>
    <x v="526"/>
    <x v="18"/>
    <x v="32"/>
    <n v="74"/>
    <n v="1628"/>
    <x v="22"/>
    <x v="25"/>
    <x v="1"/>
    <x v="0"/>
    <x v="2"/>
    <x v="3"/>
    <x v="3"/>
    <x v="3"/>
    <x v="1"/>
  </r>
  <r>
    <x v="527"/>
    <x v="14"/>
    <x v="1"/>
    <n v="39.200000000000003"/>
    <n v="78.400000000000006"/>
    <x v="22"/>
    <x v="17"/>
    <x v="2"/>
    <x v="1"/>
    <x v="0"/>
    <x v="3"/>
    <x v="1"/>
    <x v="3"/>
    <x v="2"/>
  </r>
  <r>
    <x v="528"/>
    <x v="4"/>
    <x v="14"/>
    <n v="62.7"/>
    <n v="1065.9000000000001"/>
    <x v="22"/>
    <x v="25"/>
    <x v="2"/>
    <x v="2"/>
    <x v="1"/>
    <x v="3"/>
    <x v="3"/>
    <x v="3"/>
    <x v="2"/>
  </r>
  <r>
    <x v="529"/>
    <x v="10"/>
    <x v="1"/>
    <n v="60.1"/>
    <n v="120.2"/>
    <x v="22"/>
    <x v="25"/>
    <x v="2"/>
    <x v="3"/>
    <x v="0"/>
    <x v="3"/>
    <x v="3"/>
    <x v="3"/>
    <x v="2"/>
  </r>
  <r>
    <x v="530"/>
    <x v="0"/>
    <x v="12"/>
    <n v="11.2"/>
    <n v="44.8"/>
    <x v="22"/>
    <x v="25"/>
    <x v="2"/>
    <x v="3"/>
    <x v="1"/>
    <x v="3"/>
    <x v="3"/>
    <x v="3"/>
    <x v="2"/>
  </r>
  <r>
    <x v="531"/>
    <x v="8"/>
    <x v="1"/>
    <n v="22.9"/>
    <n v="45.8"/>
    <x v="22"/>
    <x v="25"/>
    <x v="2"/>
    <x v="0"/>
    <x v="0"/>
    <x v="6"/>
    <x v="3"/>
    <x v="3"/>
    <x v="2"/>
  </r>
  <r>
    <x v="532"/>
    <x v="1"/>
    <x v="1"/>
    <n v="37.6"/>
    <n v="75.2"/>
    <x v="22"/>
    <x v="19"/>
    <x v="2"/>
    <x v="0"/>
    <x v="0"/>
    <x v="6"/>
    <x v="2"/>
    <x v="3"/>
    <x v="2"/>
  </r>
  <r>
    <x v="533"/>
    <x v="6"/>
    <x v="0"/>
    <n v="42.4"/>
    <n v="42.4"/>
    <x v="22"/>
    <x v="25"/>
    <x v="2"/>
    <x v="3"/>
    <x v="2"/>
    <x v="6"/>
    <x v="3"/>
    <x v="3"/>
    <x v="2"/>
  </r>
  <r>
    <x v="534"/>
    <x v="8"/>
    <x v="1"/>
    <n v="19.600000000000001"/>
    <n v="39.200000000000003"/>
    <x v="22"/>
    <x v="22"/>
    <x v="2"/>
    <x v="2"/>
    <x v="0"/>
    <x v="7"/>
    <x v="5"/>
    <x v="3"/>
    <x v="2"/>
  </r>
  <r>
    <x v="535"/>
    <x v="9"/>
    <x v="0"/>
    <n v="90.5"/>
    <n v="90.5"/>
    <x v="22"/>
    <x v="19"/>
    <x v="2"/>
    <x v="2"/>
    <x v="0"/>
    <x v="7"/>
    <x v="2"/>
    <x v="3"/>
    <x v="2"/>
  </r>
  <r>
    <x v="536"/>
    <x v="16"/>
    <x v="5"/>
    <n v="33.9"/>
    <n v="372.9"/>
    <x v="22"/>
    <x v="25"/>
    <x v="1"/>
    <x v="2"/>
    <x v="1"/>
    <x v="7"/>
    <x v="3"/>
    <x v="3"/>
    <x v="1"/>
  </r>
  <r>
    <x v="537"/>
    <x v="0"/>
    <x v="1"/>
    <n v="32.799999999999997"/>
    <n v="65.599999999999994"/>
    <x v="22"/>
    <x v="17"/>
    <x v="2"/>
    <x v="4"/>
    <x v="4"/>
    <x v="8"/>
    <x v="1"/>
    <x v="3"/>
    <x v="2"/>
  </r>
  <r>
    <x v="538"/>
    <x v="15"/>
    <x v="0"/>
    <n v="49.9"/>
    <n v="49.9"/>
    <x v="22"/>
    <x v="25"/>
    <x v="1"/>
    <x v="3"/>
    <x v="1"/>
    <x v="8"/>
    <x v="3"/>
    <x v="3"/>
    <x v="1"/>
  </r>
  <r>
    <x v="539"/>
    <x v="7"/>
    <x v="9"/>
    <n v="79.2"/>
    <n v="396"/>
    <x v="22"/>
    <x v="25"/>
    <x v="2"/>
    <x v="4"/>
    <x v="0"/>
    <x v="8"/>
    <x v="3"/>
    <x v="3"/>
    <x v="2"/>
  </r>
  <r>
    <x v="540"/>
    <x v="8"/>
    <x v="27"/>
    <n v="19.5"/>
    <n v="312"/>
    <x v="22"/>
    <x v="17"/>
    <x v="1"/>
    <x v="3"/>
    <x v="2"/>
    <x v="8"/>
    <x v="1"/>
    <x v="3"/>
    <x v="1"/>
  </r>
  <r>
    <x v="541"/>
    <x v="8"/>
    <x v="12"/>
    <n v="18"/>
    <n v="72"/>
    <x v="22"/>
    <x v="25"/>
    <x v="1"/>
    <x v="1"/>
    <x v="0"/>
    <x v="10"/>
    <x v="3"/>
    <x v="3"/>
    <x v="1"/>
  </r>
  <r>
    <x v="542"/>
    <x v="9"/>
    <x v="2"/>
    <n v="45.9"/>
    <n v="137.69999999999999"/>
    <x v="22"/>
    <x v="17"/>
    <x v="2"/>
    <x v="1"/>
    <x v="1"/>
    <x v="10"/>
    <x v="1"/>
    <x v="3"/>
    <x v="2"/>
  </r>
  <r>
    <x v="543"/>
    <x v="11"/>
    <x v="0"/>
    <n v="41.2"/>
    <n v="41.2"/>
    <x v="22"/>
    <x v="17"/>
    <x v="2"/>
    <x v="1"/>
    <x v="2"/>
    <x v="11"/>
    <x v="1"/>
    <x v="3"/>
    <x v="2"/>
  </r>
  <r>
    <x v="544"/>
    <x v="2"/>
    <x v="7"/>
    <n v="167.2"/>
    <n v="1672"/>
    <x v="22"/>
    <x v="17"/>
    <x v="2"/>
    <x v="2"/>
    <x v="2"/>
    <x v="32"/>
    <x v="1"/>
    <x v="3"/>
    <x v="2"/>
  </r>
  <r>
    <x v="545"/>
    <x v="6"/>
    <x v="17"/>
    <n v="74.5"/>
    <n v="2235"/>
    <x v="23"/>
    <x v="22"/>
    <x v="2"/>
    <x v="1"/>
    <x v="2"/>
    <x v="12"/>
    <x v="2"/>
    <x v="3"/>
    <x v="2"/>
  </r>
  <r>
    <x v="546"/>
    <x v="7"/>
    <x v="12"/>
    <n v="39.299999999999997"/>
    <n v="157.19999999999999"/>
    <x v="23"/>
    <x v="17"/>
    <x v="0"/>
    <x v="2"/>
    <x v="0"/>
    <x v="19"/>
    <x v="3"/>
    <x v="3"/>
    <x v="0"/>
  </r>
  <r>
    <x v="547"/>
    <x v="9"/>
    <x v="0"/>
    <n v="68.5"/>
    <n v="68.5"/>
    <x v="23"/>
    <x v="22"/>
    <x v="1"/>
    <x v="1"/>
    <x v="2"/>
    <x v="12"/>
    <x v="2"/>
    <x v="3"/>
    <x v="1"/>
  </r>
  <r>
    <x v="548"/>
    <x v="0"/>
    <x v="2"/>
    <n v="22.5"/>
    <n v="67.5"/>
    <x v="23"/>
    <x v="25"/>
    <x v="2"/>
    <x v="4"/>
    <x v="0"/>
    <x v="13"/>
    <x v="7"/>
    <x v="3"/>
    <x v="2"/>
  </r>
  <r>
    <x v="549"/>
    <x v="1"/>
    <x v="0"/>
    <n v="48"/>
    <n v="48"/>
    <x v="23"/>
    <x v="17"/>
    <x v="3"/>
    <x v="4"/>
    <x v="1"/>
    <x v="22"/>
    <x v="3"/>
    <x v="3"/>
    <x v="3"/>
  </r>
  <r>
    <x v="550"/>
    <x v="6"/>
    <x v="0"/>
    <n v="94"/>
    <n v="94"/>
    <x v="23"/>
    <x v="17"/>
    <x v="1"/>
    <x v="3"/>
    <x v="1"/>
    <x v="1"/>
    <x v="3"/>
    <x v="3"/>
    <x v="1"/>
  </r>
  <r>
    <x v="551"/>
    <x v="8"/>
    <x v="2"/>
    <n v="21.9"/>
    <n v="65.699999999999989"/>
    <x v="23"/>
    <x v="17"/>
    <x v="2"/>
    <x v="0"/>
    <x v="0"/>
    <x v="20"/>
    <x v="3"/>
    <x v="3"/>
    <x v="2"/>
  </r>
  <r>
    <x v="552"/>
    <x v="6"/>
    <x v="3"/>
    <n v="64.900000000000006"/>
    <n v="454.30000000000013"/>
    <x v="23"/>
    <x v="17"/>
    <x v="2"/>
    <x v="0"/>
    <x v="0"/>
    <x v="3"/>
    <x v="3"/>
    <x v="3"/>
    <x v="2"/>
  </r>
  <r>
    <x v="553"/>
    <x v="12"/>
    <x v="0"/>
    <n v="52.9"/>
    <n v="52.9"/>
    <x v="23"/>
    <x v="25"/>
    <x v="2"/>
    <x v="1"/>
    <x v="1"/>
    <x v="3"/>
    <x v="7"/>
    <x v="3"/>
    <x v="2"/>
  </r>
  <r>
    <x v="554"/>
    <x v="8"/>
    <x v="2"/>
    <n v="25.5"/>
    <n v="76.5"/>
    <x v="23"/>
    <x v="17"/>
    <x v="2"/>
    <x v="1"/>
    <x v="2"/>
    <x v="3"/>
    <x v="3"/>
    <x v="3"/>
    <x v="2"/>
  </r>
  <r>
    <x v="555"/>
    <x v="6"/>
    <x v="2"/>
    <n v="51.9"/>
    <n v="155.69999999999999"/>
    <x v="23"/>
    <x v="17"/>
    <x v="2"/>
    <x v="3"/>
    <x v="0"/>
    <x v="3"/>
    <x v="3"/>
    <x v="3"/>
    <x v="2"/>
  </r>
  <r>
    <x v="556"/>
    <x v="5"/>
    <x v="0"/>
    <n v="46.3"/>
    <n v="46.3"/>
    <x v="23"/>
    <x v="22"/>
    <x v="2"/>
    <x v="4"/>
    <x v="0"/>
    <x v="3"/>
    <x v="2"/>
    <x v="3"/>
    <x v="2"/>
  </r>
  <r>
    <x v="557"/>
    <x v="6"/>
    <x v="1"/>
    <n v="68.2"/>
    <n v="136.4"/>
    <x v="23"/>
    <x v="19"/>
    <x v="2"/>
    <x v="3"/>
    <x v="0"/>
    <x v="3"/>
    <x v="1"/>
    <x v="3"/>
    <x v="2"/>
  </r>
  <r>
    <x v="558"/>
    <x v="1"/>
    <x v="0"/>
    <n v="40.299999999999997"/>
    <n v="40.299999999999997"/>
    <x v="23"/>
    <x v="17"/>
    <x v="1"/>
    <x v="0"/>
    <x v="1"/>
    <x v="3"/>
    <x v="3"/>
    <x v="3"/>
    <x v="1"/>
  </r>
  <r>
    <x v="559"/>
    <x v="2"/>
    <x v="2"/>
    <n v="91.3"/>
    <n v="273.89999999999998"/>
    <x v="23"/>
    <x v="28"/>
    <x v="1"/>
    <x v="0"/>
    <x v="2"/>
    <x v="6"/>
    <x v="0"/>
    <x v="3"/>
    <x v="1"/>
  </r>
  <r>
    <x v="560"/>
    <x v="0"/>
    <x v="2"/>
    <n v="11.9"/>
    <n v="35.700000000000003"/>
    <x v="23"/>
    <x v="17"/>
    <x v="2"/>
    <x v="0"/>
    <x v="1"/>
    <x v="6"/>
    <x v="3"/>
    <x v="3"/>
    <x v="2"/>
  </r>
  <r>
    <x v="561"/>
    <x v="2"/>
    <x v="1"/>
    <n v="63.5"/>
    <n v="127"/>
    <x v="23"/>
    <x v="19"/>
    <x v="1"/>
    <x v="1"/>
    <x v="0"/>
    <x v="6"/>
    <x v="1"/>
    <x v="3"/>
    <x v="1"/>
  </r>
  <r>
    <x v="562"/>
    <x v="4"/>
    <x v="1"/>
    <n v="27.1"/>
    <n v="54.2"/>
    <x v="23"/>
    <x v="22"/>
    <x v="1"/>
    <x v="2"/>
    <x v="2"/>
    <x v="6"/>
    <x v="2"/>
    <x v="3"/>
    <x v="1"/>
  </r>
  <r>
    <x v="563"/>
    <x v="1"/>
    <x v="1"/>
    <n v="82.1"/>
    <n v="164.2"/>
    <x v="24"/>
    <x v="29"/>
    <x v="1"/>
    <x v="1"/>
    <x v="1"/>
    <x v="7"/>
    <x v="2"/>
    <x v="3"/>
    <x v="1"/>
  </r>
  <r>
    <x v="564"/>
    <x v="3"/>
    <x v="9"/>
    <n v="42.9"/>
    <n v="214.5"/>
    <x v="24"/>
    <x v="22"/>
    <x v="2"/>
    <x v="1"/>
    <x v="0"/>
    <x v="8"/>
    <x v="1"/>
    <x v="3"/>
    <x v="2"/>
  </r>
  <r>
    <x v="565"/>
    <x v="8"/>
    <x v="5"/>
    <n v="37.9"/>
    <n v="416.9"/>
    <x v="24"/>
    <x v="30"/>
    <x v="1"/>
    <x v="0"/>
    <x v="0"/>
    <x v="8"/>
    <x v="6"/>
    <x v="3"/>
    <x v="1"/>
  </r>
  <r>
    <x v="566"/>
    <x v="0"/>
    <x v="0"/>
    <n v="22.4"/>
    <n v="22.4"/>
    <x v="24"/>
    <x v="19"/>
    <x v="2"/>
    <x v="0"/>
    <x v="1"/>
    <x v="17"/>
    <x v="3"/>
    <x v="3"/>
    <x v="2"/>
  </r>
  <r>
    <x v="567"/>
    <x v="2"/>
    <x v="15"/>
    <n v="79.900000000000006"/>
    <n v="1038.7"/>
    <x v="24"/>
    <x v="31"/>
    <x v="2"/>
    <x v="3"/>
    <x v="1"/>
    <x v="11"/>
    <x v="10"/>
    <x v="3"/>
    <x v="2"/>
  </r>
  <r>
    <x v="568"/>
    <x v="1"/>
    <x v="0"/>
    <n v="70.599999999999994"/>
    <n v="70.599999999999994"/>
    <x v="24"/>
    <x v="29"/>
    <x v="2"/>
    <x v="0"/>
    <x v="1"/>
    <x v="11"/>
    <x v="2"/>
    <x v="3"/>
    <x v="2"/>
  </r>
  <r>
    <x v="569"/>
    <x v="6"/>
    <x v="0"/>
    <n v="49.5"/>
    <n v="49.5"/>
    <x v="24"/>
    <x v="22"/>
    <x v="1"/>
    <x v="0"/>
    <x v="0"/>
    <x v="13"/>
    <x v="1"/>
    <x v="3"/>
    <x v="1"/>
  </r>
  <r>
    <x v="570"/>
    <x v="2"/>
    <x v="1"/>
    <n v="96.6"/>
    <n v="193.2"/>
    <x v="24"/>
    <x v="22"/>
    <x v="1"/>
    <x v="0"/>
    <x v="0"/>
    <x v="21"/>
    <x v="1"/>
    <x v="3"/>
    <x v="1"/>
  </r>
  <r>
    <x v="571"/>
    <x v="6"/>
    <x v="1"/>
    <n v="52.8"/>
    <n v="105.6"/>
    <x v="24"/>
    <x v="19"/>
    <x v="2"/>
    <x v="1"/>
    <x v="1"/>
    <x v="21"/>
    <x v="3"/>
    <x v="3"/>
    <x v="2"/>
  </r>
  <r>
    <x v="572"/>
    <x v="2"/>
    <x v="0"/>
    <n v="101.7"/>
    <n v="101.7"/>
    <x v="24"/>
    <x v="19"/>
    <x v="1"/>
    <x v="0"/>
    <x v="0"/>
    <x v="1"/>
    <x v="3"/>
    <x v="3"/>
    <x v="1"/>
  </r>
  <r>
    <x v="573"/>
    <x v="4"/>
    <x v="9"/>
    <n v="26.9"/>
    <n v="134.5"/>
    <x v="24"/>
    <x v="26"/>
    <x v="2"/>
    <x v="1"/>
    <x v="1"/>
    <x v="22"/>
    <x v="0"/>
    <x v="3"/>
    <x v="2"/>
  </r>
  <r>
    <x v="574"/>
    <x v="2"/>
    <x v="12"/>
    <n v="211"/>
    <n v="844"/>
    <x v="24"/>
    <x v="17"/>
    <x v="2"/>
    <x v="1"/>
    <x v="1"/>
    <x v="3"/>
    <x v="7"/>
    <x v="3"/>
    <x v="2"/>
  </r>
  <r>
    <x v="575"/>
    <x v="0"/>
    <x v="12"/>
    <n v="21.1"/>
    <n v="84.4"/>
    <x v="24"/>
    <x v="29"/>
    <x v="1"/>
    <x v="4"/>
    <x v="0"/>
    <x v="3"/>
    <x v="2"/>
    <x v="3"/>
    <x v="1"/>
  </r>
  <r>
    <x v="576"/>
    <x v="10"/>
    <x v="0"/>
    <n v="26.6"/>
    <n v="26.6"/>
    <x v="24"/>
    <x v="22"/>
    <x v="1"/>
    <x v="0"/>
    <x v="4"/>
    <x v="3"/>
    <x v="1"/>
    <x v="3"/>
    <x v="1"/>
  </r>
  <r>
    <x v="577"/>
    <x v="12"/>
    <x v="12"/>
    <n v="51.2"/>
    <n v="204.8"/>
    <x v="24"/>
    <x v="19"/>
    <x v="2"/>
    <x v="3"/>
    <x v="0"/>
    <x v="23"/>
    <x v="3"/>
    <x v="3"/>
    <x v="2"/>
  </r>
  <r>
    <x v="578"/>
    <x v="0"/>
    <x v="9"/>
    <n v="10.6"/>
    <n v="53"/>
    <x v="24"/>
    <x v="28"/>
    <x v="2"/>
    <x v="0"/>
    <x v="0"/>
    <x v="8"/>
    <x v="5"/>
    <x v="3"/>
    <x v="2"/>
  </r>
  <r>
    <x v="579"/>
    <x v="6"/>
    <x v="2"/>
    <n v="43.4"/>
    <n v="130.19999999999999"/>
    <x v="24"/>
    <x v="29"/>
    <x v="2"/>
    <x v="4"/>
    <x v="0"/>
    <x v="8"/>
    <x v="2"/>
    <x v="3"/>
    <x v="2"/>
  </r>
  <r>
    <x v="580"/>
    <x v="12"/>
    <x v="0"/>
    <n v="80"/>
    <n v="80"/>
    <x v="24"/>
    <x v="17"/>
    <x v="2"/>
    <x v="0"/>
    <x v="2"/>
    <x v="8"/>
    <x v="7"/>
    <x v="3"/>
    <x v="2"/>
  </r>
  <r>
    <x v="581"/>
    <x v="10"/>
    <x v="12"/>
    <n v="64.7"/>
    <n v="258.8"/>
    <x v="24"/>
    <x v="22"/>
    <x v="2"/>
    <x v="1"/>
    <x v="4"/>
    <x v="8"/>
    <x v="1"/>
    <x v="3"/>
    <x v="2"/>
  </r>
  <r>
    <x v="582"/>
    <x v="8"/>
    <x v="5"/>
    <n v="26.3"/>
    <n v="289.3"/>
    <x v="25"/>
    <x v="19"/>
    <x v="2"/>
    <x v="4"/>
    <x v="1"/>
    <x v="26"/>
    <x v="7"/>
    <x v="4"/>
    <x v="2"/>
  </r>
  <r>
    <x v="583"/>
    <x v="10"/>
    <x v="0"/>
    <n v="28.5"/>
    <n v="28.5"/>
    <x v="25"/>
    <x v="19"/>
    <x v="1"/>
    <x v="0"/>
    <x v="1"/>
    <x v="9"/>
    <x v="7"/>
    <x v="4"/>
    <x v="1"/>
  </r>
  <r>
    <x v="584"/>
    <x v="17"/>
    <x v="0"/>
    <n v="47.8"/>
    <n v="47.8"/>
    <x v="25"/>
    <x v="29"/>
    <x v="2"/>
    <x v="0"/>
    <x v="1"/>
    <x v="9"/>
    <x v="1"/>
    <x v="4"/>
    <x v="2"/>
  </r>
  <r>
    <x v="585"/>
    <x v="10"/>
    <x v="2"/>
    <n v="42.8"/>
    <n v="128.4"/>
    <x v="25"/>
    <x v="28"/>
    <x v="2"/>
    <x v="4"/>
    <x v="1"/>
    <x v="11"/>
    <x v="2"/>
    <x v="4"/>
    <x v="2"/>
  </r>
  <r>
    <x v="586"/>
    <x v="6"/>
    <x v="9"/>
    <n v="46.8"/>
    <n v="234"/>
    <x v="25"/>
    <x v="27"/>
    <x v="2"/>
    <x v="1"/>
    <x v="2"/>
    <x v="11"/>
    <x v="0"/>
    <x v="4"/>
    <x v="2"/>
  </r>
  <r>
    <x v="587"/>
    <x v="1"/>
    <x v="7"/>
    <n v="64.099999999999994"/>
    <n v="641"/>
    <x v="25"/>
    <x v="22"/>
    <x v="1"/>
    <x v="1"/>
    <x v="0"/>
    <x v="11"/>
    <x v="3"/>
    <x v="4"/>
    <x v="1"/>
  </r>
  <r>
    <x v="588"/>
    <x v="2"/>
    <x v="0"/>
    <n v="89.1"/>
    <n v="89.1"/>
    <x v="25"/>
    <x v="22"/>
    <x v="2"/>
    <x v="0"/>
    <x v="1"/>
    <x v="20"/>
    <x v="3"/>
    <x v="4"/>
    <x v="2"/>
  </r>
  <r>
    <x v="589"/>
    <x v="2"/>
    <x v="2"/>
    <n v="83.1"/>
    <n v="249.3"/>
    <x v="25"/>
    <x v="22"/>
    <x v="2"/>
    <x v="2"/>
    <x v="1"/>
    <x v="13"/>
    <x v="3"/>
    <x v="4"/>
    <x v="2"/>
  </r>
  <r>
    <x v="590"/>
    <x v="8"/>
    <x v="2"/>
    <n v="40.9"/>
    <n v="122.7"/>
    <x v="25"/>
    <x v="22"/>
    <x v="1"/>
    <x v="0"/>
    <x v="0"/>
    <x v="1"/>
    <x v="3"/>
    <x v="4"/>
    <x v="1"/>
  </r>
  <r>
    <x v="591"/>
    <x v="2"/>
    <x v="1"/>
    <n v="125.7"/>
    <n v="251.4"/>
    <x v="25"/>
    <x v="22"/>
    <x v="2"/>
    <x v="3"/>
    <x v="0"/>
    <x v="2"/>
    <x v="3"/>
    <x v="4"/>
    <x v="2"/>
  </r>
  <r>
    <x v="592"/>
    <x v="3"/>
    <x v="1"/>
    <n v="30.9"/>
    <n v="61.8"/>
    <x v="25"/>
    <x v="19"/>
    <x v="2"/>
    <x v="2"/>
    <x v="2"/>
    <x v="22"/>
    <x v="7"/>
    <x v="4"/>
    <x v="2"/>
  </r>
  <r>
    <x v="593"/>
    <x v="8"/>
    <x v="1"/>
    <n v="18.3"/>
    <n v="36.6"/>
    <x v="25"/>
    <x v="22"/>
    <x v="2"/>
    <x v="1"/>
    <x v="0"/>
    <x v="3"/>
    <x v="3"/>
    <x v="4"/>
    <x v="2"/>
  </r>
  <r>
    <x v="594"/>
    <x v="4"/>
    <x v="1"/>
    <n v="56.5"/>
    <n v="113"/>
    <x v="25"/>
    <x v="26"/>
    <x v="1"/>
    <x v="2"/>
    <x v="2"/>
    <x v="3"/>
    <x v="5"/>
    <x v="4"/>
    <x v="1"/>
  </r>
  <r>
    <x v="595"/>
    <x v="10"/>
    <x v="3"/>
    <n v="29.9"/>
    <n v="209.3"/>
    <x v="25"/>
    <x v="29"/>
    <x v="1"/>
    <x v="4"/>
    <x v="2"/>
    <x v="3"/>
    <x v="1"/>
    <x v="4"/>
    <x v="1"/>
  </r>
  <r>
    <x v="596"/>
    <x v="5"/>
    <x v="1"/>
    <n v="50.4"/>
    <n v="100.8"/>
    <x v="25"/>
    <x v="22"/>
    <x v="2"/>
    <x v="2"/>
    <x v="0"/>
    <x v="3"/>
    <x v="3"/>
    <x v="4"/>
    <x v="2"/>
  </r>
  <r>
    <x v="597"/>
    <x v="2"/>
    <x v="0"/>
    <n v="85.8"/>
    <n v="85.8"/>
    <x v="25"/>
    <x v="19"/>
    <x v="2"/>
    <x v="2"/>
    <x v="2"/>
    <x v="3"/>
    <x v="7"/>
    <x v="4"/>
    <x v="2"/>
  </r>
  <r>
    <x v="598"/>
    <x v="4"/>
    <x v="27"/>
    <n v="66.599999999999994"/>
    <n v="1065.5999999999999"/>
    <x v="25"/>
    <x v="29"/>
    <x v="1"/>
    <x v="1"/>
    <x v="0"/>
    <x v="3"/>
    <x v="1"/>
    <x v="4"/>
    <x v="1"/>
  </r>
  <r>
    <x v="599"/>
    <x v="6"/>
    <x v="12"/>
    <n v="70.3"/>
    <n v="281.2"/>
    <x v="25"/>
    <x v="22"/>
    <x v="2"/>
    <x v="0"/>
    <x v="1"/>
    <x v="3"/>
    <x v="3"/>
    <x v="4"/>
    <x v="2"/>
  </r>
  <r>
    <x v="600"/>
    <x v="8"/>
    <x v="12"/>
    <n v="31"/>
    <n v="124"/>
    <x v="25"/>
    <x v="28"/>
    <x v="1"/>
    <x v="0"/>
    <x v="2"/>
    <x v="3"/>
    <x v="2"/>
    <x v="4"/>
    <x v="1"/>
  </r>
  <r>
    <x v="601"/>
    <x v="7"/>
    <x v="13"/>
    <n v="81.599999999999994"/>
    <n v="489.6"/>
    <x v="25"/>
    <x v="22"/>
    <x v="2"/>
    <x v="1"/>
    <x v="1"/>
    <x v="10"/>
    <x v="3"/>
    <x v="4"/>
    <x v="2"/>
  </r>
  <r>
    <x v="602"/>
    <x v="1"/>
    <x v="30"/>
    <n v="58.3"/>
    <n v="1457.5"/>
    <x v="25"/>
    <x v="22"/>
    <x v="2"/>
    <x v="0"/>
    <x v="0"/>
    <x v="16"/>
    <x v="3"/>
    <x v="4"/>
    <x v="2"/>
  </r>
  <r>
    <x v="603"/>
    <x v="1"/>
    <x v="12"/>
    <n v="35.1"/>
    <n v="140.4"/>
    <x v="25"/>
    <x v="29"/>
    <x v="1"/>
    <x v="0"/>
    <x v="2"/>
    <x v="8"/>
    <x v="1"/>
    <x v="4"/>
    <x v="1"/>
  </r>
  <r>
    <x v="604"/>
    <x v="2"/>
    <x v="0"/>
    <n v="80.2"/>
    <n v="80.2"/>
    <x v="25"/>
    <x v="22"/>
    <x v="1"/>
    <x v="3"/>
    <x v="2"/>
    <x v="8"/>
    <x v="3"/>
    <x v="4"/>
    <x v="1"/>
  </r>
  <r>
    <x v="605"/>
    <x v="14"/>
    <x v="2"/>
    <n v="39.200000000000003"/>
    <n v="117.6"/>
    <x v="25"/>
    <x v="29"/>
    <x v="2"/>
    <x v="1"/>
    <x v="0"/>
    <x v="9"/>
    <x v="1"/>
    <x v="4"/>
    <x v="2"/>
  </r>
  <r>
    <x v="606"/>
    <x v="0"/>
    <x v="1"/>
    <n v="15.4"/>
    <n v="30.8"/>
    <x v="25"/>
    <x v="19"/>
    <x v="2"/>
    <x v="3"/>
    <x v="0"/>
    <x v="24"/>
    <x v="7"/>
    <x v="4"/>
    <x v="2"/>
  </r>
  <r>
    <x v="607"/>
    <x v="3"/>
    <x v="2"/>
    <n v="65.400000000000006"/>
    <n v="196.2"/>
    <x v="25"/>
    <x v="28"/>
    <x v="1"/>
    <x v="3"/>
    <x v="0"/>
    <x v="18"/>
    <x v="2"/>
    <x v="4"/>
    <x v="1"/>
  </r>
  <r>
    <x v="608"/>
    <x v="1"/>
    <x v="8"/>
    <n v="63.2"/>
    <n v="505.6"/>
    <x v="25"/>
    <x v="29"/>
    <x v="2"/>
    <x v="1"/>
    <x v="0"/>
    <x v="19"/>
    <x v="1"/>
    <x v="4"/>
    <x v="2"/>
  </r>
  <r>
    <x v="609"/>
    <x v="1"/>
    <x v="13"/>
    <n v="35.700000000000003"/>
    <n v="214.2"/>
    <x v="25"/>
    <x v="26"/>
    <x v="2"/>
    <x v="4"/>
    <x v="1"/>
    <x v="19"/>
    <x v="5"/>
    <x v="4"/>
    <x v="2"/>
  </r>
  <r>
    <x v="610"/>
    <x v="0"/>
    <x v="28"/>
    <n v="26.2"/>
    <n v="524"/>
    <x v="25"/>
    <x v="22"/>
    <x v="2"/>
    <x v="3"/>
    <x v="0"/>
    <x v="21"/>
    <x v="3"/>
    <x v="4"/>
    <x v="2"/>
  </r>
  <r>
    <x v="611"/>
    <x v="7"/>
    <x v="1"/>
    <n v="31"/>
    <n v="62"/>
    <x v="25"/>
    <x v="22"/>
    <x v="2"/>
    <x v="0"/>
    <x v="2"/>
    <x v="1"/>
    <x v="3"/>
    <x v="4"/>
    <x v="2"/>
  </r>
  <r>
    <x v="612"/>
    <x v="8"/>
    <x v="12"/>
    <n v="37.700000000000003"/>
    <n v="150.80000000000001"/>
    <x v="25"/>
    <x v="22"/>
    <x v="2"/>
    <x v="1"/>
    <x v="0"/>
    <x v="22"/>
    <x v="3"/>
    <x v="4"/>
    <x v="2"/>
  </r>
  <r>
    <x v="613"/>
    <x v="10"/>
    <x v="33"/>
    <n v="43.6"/>
    <n v="1482.4"/>
    <x v="25"/>
    <x v="29"/>
    <x v="2"/>
    <x v="4"/>
    <x v="1"/>
    <x v="3"/>
    <x v="1"/>
    <x v="4"/>
    <x v="2"/>
  </r>
  <r>
    <x v="614"/>
    <x v="9"/>
    <x v="12"/>
    <n v="26.5"/>
    <n v="106"/>
    <x v="25"/>
    <x v="29"/>
    <x v="1"/>
    <x v="0"/>
    <x v="4"/>
    <x v="3"/>
    <x v="1"/>
    <x v="4"/>
    <x v="1"/>
  </r>
  <r>
    <x v="615"/>
    <x v="0"/>
    <x v="1"/>
    <n v="34.6"/>
    <n v="69.2"/>
    <x v="25"/>
    <x v="22"/>
    <x v="1"/>
    <x v="4"/>
    <x v="1"/>
    <x v="3"/>
    <x v="3"/>
    <x v="4"/>
    <x v="1"/>
  </r>
  <r>
    <x v="616"/>
    <x v="8"/>
    <x v="1"/>
    <n v="58.2"/>
    <n v="116.4"/>
    <x v="25"/>
    <x v="22"/>
    <x v="1"/>
    <x v="2"/>
    <x v="2"/>
    <x v="3"/>
    <x v="3"/>
    <x v="4"/>
    <x v="1"/>
  </r>
  <r>
    <x v="617"/>
    <x v="7"/>
    <x v="0"/>
    <n v="30.2"/>
    <n v="30.2"/>
    <x v="26"/>
    <x v="29"/>
    <x v="2"/>
    <x v="2"/>
    <x v="1"/>
    <x v="3"/>
    <x v="3"/>
    <x v="4"/>
    <x v="2"/>
  </r>
  <r>
    <x v="618"/>
    <x v="1"/>
    <x v="7"/>
    <n v="53.2"/>
    <n v="532"/>
    <x v="26"/>
    <x v="29"/>
    <x v="1"/>
    <x v="0"/>
    <x v="2"/>
    <x v="5"/>
    <x v="3"/>
    <x v="4"/>
    <x v="1"/>
  </r>
  <r>
    <x v="619"/>
    <x v="12"/>
    <x v="13"/>
    <n v="51.1"/>
    <n v="306.60000000000002"/>
    <x v="26"/>
    <x v="22"/>
    <x v="1"/>
    <x v="1"/>
    <x v="2"/>
    <x v="5"/>
    <x v="7"/>
    <x v="4"/>
    <x v="1"/>
  </r>
  <r>
    <x v="620"/>
    <x v="1"/>
    <x v="0"/>
    <n v="105.4"/>
    <n v="105.4"/>
    <x v="26"/>
    <x v="27"/>
    <x v="2"/>
    <x v="1"/>
    <x v="2"/>
    <x v="23"/>
    <x v="5"/>
    <x v="4"/>
    <x v="2"/>
  </r>
  <r>
    <x v="621"/>
    <x v="7"/>
    <x v="0"/>
    <n v="57.7"/>
    <n v="57.7"/>
    <x v="26"/>
    <x v="22"/>
    <x v="1"/>
    <x v="0"/>
    <x v="4"/>
    <x v="8"/>
    <x v="7"/>
    <x v="4"/>
    <x v="1"/>
  </r>
  <r>
    <x v="622"/>
    <x v="15"/>
    <x v="1"/>
    <n v="72.400000000000006"/>
    <n v="144.80000000000001"/>
    <x v="26"/>
    <x v="30"/>
    <x v="2"/>
    <x v="0"/>
    <x v="0"/>
    <x v="17"/>
    <x v="0"/>
    <x v="4"/>
    <x v="2"/>
  </r>
  <r>
    <x v="623"/>
    <x v="6"/>
    <x v="1"/>
    <n v="62.5"/>
    <n v="125"/>
    <x v="26"/>
    <x v="29"/>
    <x v="0"/>
    <x v="0"/>
    <x v="2"/>
    <x v="11"/>
    <x v="3"/>
    <x v="4"/>
    <x v="0"/>
  </r>
  <r>
    <x v="624"/>
    <x v="0"/>
    <x v="32"/>
    <n v="11.6"/>
    <n v="255.2"/>
    <x v="26"/>
    <x v="28"/>
    <x v="2"/>
    <x v="3"/>
    <x v="2"/>
    <x v="18"/>
    <x v="1"/>
    <x v="4"/>
    <x v="2"/>
  </r>
  <r>
    <x v="625"/>
    <x v="10"/>
    <x v="7"/>
    <n v="39.6"/>
    <n v="396"/>
    <x v="26"/>
    <x v="28"/>
    <x v="2"/>
    <x v="2"/>
    <x v="2"/>
    <x v="18"/>
    <x v="1"/>
    <x v="4"/>
    <x v="2"/>
  </r>
  <r>
    <x v="626"/>
    <x v="8"/>
    <x v="1"/>
    <n v="40.1"/>
    <n v="80.2"/>
    <x v="26"/>
    <x v="29"/>
    <x v="2"/>
    <x v="2"/>
    <x v="0"/>
    <x v="18"/>
    <x v="3"/>
    <x v="4"/>
    <x v="2"/>
  </r>
  <r>
    <x v="627"/>
    <x v="8"/>
    <x v="2"/>
    <n v="18.600000000000001"/>
    <n v="55.8"/>
    <x v="26"/>
    <x v="29"/>
    <x v="2"/>
    <x v="2"/>
    <x v="0"/>
    <x v="21"/>
    <x v="3"/>
    <x v="4"/>
    <x v="2"/>
  </r>
  <r>
    <x v="628"/>
    <x v="4"/>
    <x v="0"/>
    <n v="58.8"/>
    <n v="58.8"/>
    <x v="26"/>
    <x v="28"/>
    <x v="2"/>
    <x v="0"/>
    <x v="1"/>
    <x v="21"/>
    <x v="1"/>
    <x v="4"/>
    <x v="2"/>
  </r>
  <r>
    <x v="629"/>
    <x v="8"/>
    <x v="1"/>
    <n v="22.1"/>
    <n v="44.2"/>
    <x v="26"/>
    <x v="26"/>
    <x v="1"/>
    <x v="1"/>
    <x v="2"/>
    <x v="21"/>
    <x v="2"/>
    <x v="4"/>
    <x v="1"/>
  </r>
  <r>
    <x v="630"/>
    <x v="2"/>
    <x v="0"/>
    <n v="114.9"/>
    <n v="114.9"/>
    <x v="27"/>
    <x v="28"/>
    <x v="2"/>
    <x v="1"/>
    <x v="1"/>
    <x v="22"/>
    <x v="3"/>
    <x v="4"/>
    <x v="2"/>
  </r>
  <r>
    <x v="631"/>
    <x v="9"/>
    <x v="9"/>
    <n v="75.8"/>
    <n v="379"/>
    <x v="27"/>
    <x v="28"/>
    <x v="1"/>
    <x v="0"/>
    <x v="2"/>
    <x v="3"/>
    <x v="3"/>
    <x v="4"/>
    <x v="1"/>
  </r>
  <r>
    <x v="632"/>
    <x v="14"/>
    <x v="9"/>
    <n v="20.6"/>
    <n v="103"/>
    <x v="27"/>
    <x v="28"/>
    <x v="1"/>
    <x v="2"/>
    <x v="2"/>
    <x v="3"/>
    <x v="3"/>
    <x v="4"/>
    <x v="1"/>
  </r>
  <r>
    <x v="633"/>
    <x v="17"/>
    <x v="2"/>
    <n v="67.900000000000006"/>
    <n v="203.7"/>
    <x v="27"/>
    <x v="28"/>
    <x v="2"/>
    <x v="1"/>
    <x v="1"/>
    <x v="3"/>
    <x v="3"/>
    <x v="4"/>
    <x v="2"/>
  </r>
  <r>
    <x v="634"/>
    <x v="0"/>
    <x v="9"/>
    <n v="27"/>
    <n v="135"/>
    <x v="27"/>
    <x v="32"/>
    <x v="2"/>
    <x v="0"/>
    <x v="2"/>
    <x v="3"/>
    <x v="6"/>
    <x v="4"/>
    <x v="2"/>
  </r>
  <r>
    <x v="635"/>
    <x v="13"/>
    <x v="0"/>
    <n v="50.6"/>
    <n v="50.6"/>
    <x v="27"/>
    <x v="29"/>
    <x v="1"/>
    <x v="0"/>
    <x v="1"/>
    <x v="3"/>
    <x v="7"/>
    <x v="4"/>
    <x v="1"/>
  </r>
  <r>
    <x v="636"/>
    <x v="4"/>
    <x v="9"/>
    <n v="22.1"/>
    <n v="110.5"/>
    <x v="27"/>
    <x v="33"/>
    <x v="1"/>
    <x v="0"/>
    <x v="0"/>
    <x v="3"/>
    <x v="0"/>
    <x v="4"/>
    <x v="1"/>
  </r>
  <r>
    <x v="637"/>
    <x v="8"/>
    <x v="2"/>
    <n v="42.9"/>
    <n v="128.69999999999999"/>
    <x v="27"/>
    <x v="26"/>
    <x v="2"/>
    <x v="0"/>
    <x v="0"/>
    <x v="3"/>
    <x v="1"/>
    <x v="4"/>
    <x v="2"/>
  </r>
  <r>
    <x v="638"/>
    <x v="1"/>
    <x v="5"/>
    <n v="62.4"/>
    <n v="686.4"/>
    <x v="27"/>
    <x v="26"/>
    <x v="2"/>
    <x v="2"/>
    <x v="0"/>
    <x v="3"/>
    <x v="1"/>
    <x v="4"/>
    <x v="2"/>
  </r>
  <r>
    <x v="639"/>
    <x v="13"/>
    <x v="11"/>
    <n v="36.4"/>
    <n v="327.60000000000002"/>
    <x v="27"/>
    <x v="26"/>
    <x v="2"/>
    <x v="0"/>
    <x v="2"/>
    <x v="3"/>
    <x v="1"/>
    <x v="4"/>
    <x v="2"/>
  </r>
  <r>
    <x v="640"/>
    <x v="0"/>
    <x v="1"/>
    <n v="22.5"/>
    <n v="45"/>
    <x v="27"/>
    <x v="27"/>
    <x v="1"/>
    <x v="0"/>
    <x v="0"/>
    <x v="3"/>
    <x v="2"/>
    <x v="4"/>
    <x v="1"/>
  </r>
  <r>
    <x v="641"/>
    <x v="6"/>
    <x v="12"/>
    <n v="70.8"/>
    <n v="283.2"/>
    <x v="27"/>
    <x v="26"/>
    <x v="2"/>
    <x v="4"/>
    <x v="0"/>
    <x v="3"/>
    <x v="1"/>
    <x v="4"/>
    <x v="2"/>
  </r>
  <r>
    <x v="642"/>
    <x v="6"/>
    <x v="9"/>
    <n v="56.6"/>
    <n v="283"/>
    <x v="27"/>
    <x v="26"/>
    <x v="1"/>
    <x v="0"/>
    <x v="1"/>
    <x v="4"/>
    <x v="1"/>
    <x v="4"/>
    <x v="1"/>
  </r>
  <r>
    <x v="643"/>
    <x v="6"/>
    <x v="1"/>
    <n v="47.9"/>
    <n v="95.8"/>
    <x v="27"/>
    <x v="28"/>
    <x v="2"/>
    <x v="0"/>
    <x v="0"/>
    <x v="6"/>
    <x v="3"/>
    <x v="4"/>
    <x v="2"/>
  </r>
  <r>
    <x v="644"/>
    <x v="6"/>
    <x v="8"/>
    <n v="78.400000000000006"/>
    <n v="627.20000000000005"/>
    <x v="27"/>
    <x v="26"/>
    <x v="2"/>
    <x v="1"/>
    <x v="0"/>
    <x v="6"/>
    <x v="1"/>
    <x v="4"/>
    <x v="2"/>
  </r>
  <r>
    <x v="645"/>
    <x v="2"/>
    <x v="21"/>
    <n v="122.1"/>
    <n v="1709.4"/>
    <x v="27"/>
    <x v="33"/>
    <x v="2"/>
    <x v="0"/>
    <x v="2"/>
    <x v="6"/>
    <x v="0"/>
    <x v="4"/>
    <x v="2"/>
  </r>
  <r>
    <x v="646"/>
    <x v="2"/>
    <x v="1"/>
    <n v="83.7"/>
    <n v="167.4"/>
    <x v="28"/>
    <x v="28"/>
    <x v="0"/>
    <x v="1"/>
    <x v="2"/>
    <x v="7"/>
    <x v="7"/>
    <x v="4"/>
    <x v="0"/>
  </r>
  <r>
    <x v="647"/>
    <x v="3"/>
    <x v="12"/>
    <n v="97.9"/>
    <n v="391.6"/>
    <x v="28"/>
    <x v="33"/>
    <x v="2"/>
    <x v="3"/>
    <x v="2"/>
    <x v="7"/>
    <x v="5"/>
    <x v="4"/>
    <x v="2"/>
  </r>
  <r>
    <x v="648"/>
    <x v="14"/>
    <x v="0"/>
    <n v="15"/>
    <n v="15"/>
    <x v="28"/>
    <x v="34"/>
    <x v="2"/>
    <x v="3"/>
    <x v="0"/>
    <x v="8"/>
    <x v="0"/>
    <x v="4"/>
    <x v="2"/>
  </r>
  <r>
    <x v="649"/>
    <x v="12"/>
    <x v="2"/>
    <n v="94.6"/>
    <n v="283.8"/>
    <x v="28"/>
    <x v="26"/>
    <x v="1"/>
    <x v="2"/>
    <x v="1"/>
    <x v="8"/>
    <x v="3"/>
    <x v="4"/>
    <x v="1"/>
  </r>
  <r>
    <x v="650"/>
    <x v="0"/>
    <x v="13"/>
    <n v="19.7"/>
    <n v="118.2"/>
    <x v="28"/>
    <x v="35"/>
    <x v="2"/>
    <x v="0"/>
    <x v="2"/>
    <x v="8"/>
    <x v="11"/>
    <x v="4"/>
    <x v="2"/>
  </r>
  <r>
    <x v="651"/>
    <x v="7"/>
    <x v="0"/>
    <n v="46.7"/>
    <n v="46.7"/>
    <x v="28"/>
    <x v="30"/>
    <x v="2"/>
    <x v="2"/>
    <x v="0"/>
    <x v="17"/>
    <x v="2"/>
    <x v="4"/>
    <x v="2"/>
  </r>
  <r>
    <x v="652"/>
    <x v="1"/>
    <x v="12"/>
    <n v="43"/>
    <n v="172"/>
    <x v="28"/>
    <x v="26"/>
    <x v="1"/>
    <x v="2"/>
    <x v="2"/>
    <x v="17"/>
    <x v="3"/>
    <x v="4"/>
    <x v="1"/>
  </r>
  <r>
    <x v="653"/>
    <x v="6"/>
    <x v="2"/>
    <n v="68.2"/>
    <n v="204.6"/>
    <x v="28"/>
    <x v="32"/>
    <x v="2"/>
    <x v="0"/>
    <x v="0"/>
    <x v="9"/>
    <x v="4"/>
    <x v="4"/>
    <x v="2"/>
  </r>
  <r>
    <x v="654"/>
    <x v="10"/>
    <x v="7"/>
    <n v="24.3"/>
    <n v="243"/>
    <x v="28"/>
    <x v="26"/>
    <x v="1"/>
    <x v="0"/>
    <x v="2"/>
    <x v="10"/>
    <x v="3"/>
    <x v="4"/>
    <x v="1"/>
  </r>
  <r>
    <x v="655"/>
    <x v="7"/>
    <x v="1"/>
    <n v="86.8"/>
    <n v="173.6"/>
    <x v="28"/>
    <x v="33"/>
    <x v="2"/>
    <x v="4"/>
    <x v="2"/>
    <x v="11"/>
    <x v="5"/>
    <x v="4"/>
    <x v="2"/>
  </r>
  <r>
    <x v="656"/>
    <x v="0"/>
    <x v="1"/>
    <n v="15.8"/>
    <n v="31.6"/>
    <x v="28"/>
    <x v="27"/>
    <x v="1"/>
    <x v="1"/>
    <x v="0"/>
    <x v="11"/>
    <x v="1"/>
    <x v="4"/>
    <x v="1"/>
  </r>
  <r>
    <x v="657"/>
    <x v="2"/>
    <x v="12"/>
    <n v="61.6"/>
    <n v="246.4"/>
    <x v="28"/>
    <x v="26"/>
    <x v="1"/>
    <x v="2"/>
    <x v="0"/>
    <x v="11"/>
    <x v="3"/>
    <x v="4"/>
    <x v="1"/>
  </r>
  <r>
    <x v="658"/>
    <x v="6"/>
    <x v="2"/>
    <n v="48.7"/>
    <n v="146.1"/>
    <x v="28"/>
    <x v="32"/>
    <x v="2"/>
    <x v="1"/>
    <x v="2"/>
    <x v="21"/>
    <x v="4"/>
    <x v="4"/>
    <x v="2"/>
  </r>
  <r>
    <x v="659"/>
    <x v="8"/>
    <x v="12"/>
    <n v="24.3"/>
    <n v="97.2"/>
    <x v="28"/>
    <x v="27"/>
    <x v="2"/>
    <x v="1"/>
    <x v="2"/>
    <x v="21"/>
    <x v="1"/>
    <x v="4"/>
    <x v="2"/>
  </r>
  <r>
    <x v="660"/>
    <x v="2"/>
    <x v="1"/>
    <n v="130.69999999999999"/>
    <n v="261.39999999999998"/>
    <x v="28"/>
    <x v="26"/>
    <x v="2"/>
    <x v="2"/>
    <x v="0"/>
    <x v="20"/>
    <x v="3"/>
    <x v="4"/>
    <x v="2"/>
  </r>
  <r>
    <x v="661"/>
    <x v="10"/>
    <x v="0"/>
    <n v="26"/>
    <n v="26"/>
    <x v="28"/>
    <x v="27"/>
    <x v="1"/>
    <x v="0"/>
    <x v="0"/>
    <x v="3"/>
    <x v="1"/>
    <x v="4"/>
    <x v="1"/>
  </r>
  <r>
    <x v="662"/>
    <x v="2"/>
    <x v="9"/>
    <n v="94.4"/>
    <n v="472"/>
    <x v="28"/>
    <x v="26"/>
    <x v="2"/>
    <x v="0"/>
    <x v="0"/>
    <x v="3"/>
    <x v="3"/>
    <x v="4"/>
    <x v="2"/>
  </r>
  <r>
    <x v="663"/>
    <x v="0"/>
    <x v="13"/>
    <n v="23.7"/>
    <n v="142.19999999999999"/>
    <x v="28"/>
    <x v="27"/>
    <x v="1"/>
    <x v="2"/>
    <x v="2"/>
    <x v="3"/>
    <x v="1"/>
    <x v="4"/>
    <x v="1"/>
  </r>
  <r>
    <x v="664"/>
    <x v="9"/>
    <x v="4"/>
    <n v="37.4"/>
    <n v="448.8"/>
    <x v="28"/>
    <x v="27"/>
    <x v="1"/>
    <x v="2"/>
    <x v="0"/>
    <x v="3"/>
    <x v="1"/>
    <x v="4"/>
    <x v="1"/>
  </r>
  <r>
    <x v="665"/>
    <x v="1"/>
    <x v="34"/>
    <n v="55.2"/>
    <n v="1987.2"/>
    <x v="28"/>
    <x v="28"/>
    <x v="2"/>
    <x v="3"/>
    <x v="1"/>
    <x v="3"/>
    <x v="7"/>
    <x v="4"/>
    <x v="2"/>
  </r>
  <r>
    <x v="666"/>
    <x v="2"/>
    <x v="11"/>
    <n v="57.1"/>
    <n v="513.9"/>
    <x v="28"/>
    <x v="27"/>
    <x v="1"/>
    <x v="0"/>
    <x v="2"/>
    <x v="3"/>
    <x v="1"/>
    <x v="4"/>
    <x v="1"/>
  </r>
  <r>
    <x v="667"/>
    <x v="12"/>
    <x v="0"/>
    <n v="55.3"/>
    <n v="55.3"/>
    <x v="28"/>
    <x v="26"/>
    <x v="2"/>
    <x v="2"/>
    <x v="2"/>
    <x v="3"/>
    <x v="3"/>
    <x v="4"/>
    <x v="2"/>
  </r>
  <r>
    <x v="668"/>
    <x v="15"/>
    <x v="3"/>
    <n v="23.9"/>
    <n v="167.3"/>
    <x v="28"/>
    <x v="26"/>
    <x v="2"/>
    <x v="4"/>
    <x v="1"/>
    <x v="3"/>
    <x v="3"/>
    <x v="4"/>
    <x v="2"/>
  </r>
  <r>
    <x v="669"/>
    <x v="0"/>
    <x v="0"/>
    <n v="34.1"/>
    <n v="34.1"/>
    <x v="28"/>
    <x v="36"/>
    <x v="2"/>
    <x v="2"/>
    <x v="0"/>
    <x v="3"/>
    <x v="6"/>
    <x v="4"/>
    <x v="2"/>
  </r>
  <r>
    <x v="670"/>
    <x v="12"/>
    <x v="12"/>
    <n v="38.5"/>
    <n v="154"/>
    <x v="28"/>
    <x v="35"/>
    <x v="2"/>
    <x v="0"/>
    <x v="0"/>
    <x v="3"/>
    <x v="11"/>
    <x v="4"/>
    <x v="2"/>
  </r>
  <r>
    <x v="671"/>
    <x v="7"/>
    <x v="1"/>
    <n v="105"/>
    <n v="210"/>
    <x v="28"/>
    <x v="32"/>
    <x v="2"/>
    <x v="0"/>
    <x v="2"/>
    <x v="3"/>
    <x v="4"/>
    <x v="4"/>
    <x v="2"/>
  </r>
  <r>
    <x v="672"/>
    <x v="8"/>
    <x v="9"/>
    <n v="45.2"/>
    <n v="226"/>
    <x v="28"/>
    <x v="27"/>
    <x v="2"/>
    <x v="0"/>
    <x v="2"/>
    <x v="3"/>
    <x v="1"/>
    <x v="4"/>
    <x v="2"/>
  </r>
  <r>
    <x v="673"/>
    <x v="17"/>
    <x v="2"/>
    <n v="24.8"/>
    <n v="74.400000000000006"/>
    <x v="28"/>
    <x v="28"/>
    <x v="0"/>
    <x v="0"/>
    <x v="1"/>
    <x v="3"/>
    <x v="7"/>
    <x v="4"/>
    <x v="0"/>
  </r>
  <r>
    <x v="674"/>
    <x v="11"/>
    <x v="12"/>
    <n v="43.8"/>
    <n v="175.2"/>
    <x v="28"/>
    <x v="36"/>
    <x v="2"/>
    <x v="1"/>
    <x v="2"/>
    <x v="6"/>
    <x v="6"/>
    <x v="4"/>
    <x v="2"/>
  </r>
  <r>
    <x v="675"/>
    <x v="1"/>
    <x v="0"/>
    <n v="75"/>
    <n v="75"/>
    <x v="28"/>
    <x v="27"/>
    <x v="2"/>
    <x v="4"/>
    <x v="1"/>
    <x v="6"/>
    <x v="1"/>
    <x v="4"/>
    <x v="2"/>
  </r>
  <r>
    <x v="676"/>
    <x v="2"/>
    <x v="0"/>
    <n v="169.9"/>
    <n v="169.9"/>
    <x v="28"/>
    <x v="26"/>
    <x v="1"/>
    <x v="2"/>
    <x v="0"/>
    <x v="6"/>
    <x v="3"/>
    <x v="4"/>
    <x v="1"/>
  </r>
  <r>
    <x v="677"/>
    <x v="9"/>
    <x v="1"/>
    <n v="72.2"/>
    <n v="144.4"/>
    <x v="28"/>
    <x v="27"/>
    <x v="2"/>
    <x v="4"/>
    <x v="1"/>
    <x v="6"/>
    <x v="1"/>
    <x v="4"/>
    <x v="2"/>
  </r>
  <r>
    <x v="678"/>
    <x v="0"/>
    <x v="0"/>
    <n v="20"/>
    <n v="20"/>
    <x v="29"/>
    <x v="33"/>
    <x v="2"/>
    <x v="2"/>
    <x v="1"/>
    <x v="7"/>
    <x v="2"/>
    <x v="4"/>
    <x v="2"/>
  </r>
  <r>
    <x v="679"/>
    <x v="9"/>
    <x v="1"/>
    <n v="40.799999999999997"/>
    <n v="81.599999999999994"/>
    <x v="29"/>
    <x v="30"/>
    <x v="2"/>
    <x v="3"/>
    <x v="2"/>
    <x v="8"/>
    <x v="1"/>
    <x v="4"/>
    <x v="2"/>
  </r>
  <r>
    <x v="680"/>
    <x v="10"/>
    <x v="12"/>
    <n v="58"/>
    <n v="232"/>
    <x v="29"/>
    <x v="34"/>
    <x v="2"/>
    <x v="0"/>
    <x v="0"/>
    <x v="8"/>
    <x v="5"/>
    <x v="4"/>
    <x v="2"/>
  </r>
  <r>
    <x v="681"/>
    <x v="12"/>
    <x v="1"/>
    <n v="43.1"/>
    <n v="86.2"/>
    <x v="29"/>
    <x v="27"/>
    <x v="2"/>
    <x v="1"/>
    <x v="2"/>
    <x v="8"/>
    <x v="3"/>
    <x v="4"/>
    <x v="2"/>
  </r>
  <r>
    <x v="682"/>
    <x v="6"/>
    <x v="11"/>
    <n v="74.7"/>
    <n v="672.30000000000007"/>
    <x v="29"/>
    <x v="30"/>
    <x v="1"/>
    <x v="0"/>
    <x v="2"/>
    <x v="8"/>
    <x v="1"/>
    <x v="4"/>
    <x v="1"/>
  </r>
  <r>
    <x v="683"/>
    <x v="6"/>
    <x v="0"/>
    <n v="128.19999999999999"/>
    <n v="128.19999999999999"/>
    <x v="29"/>
    <x v="26"/>
    <x v="1"/>
    <x v="1"/>
    <x v="0"/>
    <x v="8"/>
    <x v="7"/>
    <x v="4"/>
    <x v="1"/>
  </r>
  <r>
    <x v="684"/>
    <x v="14"/>
    <x v="12"/>
    <n v="26.7"/>
    <n v="106.8"/>
    <x v="29"/>
    <x v="27"/>
    <x v="1"/>
    <x v="1"/>
    <x v="0"/>
    <x v="8"/>
    <x v="3"/>
    <x v="4"/>
    <x v="1"/>
  </r>
  <r>
    <x v="685"/>
    <x v="17"/>
    <x v="13"/>
    <n v="31.5"/>
    <n v="189"/>
    <x v="29"/>
    <x v="27"/>
    <x v="2"/>
    <x v="2"/>
    <x v="0"/>
    <x v="17"/>
    <x v="3"/>
    <x v="4"/>
    <x v="2"/>
  </r>
  <r>
    <x v="686"/>
    <x v="3"/>
    <x v="3"/>
    <n v="64.7"/>
    <n v="452.9"/>
    <x v="29"/>
    <x v="27"/>
    <x v="2"/>
    <x v="0"/>
    <x v="2"/>
    <x v="9"/>
    <x v="3"/>
    <x v="4"/>
    <x v="2"/>
  </r>
  <r>
    <x v="687"/>
    <x v="5"/>
    <x v="1"/>
    <n v="55.6"/>
    <n v="111.2"/>
    <x v="29"/>
    <x v="33"/>
    <x v="2"/>
    <x v="3"/>
    <x v="0"/>
    <x v="11"/>
    <x v="2"/>
    <x v="4"/>
    <x v="2"/>
  </r>
  <r>
    <x v="688"/>
    <x v="3"/>
    <x v="1"/>
    <n v="36.200000000000003"/>
    <n v="72.400000000000006"/>
    <x v="29"/>
    <x v="27"/>
    <x v="2"/>
    <x v="3"/>
    <x v="0"/>
    <x v="11"/>
    <x v="3"/>
    <x v="4"/>
    <x v="2"/>
  </r>
  <r>
    <x v="689"/>
    <x v="0"/>
    <x v="0"/>
    <n v="26.6"/>
    <n v="26.6"/>
    <x v="29"/>
    <x v="27"/>
    <x v="0"/>
    <x v="1"/>
    <x v="1"/>
    <x v="19"/>
    <x v="3"/>
    <x v="4"/>
    <x v="0"/>
  </r>
  <r>
    <x v="690"/>
    <x v="10"/>
    <x v="12"/>
    <n v="31.5"/>
    <n v="126"/>
    <x v="29"/>
    <x v="30"/>
    <x v="1"/>
    <x v="0"/>
    <x v="0"/>
    <x v="31"/>
    <x v="1"/>
    <x v="4"/>
    <x v="1"/>
  </r>
  <r>
    <x v="691"/>
    <x v="10"/>
    <x v="0"/>
    <n v="27"/>
    <n v="27"/>
    <x v="29"/>
    <x v="30"/>
    <x v="2"/>
    <x v="1"/>
    <x v="2"/>
    <x v="13"/>
    <x v="1"/>
    <x v="4"/>
    <x v="2"/>
  </r>
  <r>
    <x v="692"/>
    <x v="4"/>
    <x v="0"/>
    <n v="32"/>
    <n v="32"/>
    <x v="29"/>
    <x v="33"/>
    <x v="1"/>
    <x v="3"/>
    <x v="0"/>
    <x v="21"/>
    <x v="2"/>
    <x v="4"/>
    <x v="1"/>
  </r>
  <r>
    <x v="693"/>
    <x v="1"/>
    <x v="2"/>
    <n v="48.1"/>
    <n v="144.30000000000001"/>
    <x v="29"/>
    <x v="30"/>
    <x v="1"/>
    <x v="2"/>
    <x v="1"/>
    <x v="1"/>
    <x v="1"/>
    <x v="4"/>
    <x v="1"/>
  </r>
  <r>
    <x v="694"/>
    <x v="9"/>
    <x v="1"/>
    <n v="43.4"/>
    <n v="86.8"/>
    <x v="29"/>
    <x v="27"/>
    <x v="1"/>
    <x v="1"/>
    <x v="1"/>
    <x v="22"/>
    <x v="3"/>
    <x v="4"/>
    <x v="1"/>
  </r>
  <r>
    <x v="695"/>
    <x v="6"/>
    <x v="1"/>
    <n v="42.6"/>
    <n v="85.2"/>
    <x v="29"/>
    <x v="33"/>
    <x v="2"/>
    <x v="3"/>
    <x v="0"/>
    <x v="22"/>
    <x v="2"/>
    <x v="4"/>
    <x v="2"/>
  </r>
  <r>
    <x v="696"/>
    <x v="8"/>
    <x v="1"/>
    <n v="15.9"/>
    <n v="31.8"/>
    <x v="29"/>
    <x v="27"/>
    <x v="2"/>
    <x v="0"/>
    <x v="0"/>
    <x v="0"/>
    <x v="3"/>
    <x v="4"/>
    <x v="2"/>
  </r>
  <r>
    <x v="697"/>
    <x v="9"/>
    <x v="1"/>
    <n v="63.2"/>
    <n v="126.4"/>
    <x v="29"/>
    <x v="27"/>
    <x v="1"/>
    <x v="1"/>
    <x v="0"/>
    <x v="3"/>
    <x v="3"/>
    <x v="4"/>
    <x v="1"/>
  </r>
  <r>
    <x v="698"/>
    <x v="7"/>
    <x v="12"/>
    <n v="64.8"/>
    <n v="259.2"/>
    <x v="29"/>
    <x v="30"/>
    <x v="0"/>
    <x v="4"/>
    <x v="1"/>
    <x v="3"/>
    <x v="1"/>
    <x v="4"/>
    <x v="0"/>
  </r>
  <r>
    <x v="699"/>
    <x v="7"/>
    <x v="2"/>
    <n v="79.8"/>
    <n v="239.4"/>
    <x v="29"/>
    <x v="27"/>
    <x v="1"/>
    <x v="0"/>
    <x v="0"/>
    <x v="3"/>
    <x v="3"/>
    <x v="4"/>
    <x v="1"/>
  </r>
  <r>
    <x v="700"/>
    <x v="9"/>
    <x v="0"/>
    <n v="54.4"/>
    <n v="54.4"/>
    <x v="29"/>
    <x v="30"/>
    <x v="2"/>
    <x v="4"/>
    <x v="2"/>
    <x v="3"/>
    <x v="1"/>
    <x v="4"/>
    <x v="2"/>
  </r>
  <r>
    <x v="701"/>
    <x v="6"/>
    <x v="0"/>
    <n v="87.3"/>
    <n v="87.3"/>
    <x v="29"/>
    <x v="27"/>
    <x v="1"/>
    <x v="1"/>
    <x v="0"/>
    <x v="3"/>
    <x v="3"/>
    <x v="4"/>
    <x v="1"/>
  </r>
  <r>
    <x v="702"/>
    <x v="8"/>
    <x v="12"/>
    <n v="32.4"/>
    <n v="129.6"/>
    <x v="29"/>
    <x v="26"/>
    <x v="1"/>
    <x v="1"/>
    <x v="0"/>
    <x v="3"/>
    <x v="7"/>
    <x v="4"/>
    <x v="1"/>
  </r>
  <r>
    <x v="703"/>
    <x v="2"/>
    <x v="0"/>
    <n v="177.4"/>
    <n v="177.4"/>
    <x v="29"/>
    <x v="34"/>
    <x v="1"/>
    <x v="0"/>
    <x v="2"/>
    <x v="3"/>
    <x v="5"/>
    <x v="4"/>
    <x v="1"/>
  </r>
  <r>
    <x v="704"/>
    <x v="7"/>
    <x v="1"/>
    <n v="70.099999999999994"/>
    <n v="140.19999999999999"/>
    <x v="29"/>
    <x v="27"/>
    <x v="1"/>
    <x v="3"/>
    <x v="1"/>
    <x v="3"/>
    <x v="3"/>
    <x v="4"/>
    <x v="1"/>
  </r>
  <r>
    <x v="705"/>
    <x v="9"/>
    <x v="13"/>
    <n v="51.1"/>
    <n v="306.60000000000002"/>
    <x v="29"/>
    <x v="27"/>
    <x v="2"/>
    <x v="0"/>
    <x v="0"/>
    <x v="3"/>
    <x v="3"/>
    <x v="4"/>
    <x v="2"/>
  </r>
  <r>
    <x v="706"/>
    <x v="2"/>
    <x v="9"/>
    <n v="79.900000000000006"/>
    <n v="399.5"/>
    <x v="29"/>
    <x v="30"/>
    <x v="1"/>
    <x v="3"/>
    <x v="2"/>
    <x v="24"/>
    <x v="1"/>
    <x v="4"/>
    <x v="1"/>
  </r>
  <r>
    <x v="707"/>
    <x v="6"/>
    <x v="0"/>
    <n v="57.6"/>
    <n v="57.6"/>
    <x v="30"/>
    <x v="36"/>
    <x v="1"/>
    <x v="0"/>
    <x v="2"/>
    <x v="25"/>
    <x v="0"/>
    <x v="4"/>
    <x v="1"/>
  </r>
  <r>
    <x v="708"/>
    <x v="8"/>
    <x v="7"/>
    <n v="59.7"/>
    <n v="597"/>
    <x v="30"/>
    <x v="32"/>
    <x v="1"/>
    <x v="2"/>
    <x v="0"/>
    <x v="25"/>
    <x v="5"/>
    <x v="4"/>
    <x v="1"/>
  </r>
  <r>
    <x v="709"/>
    <x v="8"/>
    <x v="9"/>
    <n v="30"/>
    <n v="150"/>
    <x v="30"/>
    <x v="33"/>
    <x v="1"/>
    <x v="1"/>
    <x v="0"/>
    <x v="6"/>
    <x v="1"/>
    <x v="4"/>
    <x v="1"/>
  </r>
  <r>
    <x v="710"/>
    <x v="10"/>
    <x v="1"/>
    <n v="69.2"/>
    <n v="138.4"/>
    <x v="30"/>
    <x v="33"/>
    <x v="0"/>
    <x v="2"/>
    <x v="1"/>
    <x v="6"/>
    <x v="1"/>
    <x v="4"/>
    <x v="0"/>
  </r>
  <r>
    <x v="711"/>
    <x v="0"/>
    <x v="8"/>
    <n v="10.9"/>
    <n v="87.2"/>
    <x v="30"/>
    <x v="30"/>
    <x v="2"/>
    <x v="0"/>
    <x v="2"/>
    <x v="6"/>
    <x v="3"/>
    <x v="4"/>
    <x v="2"/>
  </r>
  <r>
    <x v="712"/>
    <x v="16"/>
    <x v="1"/>
    <n v="48.6"/>
    <n v="97.2"/>
    <x v="30"/>
    <x v="32"/>
    <x v="1"/>
    <x v="1"/>
    <x v="2"/>
    <x v="6"/>
    <x v="5"/>
    <x v="4"/>
    <x v="1"/>
  </r>
  <r>
    <x v="713"/>
    <x v="2"/>
    <x v="1"/>
    <n v="61.1"/>
    <n v="122.2"/>
    <x v="30"/>
    <x v="34"/>
    <x v="2"/>
    <x v="1"/>
    <x v="2"/>
    <x v="7"/>
    <x v="2"/>
    <x v="4"/>
    <x v="2"/>
  </r>
  <r>
    <x v="714"/>
    <x v="8"/>
    <x v="1"/>
    <n v="23.2"/>
    <n v="46.4"/>
    <x v="30"/>
    <x v="30"/>
    <x v="1"/>
    <x v="3"/>
    <x v="2"/>
    <x v="8"/>
    <x v="3"/>
    <x v="4"/>
    <x v="1"/>
  </r>
  <r>
    <x v="715"/>
    <x v="12"/>
    <x v="12"/>
    <n v="55.8"/>
    <n v="223.2"/>
    <x v="30"/>
    <x v="30"/>
    <x v="1"/>
    <x v="0"/>
    <x v="0"/>
    <x v="8"/>
    <x v="3"/>
    <x v="4"/>
    <x v="1"/>
  </r>
  <r>
    <x v="716"/>
    <x v="9"/>
    <x v="12"/>
    <n v="24.8"/>
    <n v="99.2"/>
    <x v="30"/>
    <x v="30"/>
    <x v="2"/>
    <x v="0"/>
    <x v="2"/>
    <x v="8"/>
    <x v="3"/>
    <x v="4"/>
    <x v="2"/>
  </r>
  <r>
    <x v="717"/>
    <x v="10"/>
    <x v="1"/>
    <n v="27.9"/>
    <n v="55.8"/>
    <x v="30"/>
    <x v="27"/>
    <x v="1"/>
    <x v="2"/>
    <x v="2"/>
    <x v="8"/>
    <x v="7"/>
    <x v="4"/>
    <x v="1"/>
  </r>
  <r>
    <x v="718"/>
    <x v="10"/>
    <x v="13"/>
    <n v="51.1"/>
    <n v="306.60000000000002"/>
    <x v="30"/>
    <x v="27"/>
    <x v="2"/>
    <x v="3"/>
    <x v="0"/>
    <x v="8"/>
    <x v="7"/>
    <x v="4"/>
    <x v="2"/>
  </r>
  <r>
    <x v="719"/>
    <x v="17"/>
    <x v="5"/>
    <n v="32.700000000000003"/>
    <n v="359.7"/>
    <x v="30"/>
    <x v="30"/>
    <x v="1"/>
    <x v="4"/>
    <x v="2"/>
    <x v="17"/>
    <x v="3"/>
    <x v="4"/>
    <x v="1"/>
  </r>
  <r>
    <x v="720"/>
    <x v="8"/>
    <x v="12"/>
    <n v="22.5"/>
    <n v="90"/>
    <x v="30"/>
    <x v="27"/>
    <x v="1"/>
    <x v="0"/>
    <x v="2"/>
    <x v="26"/>
    <x v="7"/>
    <x v="4"/>
    <x v="1"/>
  </r>
  <r>
    <x v="721"/>
    <x v="0"/>
    <x v="3"/>
    <n v="14.6"/>
    <n v="102.2"/>
    <x v="30"/>
    <x v="30"/>
    <x v="2"/>
    <x v="2"/>
    <x v="0"/>
    <x v="16"/>
    <x v="3"/>
    <x v="4"/>
    <x v="2"/>
  </r>
  <r>
    <x v="722"/>
    <x v="5"/>
    <x v="2"/>
    <n v="32.5"/>
    <n v="97.5"/>
    <x v="30"/>
    <x v="34"/>
    <x v="1"/>
    <x v="0"/>
    <x v="0"/>
    <x v="10"/>
    <x v="2"/>
    <x v="4"/>
    <x v="1"/>
  </r>
  <r>
    <x v="723"/>
    <x v="18"/>
    <x v="0"/>
    <n v="78.099999999999994"/>
    <n v="78.099999999999994"/>
    <x v="30"/>
    <x v="34"/>
    <x v="1"/>
    <x v="0"/>
    <x v="2"/>
    <x v="11"/>
    <x v="2"/>
    <x v="4"/>
    <x v="1"/>
  </r>
  <r>
    <x v="724"/>
    <x v="12"/>
    <x v="13"/>
    <n v="110.2"/>
    <n v="661.2"/>
    <x v="30"/>
    <x v="27"/>
    <x v="1"/>
    <x v="1"/>
    <x v="4"/>
    <x v="13"/>
    <x v="7"/>
    <x v="4"/>
    <x v="1"/>
  </r>
  <r>
    <x v="725"/>
    <x v="6"/>
    <x v="2"/>
    <n v="86.3"/>
    <n v="258.89999999999998"/>
    <x v="30"/>
    <x v="33"/>
    <x v="2"/>
    <x v="3"/>
    <x v="0"/>
    <x v="21"/>
    <x v="1"/>
    <x v="4"/>
    <x v="2"/>
  </r>
  <r>
    <x v="726"/>
    <x v="1"/>
    <x v="13"/>
    <n v="73.599999999999994"/>
    <n v="441.6"/>
    <x v="30"/>
    <x v="33"/>
    <x v="3"/>
    <x v="3"/>
    <x v="4"/>
    <x v="20"/>
    <x v="1"/>
    <x v="4"/>
    <x v="3"/>
  </r>
  <r>
    <x v="727"/>
    <x v="6"/>
    <x v="15"/>
    <n v="67.7"/>
    <n v="880.1"/>
    <x v="30"/>
    <x v="33"/>
    <x v="2"/>
    <x v="0"/>
    <x v="2"/>
    <x v="3"/>
    <x v="1"/>
    <x v="4"/>
    <x v="2"/>
  </r>
  <r>
    <x v="728"/>
    <x v="7"/>
    <x v="13"/>
    <n v="142.19999999999999"/>
    <n v="853.19999999999993"/>
    <x v="30"/>
    <x v="30"/>
    <x v="2"/>
    <x v="2"/>
    <x v="4"/>
    <x v="3"/>
    <x v="3"/>
    <x v="4"/>
    <x v="2"/>
  </r>
  <r>
    <x v="729"/>
    <x v="1"/>
    <x v="11"/>
    <n v="45.8"/>
    <n v="412.2"/>
    <x v="30"/>
    <x v="33"/>
    <x v="2"/>
    <x v="1"/>
    <x v="2"/>
    <x v="3"/>
    <x v="1"/>
    <x v="4"/>
    <x v="2"/>
  </r>
  <r>
    <x v="730"/>
    <x v="10"/>
    <x v="1"/>
    <n v="24.2"/>
    <n v="48.4"/>
    <x v="31"/>
    <x v="32"/>
    <x v="2"/>
    <x v="3"/>
    <x v="2"/>
    <x v="3"/>
    <x v="2"/>
    <x v="4"/>
    <x v="2"/>
  </r>
  <r>
    <x v="731"/>
    <x v="2"/>
    <x v="2"/>
    <n v="144.9"/>
    <n v="434.7"/>
    <x v="31"/>
    <x v="33"/>
    <x v="3"/>
    <x v="2"/>
    <x v="2"/>
    <x v="3"/>
    <x v="3"/>
    <x v="4"/>
    <x v="3"/>
  </r>
  <r>
    <x v="732"/>
    <x v="11"/>
    <x v="9"/>
    <n v="32.799999999999997"/>
    <n v="164"/>
    <x v="31"/>
    <x v="32"/>
    <x v="2"/>
    <x v="2"/>
    <x v="0"/>
    <x v="23"/>
    <x v="2"/>
    <x v="4"/>
    <x v="2"/>
  </r>
  <r>
    <x v="733"/>
    <x v="7"/>
    <x v="7"/>
    <n v="35.700000000000003"/>
    <n v="357"/>
    <x v="31"/>
    <x v="30"/>
    <x v="2"/>
    <x v="0"/>
    <x v="1"/>
    <x v="6"/>
    <x v="7"/>
    <x v="4"/>
    <x v="2"/>
  </r>
  <r>
    <x v="734"/>
    <x v="9"/>
    <x v="1"/>
    <n v="54.6"/>
    <n v="109.2"/>
    <x v="31"/>
    <x v="33"/>
    <x v="2"/>
    <x v="2"/>
    <x v="0"/>
    <x v="6"/>
    <x v="3"/>
    <x v="4"/>
    <x v="2"/>
  </r>
  <r>
    <x v="735"/>
    <x v="8"/>
    <x v="1"/>
    <n v="35.700000000000003"/>
    <n v="71.400000000000006"/>
    <x v="31"/>
    <x v="32"/>
    <x v="0"/>
    <x v="0"/>
    <x v="1"/>
    <x v="6"/>
    <x v="2"/>
    <x v="4"/>
    <x v="0"/>
  </r>
  <r>
    <x v="736"/>
    <x v="10"/>
    <x v="1"/>
    <n v="52.4"/>
    <n v="104.8"/>
    <x v="31"/>
    <x v="30"/>
    <x v="2"/>
    <x v="0"/>
    <x v="3"/>
    <x v="6"/>
    <x v="7"/>
    <x v="4"/>
    <x v="2"/>
  </r>
  <r>
    <x v="737"/>
    <x v="8"/>
    <x v="21"/>
    <n v="16.2"/>
    <n v="226.8"/>
    <x v="31"/>
    <x v="33"/>
    <x v="0"/>
    <x v="0"/>
    <x v="1"/>
    <x v="8"/>
    <x v="3"/>
    <x v="4"/>
    <x v="0"/>
  </r>
  <r>
    <x v="738"/>
    <x v="6"/>
    <x v="35"/>
    <n v="42.8"/>
    <n v="2011.6"/>
    <x v="31"/>
    <x v="33"/>
    <x v="2"/>
    <x v="0"/>
    <x v="0"/>
    <x v="8"/>
    <x v="3"/>
    <x v="4"/>
    <x v="2"/>
  </r>
  <r>
    <x v="739"/>
    <x v="6"/>
    <x v="11"/>
    <n v="144.4"/>
    <n v="1299.5999999999999"/>
    <x v="31"/>
    <x v="32"/>
    <x v="2"/>
    <x v="4"/>
    <x v="0"/>
    <x v="8"/>
    <x v="2"/>
    <x v="4"/>
    <x v="2"/>
  </r>
  <r>
    <x v="740"/>
    <x v="3"/>
    <x v="34"/>
    <n v="30.6"/>
    <n v="1101.5999999999999"/>
    <x v="31"/>
    <x v="36"/>
    <x v="2"/>
    <x v="2"/>
    <x v="2"/>
    <x v="11"/>
    <x v="5"/>
    <x v="4"/>
    <x v="2"/>
  </r>
  <r>
    <x v="741"/>
    <x v="2"/>
    <x v="1"/>
    <n v="117.5"/>
    <n v="235"/>
    <x v="31"/>
    <x v="33"/>
    <x v="1"/>
    <x v="0"/>
    <x v="0"/>
    <x v="19"/>
    <x v="3"/>
    <x v="4"/>
    <x v="1"/>
  </r>
  <r>
    <x v="742"/>
    <x v="6"/>
    <x v="1"/>
    <n v="105.7"/>
    <n v="211.4"/>
    <x v="31"/>
    <x v="33"/>
    <x v="2"/>
    <x v="2"/>
    <x v="2"/>
    <x v="21"/>
    <x v="3"/>
    <x v="4"/>
    <x v="2"/>
  </r>
  <r>
    <x v="743"/>
    <x v="3"/>
    <x v="2"/>
    <n v="133.69999999999999"/>
    <n v="401.1"/>
    <x v="31"/>
    <x v="33"/>
    <x v="0"/>
    <x v="4"/>
    <x v="2"/>
    <x v="21"/>
    <x v="3"/>
    <x v="4"/>
    <x v="0"/>
  </r>
  <r>
    <x v="744"/>
    <x v="4"/>
    <x v="9"/>
    <n v="46.8"/>
    <n v="234"/>
    <x v="32"/>
    <x v="37"/>
    <x v="2"/>
    <x v="0"/>
    <x v="1"/>
    <x v="21"/>
    <x v="9"/>
    <x v="5"/>
    <x v="2"/>
  </r>
  <r>
    <x v="745"/>
    <x v="10"/>
    <x v="2"/>
    <n v="58.4"/>
    <n v="175.2"/>
    <x v="32"/>
    <x v="32"/>
    <x v="2"/>
    <x v="0"/>
    <x v="0"/>
    <x v="1"/>
    <x v="1"/>
    <x v="5"/>
    <x v="2"/>
  </r>
  <r>
    <x v="746"/>
    <x v="6"/>
    <x v="11"/>
    <n v="65.099999999999994"/>
    <n v="585.9"/>
    <x v="32"/>
    <x v="38"/>
    <x v="1"/>
    <x v="1"/>
    <x v="2"/>
    <x v="22"/>
    <x v="5"/>
    <x v="5"/>
    <x v="1"/>
  </r>
  <r>
    <x v="747"/>
    <x v="8"/>
    <x v="0"/>
    <n v="18.600000000000001"/>
    <n v="18.600000000000001"/>
    <x v="32"/>
    <x v="36"/>
    <x v="2"/>
    <x v="0"/>
    <x v="4"/>
    <x v="22"/>
    <x v="2"/>
    <x v="5"/>
    <x v="2"/>
  </r>
  <r>
    <x v="748"/>
    <x v="1"/>
    <x v="5"/>
    <n v="92.3"/>
    <n v="1015.3"/>
    <x v="32"/>
    <x v="32"/>
    <x v="1"/>
    <x v="1"/>
    <x v="0"/>
    <x v="3"/>
    <x v="1"/>
    <x v="5"/>
    <x v="1"/>
  </r>
  <r>
    <x v="749"/>
    <x v="6"/>
    <x v="2"/>
    <n v="81.7"/>
    <n v="245.1"/>
    <x v="32"/>
    <x v="34"/>
    <x v="0"/>
    <x v="4"/>
    <x v="4"/>
    <x v="3"/>
    <x v="3"/>
    <x v="5"/>
    <x v="0"/>
  </r>
  <r>
    <x v="750"/>
    <x v="8"/>
    <x v="1"/>
    <n v="40.9"/>
    <n v="81.8"/>
    <x v="32"/>
    <x v="32"/>
    <x v="1"/>
    <x v="0"/>
    <x v="1"/>
    <x v="3"/>
    <x v="1"/>
    <x v="5"/>
    <x v="1"/>
  </r>
  <r>
    <x v="751"/>
    <x v="6"/>
    <x v="12"/>
    <n v="43.2"/>
    <n v="172.8"/>
    <x v="32"/>
    <x v="39"/>
    <x v="2"/>
    <x v="0"/>
    <x v="1"/>
    <x v="3"/>
    <x v="4"/>
    <x v="5"/>
    <x v="2"/>
  </r>
  <r>
    <x v="752"/>
    <x v="8"/>
    <x v="5"/>
    <n v="25.8"/>
    <n v="283.8"/>
    <x v="32"/>
    <x v="36"/>
    <x v="1"/>
    <x v="2"/>
    <x v="1"/>
    <x v="3"/>
    <x v="2"/>
    <x v="5"/>
    <x v="1"/>
  </r>
  <r>
    <x v="753"/>
    <x v="15"/>
    <x v="12"/>
    <n v="36.4"/>
    <n v="145.6"/>
    <x v="32"/>
    <x v="34"/>
    <x v="1"/>
    <x v="0"/>
    <x v="0"/>
    <x v="3"/>
    <x v="3"/>
    <x v="5"/>
    <x v="1"/>
  </r>
  <r>
    <x v="754"/>
    <x v="10"/>
    <x v="0"/>
    <n v="59.1"/>
    <n v="59.1"/>
    <x v="32"/>
    <x v="34"/>
    <x v="2"/>
    <x v="2"/>
    <x v="0"/>
    <x v="7"/>
    <x v="3"/>
    <x v="5"/>
    <x v="2"/>
  </r>
  <r>
    <x v="755"/>
    <x v="2"/>
    <x v="14"/>
    <n v="74.5"/>
    <n v="1266.5"/>
    <x v="32"/>
    <x v="32"/>
    <x v="1"/>
    <x v="4"/>
    <x v="0"/>
    <x v="18"/>
    <x v="1"/>
    <x v="5"/>
    <x v="1"/>
  </r>
  <r>
    <x v="756"/>
    <x v="5"/>
    <x v="0"/>
    <n v="72.8"/>
    <n v="72.8"/>
    <x v="32"/>
    <x v="34"/>
    <x v="2"/>
    <x v="0"/>
    <x v="1"/>
    <x v="19"/>
    <x v="3"/>
    <x v="5"/>
    <x v="2"/>
  </r>
  <r>
    <x v="757"/>
    <x v="6"/>
    <x v="12"/>
    <n v="137.30000000000001"/>
    <n v="549.20000000000005"/>
    <x v="32"/>
    <x v="36"/>
    <x v="2"/>
    <x v="0"/>
    <x v="0"/>
    <x v="13"/>
    <x v="2"/>
    <x v="5"/>
    <x v="2"/>
  </r>
  <r>
    <x v="758"/>
    <x v="1"/>
    <x v="2"/>
    <n v="48.7"/>
    <n v="146.1"/>
    <x v="32"/>
    <x v="31"/>
    <x v="2"/>
    <x v="0"/>
    <x v="1"/>
    <x v="21"/>
    <x v="0"/>
    <x v="5"/>
    <x v="2"/>
  </r>
  <r>
    <x v="759"/>
    <x v="6"/>
    <x v="12"/>
    <n v="53.7"/>
    <n v="214.8"/>
    <x v="32"/>
    <x v="38"/>
    <x v="1"/>
    <x v="1"/>
    <x v="4"/>
    <x v="2"/>
    <x v="5"/>
    <x v="5"/>
    <x v="1"/>
  </r>
  <r>
    <x v="760"/>
    <x v="2"/>
    <x v="3"/>
    <n v="100.9"/>
    <n v="706.30000000000007"/>
    <x v="32"/>
    <x v="32"/>
    <x v="2"/>
    <x v="0"/>
    <x v="1"/>
    <x v="2"/>
    <x v="1"/>
    <x v="5"/>
    <x v="2"/>
  </r>
  <r>
    <x v="761"/>
    <x v="10"/>
    <x v="1"/>
    <n v="41.8"/>
    <n v="83.6"/>
    <x v="32"/>
    <x v="38"/>
    <x v="1"/>
    <x v="3"/>
    <x v="2"/>
    <x v="22"/>
    <x v="5"/>
    <x v="5"/>
    <x v="1"/>
  </r>
  <r>
    <x v="762"/>
    <x v="4"/>
    <x v="8"/>
    <n v="28.5"/>
    <n v="228"/>
    <x v="32"/>
    <x v="32"/>
    <x v="1"/>
    <x v="2"/>
    <x v="1"/>
    <x v="3"/>
    <x v="1"/>
    <x v="5"/>
    <x v="1"/>
  </r>
  <r>
    <x v="763"/>
    <x v="7"/>
    <x v="12"/>
    <n v="88.9"/>
    <n v="355.6"/>
    <x v="32"/>
    <x v="36"/>
    <x v="2"/>
    <x v="0"/>
    <x v="2"/>
    <x v="3"/>
    <x v="2"/>
    <x v="5"/>
    <x v="2"/>
  </r>
  <r>
    <x v="764"/>
    <x v="6"/>
    <x v="0"/>
    <n v="62.5"/>
    <n v="62.5"/>
    <x v="32"/>
    <x v="40"/>
    <x v="2"/>
    <x v="0"/>
    <x v="2"/>
    <x v="3"/>
    <x v="8"/>
    <x v="5"/>
    <x v="2"/>
  </r>
  <r>
    <x v="765"/>
    <x v="1"/>
    <x v="2"/>
    <n v="46.9"/>
    <n v="140.69999999999999"/>
    <x v="32"/>
    <x v="34"/>
    <x v="1"/>
    <x v="0"/>
    <x v="2"/>
    <x v="3"/>
    <x v="3"/>
    <x v="5"/>
    <x v="1"/>
  </r>
  <r>
    <x v="766"/>
    <x v="8"/>
    <x v="2"/>
    <n v="45"/>
    <n v="135"/>
    <x v="32"/>
    <x v="41"/>
    <x v="1"/>
    <x v="1"/>
    <x v="0"/>
    <x v="3"/>
    <x v="12"/>
    <x v="5"/>
    <x v="1"/>
  </r>
  <r>
    <x v="767"/>
    <x v="6"/>
    <x v="2"/>
    <n v="45.2"/>
    <n v="135.6"/>
    <x v="32"/>
    <x v="32"/>
    <x v="1"/>
    <x v="4"/>
    <x v="2"/>
    <x v="3"/>
    <x v="1"/>
    <x v="5"/>
    <x v="1"/>
  </r>
  <r>
    <x v="768"/>
    <x v="4"/>
    <x v="1"/>
    <n v="60.1"/>
    <n v="120.2"/>
    <x v="32"/>
    <x v="34"/>
    <x v="2"/>
    <x v="0"/>
    <x v="2"/>
    <x v="3"/>
    <x v="3"/>
    <x v="5"/>
    <x v="2"/>
  </r>
  <r>
    <x v="769"/>
    <x v="12"/>
    <x v="12"/>
    <n v="118.7"/>
    <n v="474.8"/>
    <x v="32"/>
    <x v="32"/>
    <x v="2"/>
    <x v="0"/>
    <x v="0"/>
    <x v="3"/>
    <x v="1"/>
    <x v="5"/>
    <x v="2"/>
  </r>
  <r>
    <x v="770"/>
    <x v="9"/>
    <x v="0"/>
    <n v="57.8"/>
    <n v="57.8"/>
    <x v="32"/>
    <x v="40"/>
    <x v="2"/>
    <x v="1"/>
    <x v="0"/>
    <x v="3"/>
    <x v="8"/>
    <x v="5"/>
    <x v="2"/>
  </r>
  <r>
    <x v="771"/>
    <x v="4"/>
    <x v="0"/>
    <n v="19.5"/>
    <n v="19.5"/>
    <x v="32"/>
    <x v="34"/>
    <x v="1"/>
    <x v="1"/>
    <x v="1"/>
    <x v="3"/>
    <x v="3"/>
    <x v="5"/>
    <x v="1"/>
  </r>
  <r>
    <x v="772"/>
    <x v="12"/>
    <x v="0"/>
    <n v="42.6"/>
    <n v="42.6"/>
    <x v="32"/>
    <x v="34"/>
    <x v="1"/>
    <x v="0"/>
    <x v="1"/>
    <x v="3"/>
    <x v="3"/>
    <x v="5"/>
    <x v="1"/>
  </r>
  <r>
    <x v="773"/>
    <x v="6"/>
    <x v="1"/>
    <n v="74.8"/>
    <n v="149.6"/>
    <x v="32"/>
    <x v="34"/>
    <x v="2"/>
    <x v="3"/>
    <x v="2"/>
    <x v="10"/>
    <x v="3"/>
    <x v="5"/>
    <x v="2"/>
  </r>
  <r>
    <x v="774"/>
    <x v="8"/>
    <x v="2"/>
    <n v="32.5"/>
    <n v="97.5"/>
    <x v="32"/>
    <x v="34"/>
    <x v="1"/>
    <x v="2"/>
    <x v="4"/>
    <x v="16"/>
    <x v="3"/>
    <x v="5"/>
    <x v="1"/>
  </r>
  <r>
    <x v="775"/>
    <x v="2"/>
    <x v="2"/>
    <n v="60.5"/>
    <n v="181.5"/>
    <x v="32"/>
    <x v="33"/>
    <x v="2"/>
    <x v="1"/>
    <x v="2"/>
    <x v="25"/>
    <x v="7"/>
    <x v="5"/>
    <x v="2"/>
  </r>
  <r>
    <x v="776"/>
    <x v="1"/>
    <x v="3"/>
    <n v="57.2"/>
    <n v="400.4"/>
    <x v="32"/>
    <x v="32"/>
    <x v="0"/>
    <x v="2"/>
    <x v="0"/>
    <x v="25"/>
    <x v="1"/>
    <x v="5"/>
    <x v="0"/>
  </r>
  <r>
    <x v="777"/>
    <x v="16"/>
    <x v="1"/>
    <n v="112"/>
    <n v="224"/>
    <x v="32"/>
    <x v="34"/>
    <x v="2"/>
    <x v="1"/>
    <x v="1"/>
    <x v="5"/>
    <x v="3"/>
    <x v="5"/>
    <x v="2"/>
  </r>
  <r>
    <x v="778"/>
    <x v="7"/>
    <x v="7"/>
    <n v="49"/>
    <n v="490"/>
    <x v="32"/>
    <x v="34"/>
    <x v="3"/>
    <x v="2"/>
    <x v="1"/>
    <x v="6"/>
    <x v="3"/>
    <x v="5"/>
    <x v="3"/>
  </r>
  <r>
    <x v="779"/>
    <x v="0"/>
    <x v="1"/>
    <n v="33.700000000000003"/>
    <n v="67.400000000000006"/>
    <x v="32"/>
    <x v="38"/>
    <x v="2"/>
    <x v="3"/>
    <x v="0"/>
    <x v="6"/>
    <x v="5"/>
    <x v="5"/>
    <x v="2"/>
  </r>
  <r>
    <x v="780"/>
    <x v="4"/>
    <x v="2"/>
    <n v="35.6"/>
    <n v="106.8"/>
    <x v="32"/>
    <x v="36"/>
    <x v="2"/>
    <x v="0"/>
    <x v="2"/>
    <x v="6"/>
    <x v="2"/>
    <x v="5"/>
    <x v="2"/>
  </r>
  <r>
    <x v="781"/>
    <x v="4"/>
    <x v="36"/>
    <n v="30.4"/>
    <n v="1064"/>
    <x v="33"/>
    <x v="34"/>
    <x v="2"/>
    <x v="0"/>
    <x v="1"/>
    <x v="7"/>
    <x v="7"/>
    <x v="5"/>
    <x v="2"/>
  </r>
  <r>
    <x v="782"/>
    <x v="10"/>
    <x v="4"/>
    <n v="50.2"/>
    <n v="602.40000000000009"/>
    <x v="33"/>
    <x v="32"/>
    <x v="1"/>
    <x v="4"/>
    <x v="0"/>
    <x v="8"/>
    <x v="3"/>
    <x v="5"/>
    <x v="1"/>
  </r>
  <r>
    <x v="783"/>
    <x v="1"/>
    <x v="1"/>
    <n v="43.7"/>
    <n v="87.4"/>
    <x v="33"/>
    <x v="36"/>
    <x v="2"/>
    <x v="0"/>
    <x v="0"/>
    <x v="8"/>
    <x v="1"/>
    <x v="5"/>
    <x v="2"/>
  </r>
  <r>
    <x v="784"/>
    <x v="10"/>
    <x v="0"/>
    <n v="33.299999999999997"/>
    <n v="33.299999999999997"/>
    <x v="33"/>
    <x v="32"/>
    <x v="2"/>
    <x v="2"/>
    <x v="1"/>
    <x v="8"/>
    <x v="3"/>
    <x v="5"/>
    <x v="2"/>
  </r>
  <r>
    <x v="785"/>
    <x v="8"/>
    <x v="12"/>
    <n v="15.1"/>
    <n v="60.4"/>
    <x v="33"/>
    <x v="36"/>
    <x v="2"/>
    <x v="4"/>
    <x v="2"/>
    <x v="8"/>
    <x v="1"/>
    <x v="5"/>
    <x v="2"/>
  </r>
  <r>
    <x v="786"/>
    <x v="6"/>
    <x v="9"/>
    <n v="118.2"/>
    <n v="591"/>
    <x v="33"/>
    <x v="32"/>
    <x v="2"/>
    <x v="3"/>
    <x v="4"/>
    <x v="8"/>
    <x v="3"/>
    <x v="5"/>
    <x v="2"/>
  </r>
  <r>
    <x v="787"/>
    <x v="10"/>
    <x v="2"/>
    <n v="28.9"/>
    <n v="86.699999999999989"/>
    <x v="33"/>
    <x v="36"/>
    <x v="2"/>
    <x v="2"/>
    <x v="1"/>
    <x v="8"/>
    <x v="1"/>
    <x v="5"/>
    <x v="2"/>
  </r>
  <r>
    <x v="788"/>
    <x v="4"/>
    <x v="2"/>
    <n v="55.6"/>
    <n v="166.8"/>
    <x v="33"/>
    <x v="32"/>
    <x v="1"/>
    <x v="0"/>
    <x v="1"/>
    <x v="8"/>
    <x v="3"/>
    <x v="5"/>
    <x v="1"/>
  </r>
  <r>
    <x v="789"/>
    <x v="9"/>
    <x v="12"/>
    <n v="25.6"/>
    <n v="102.4"/>
    <x v="33"/>
    <x v="36"/>
    <x v="2"/>
    <x v="0"/>
    <x v="1"/>
    <x v="8"/>
    <x v="1"/>
    <x v="5"/>
    <x v="2"/>
  </r>
  <r>
    <x v="790"/>
    <x v="7"/>
    <x v="2"/>
    <n v="31.3"/>
    <n v="93.9"/>
    <x v="33"/>
    <x v="32"/>
    <x v="1"/>
    <x v="0"/>
    <x v="0"/>
    <x v="17"/>
    <x v="3"/>
    <x v="5"/>
    <x v="1"/>
  </r>
  <r>
    <x v="791"/>
    <x v="0"/>
    <x v="2"/>
    <n v="22.1"/>
    <n v="66.300000000000011"/>
    <x v="33"/>
    <x v="31"/>
    <x v="1"/>
    <x v="0"/>
    <x v="0"/>
    <x v="17"/>
    <x v="5"/>
    <x v="5"/>
    <x v="1"/>
  </r>
  <r>
    <x v="792"/>
    <x v="2"/>
    <x v="21"/>
    <n v="99.4"/>
    <n v="1391.6"/>
    <x v="33"/>
    <x v="32"/>
    <x v="1"/>
    <x v="1"/>
    <x v="0"/>
    <x v="11"/>
    <x v="3"/>
    <x v="5"/>
    <x v="1"/>
  </r>
  <r>
    <x v="793"/>
    <x v="7"/>
    <x v="13"/>
    <n v="66.599999999999994"/>
    <n v="399.6"/>
    <x v="33"/>
    <x v="32"/>
    <x v="2"/>
    <x v="0"/>
    <x v="0"/>
    <x v="11"/>
    <x v="3"/>
    <x v="5"/>
    <x v="2"/>
  </r>
  <r>
    <x v="794"/>
    <x v="8"/>
    <x v="1"/>
    <n v="22.6"/>
    <n v="45.2"/>
    <x v="33"/>
    <x v="38"/>
    <x v="1"/>
    <x v="0"/>
    <x v="0"/>
    <x v="11"/>
    <x v="2"/>
    <x v="5"/>
    <x v="1"/>
  </r>
  <r>
    <x v="795"/>
    <x v="2"/>
    <x v="16"/>
    <n v="66.8"/>
    <n v="1202.4000000000001"/>
    <x v="33"/>
    <x v="32"/>
    <x v="2"/>
    <x v="0"/>
    <x v="4"/>
    <x v="13"/>
    <x v="3"/>
    <x v="5"/>
    <x v="2"/>
  </r>
  <r>
    <x v="796"/>
    <x v="0"/>
    <x v="12"/>
    <n v="20.8"/>
    <n v="83.2"/>
    <x v="33"/>
    <x v="37"/>
    <x v="1"/>
    <x v="1"/>
    <x v="4"/>
    <x v="1"/>
    <x v="6"/>
    <x v="5"/>
    <x v="1"/>
  </r>
  <r>
    <x v="797"/>
    <x v="2"/>
    <x v="3"/>
    <n v="102.5"/>
    <n v="717.5"/>
    <x v="33"/>
    <x v="32"/>
    <x v="2"/>
    <x v="4"/>
    <x v="2"/>
    <x v="3"/>
    <x v="3"/>
    <x v="5"/>
    <x v="2"/>
  </r>
  <r>
    <x v="798"/>
    <x v="0"/>
    <x v="16"/>
    <n v="24.8"/>
    <n v="446.4"/>
    <x v="33"/>
    <x v="31"/>
    <x v="2"/>
    <x v="0"/>
    <x v="0"/>
    <x v="3"/>
    <x v="5"/>
    <x v="5"/>
    <x v="2"/>
  </r>
  <r>
    <x v="799"/>
    <x v="4"/>
    <x v="37"/>
    <n v="31.4"/>
    <n v="973.4"/>
    <x v="33"/>
    <x v="32"/>
    <x v="2"/>
    <x v="3"/>
    <x v="0"/>
    <x v="3"/>
    <x v="3"/>
    <x v="5"/>
    <x v="2"/>
  </r>
  <r>
    <x v="800"/>
    <x v="9"/>
    <x v="9"/>
    <n v="59.3"/>
    <n v="296.5"/>
    <x v="33"/>
    <x v="38"/>
    <x v="1"/>
    <x v="1"/>
    <x v="2"/>
    <x v="19"/>
    <x v="2"/>
    <x v="5"/>
    <x v="1"/>
  </r>
  <r>
    <x v="801"/>
    <x v="11"/>
    <x v="13"/>
    <n v="39"/>
    <n v="234"/>
    <x v="33"/>
    <x v="38"/>
    <x v="1"/>
    <x v="1"/>
    <x v="0"/>
    <x v="6"/>
    <x v="2"/>
    <x v="5"/>
    <x v="1"/>
  </r>
  <r>
    <x v="802"/>
    <x v="5"/>
    <x v="13"/>
    <n v="98.6"/>
    <n v="591.59999999999991"/>
    <x v="33"/>
    <x v="36"/>
    <x v="2"/>
    <x v="1"/>
    <x v="0"/>
    <x v="6"/>
    <x v="1"/>
    <x v="5"/>
    <x v="2"/>
  </r>
  <r>
    <x v="803"/>
    <x v="8"/>
    <x v="0"/>
    <n v="20"/>
    <n v="20"/>
    <x v="34"/>
    <x v="36"/>
    <x v="1"/>
    <x v="3"/>
    <x v="2"/>
    <x v="8"/>
    <x v="3"/>
    <x v="5"/>
    <x v="1"/>
  </r>
  <r>
    <x v="804"/>
    <x v="1"/>
    <x v="1"/>
    <n v="42.9"/>
    <n v="85.8"/>
    <x v="34"/>
    <x v="38"/>
    <x v="2"/>
    <x v="0"/>
    <x v="2"/>
    <x v="8"/>
    <x v="1"/>
    <x v="5"/>
    <x v="2"/>
  </r>
  <r>
    <x v="805"/>
    <x v="7"/>
    <x v="3"/>
    <n v="55.6"/>
    <n v="389.2"/>
    <x v="34"/>
    <x v="38"/>
    <x v="2"/>
    <x v="2"/>
    <x v="1"/>
    <x v="8"/>
    <x v="1"/>
    <x v="5"/>
    <x v="2"/>
  </r>
  <r>
    <x v="806"/>
    <x v="8"/>
    <x v="12"/>
    <n v="19.2"/>
    <n v="76.8"/>
    <x v="34"/>
    <x v="35"/>
    <x v="2"/>
    <x v="0"/>
    <x v="0"/>
    <x v="16"/>
    <x v="0"/>
    <x v="5"/>
    <x v="2"/>
  </r>
  <r>
    <x v="807"/>
    <x v="5"/>
    <x v="1"/>
    <n v="28.8"/>
    <n v="57.6"/>
    <x v="34"/>
    <x v="38"/>
    <x v="1"/>
    <x v="1"/>
    <x v="0"/>
    <x v="18"/>
    <x v="1"/>
    <x v="5"/>
    <x v="1"/>
  </r>
  <r>
    <x v="808"/>
    <x v="4"/>
    <x v="0"/>
    <n v="29.7"/>
    <n v="29.7"/>
    <x v="34"/>
    <x v="38"/>
    <x v="2"/>
    <x v="2"/>
    <x v="4"/>
    <x v="20"/>
    <x v="1"/>
    <x v="5"/>
    <x v="2"/>
  </r>
  <r>
    <x v="809"/>
    <x v="6"/>
    <x v="13"/>
    <n v="63.3"/>
    <n v="379.8"/>
    <x v="34"/>
    <x v="36"/>
    <x v="0"/>
    <x v="0"/>
    <x v="2"/>
    <x v="21"/>
    <x v="3"/>
    <x v="5"/>
    <x v="0"/>
  </r>
  <r>
    <x v="810"/>
    <x v="4"/>
    <x v="0"/>
    <n v="46"/>
    <n v="46"/>
    <x v="34"/>
    <x v="36"/>
    <x v="2"/>
    <x v="0"/>
    <x v="2"/>
    <x v="21"/>
    <x v="3"/>
    <x v="5"/>
    <x v="2"/>
  </r>
  <r>
    <x v="811"/>
    <x v="11"/>
    <x v="2"/>
    <n v="38"/>
    <n v="114"/>
    <x v="34"/>
    <x v="38"/>
    <x v="2"/>
    <x v="1"/>
    <x v="2"/>
    <x v="21"/>
    <x v="1"/>
    <x v="5"/>
    <x v="2"/>
  </r>
  <r>
    <x v="812"/>
    <x v="10"/>
    <x v="15"/>
    <n v="34.6"/>
    <n v="449.8"/>
    <x v="34"/>
    <x v="38"/>
    <x v="2"/>
    <x v="0"/>
    <x v="1"/>
    <x v="21"/>
    <x v="1"/>
    <x v="5"/>
    <x v="2"/>
  </r>
  <r>
    <x v="813"/>
    <x v="3"/>
    <x v="7"/>
    <n v="79.7"/>
    <n v="797"/>
    <x v="34"/>
    <x v="36"/>
    <x v="2"/>
    <x v="4"/>
    <x v="1"/>
    <x v="21"/>
    <x v="3"/>
    <x v="5"/>
    <x v="2"/>
  </r>
  <r>
    <x v="814"/>
    <x v="8"/>
    <x v="8"/>
    <n v="30.5"/>
    <n v="244"/>
    <x v="34"/>
    <x v="39"/>
    <x v="1"/>
    <x v="3"/>
    <x v="0"/>
    <x v="1"/>
    <x v="5"/>
    <x v="5"/>
    <x v="1"/>
  </r>
  <r>
    <x v="815"/>
    <x v="0"/>
    <x v="1"/>
    <n v="20.8"/>
    <n v="41.6"/>
    <x v="34"/>
    <x v="36"/>
    <x v="2"/>
    <x v="0"/>
    <x v="0"/>
    <x v="2"/>
    <x v="3"/>
    <x v="5"/>
    <x v="2"/>
  </r>
  <r>
    <x v="816"/>
    <x v="11"/>
    <x v="3"/>
    <n v="48.5"/>
    <n v="339.5"/>
    <x v="34"/>
    <x v="39"/>
    <x v="2"/>
    <x v="2"/>
    <x v="2"/>
    <x v="2"/>
    <x v="5"/>
    <x v="5"/>
    <x v="2"/>
  </r>
  <r>
    <x v="817"/>
    <x v="2"/>
    <x v="12"/>
    <n v="61.8"/>
    <n v="247.2"/>
    <x v="34"/>
    <x v="39"/>
    <x v="2"/>
    <x v="4"/>
    <x v="0"/>
    <x v="22"/>
    <x v="5"/>
    <x v="5"/>
    <x v="2"/>
  </r>
  <r>
    <x v="818"/>
    <x v="10"/>
    <x v="0"/>
    <n v="46.1"/>
    <n v="46.1"/>
    <x v="34"/>
    <x v="36"/>
    <x v="3"/>
    <x v="2"/>
    <x v="0"/>
    <x v="3"/>
    <x v="3"/>
    <x v="5"/>
    <x v="3"/>
  </r>
  <r>
    <x v="819"/>
    <x v="4"/>
    <x v="13"/>
    <n v="44"/>
    <n v="264"/>
    <x v="34"/>
    <x v="36"/>
    <x v="2"/>
    <x v="0"/>
    <x v="0"/>
    <x v="3"/>
    <x v="3"/>
    <x v="5"/>
    <x v="2"/>
  </r>
  <r>
    <x v="820"/>
    <x v="18"/>
    <x v="1"/>
    <n v="95.7"/>
    <n v="191.4"/>
    <x v="34"/>
    <x v="37"/>
    <x v="2"/>
    <x v="3"/>
    <x v="2"/>
    <x v="3"/>
    <x v="4"/>
    <x v="5"/>
    <x v="2"/>
  </r>
  <r>
    <x v="821"/>
    <x v="7"/>
    <x v="9"/>
    <n v="46.4"/>
    <n v="232"/>
    <x v="34"/>
    <x v="31"/>
    <x v="2"/>
    <x v="0"/>
    <x v="0"/>
    <x v="3"/>
    <x v="2"/>
    <x v="5"/>
    <x v="2"/>
  </r>
  <r>
    <x v="822"/>
    <x v="6"/>
    <x v="1"/>
    <n v="47.2"/>
    <n v="94.4"/>
    <x v="34"/>
    <x v="38"/>
    <x v="2"/>
    <x v="0"/>
    <x v="2"/>
    <x v="3"/>
    <x v="1"/>
    <x v="5"/>
    <x v="2"/>
  </r>
  <r>
    <x v="823"/>
    <x v="7"/>
    <x v="1"/>
    <n v="58.6"/>
    <n v="117.2"/>
    <x v="34"/>
    <x v="36"/>
    <x v="2"/>
    <x v="2"/>
    <x v="1"/>
    <x v="3"/>
    <x v="3"/>
    <x v="5"/>
    <x v="2"/>
  </r>
  <r>
    <x v="824"/>
    <x v="4"/>
    <x v="2"/>
    <n v="57"/>
    <n v="171"/>
    <x v="34"/>
    <x v="36"/>
    <x v="1"/>
    <x v="0"/>
    <x v="2"/>
    <x v="3"/>
    <x v="3"/>
    <x v="5"/>
    <x v="1"/>
  </r>
  <r>
    <x v="825"/>
    <x v="8"/>
    <x v="12"/>
    <n v="28.9"/>
    <n v="115.6"/>
    <x v="34"/>
    <x v="39"/>
    <x v="1"/>
    <x v="2"/>
    <x v="0"/>
    <x v="3"/>
    <x v="5"/>
    <x v="5"/>
    <x v="1"/>
  </r>
  <r>
    <x v="826"/>
    <x v="12"/>
    <x v="9"/>
    <n v="60.7"/>
    <n v="303.5"/>
    <x v="34"/>
    <x v="39"/>
    <x v="0"/>
    <x v="1"/>
    <x v="1"/>
    <x v="3"/>
    <x v="5"/>
    <x v="5"/>
    <x v="0"/>
  </r>
  <r>
    <x v="827"/>
    <x v="6"/>
    <x v="9"/>
    <n v="60.8"/>
    <n v="304"/>
    <x v="34"/>
    <x v="39"/>
    <x v="1"/>
    <x v="0"/>
    <x v="1"/>
    <x v="3"/>
    <x v="5"/>
    <x v="5"/>
    <x v="1"/>
  </r>
  <r>
    <x v="828"/>
    <x v="6"/>
    <x v="9"/>
    <n v="64.599999999999994"/>
    <n v="323"/>
    <x v="34"/>
    <x v="36"/>
    <x v="2"/>
    <x v="3"/>
    <x v="0"/>
    <x v="3"/>
    <x v="3"/>
    <x v="5"/>
    <x v="2"/>
  </r>
  <r>
    <x v="829"/>
    <x v="8"/>
    <x v="0"/>
    <n v="21.9"/>
    <n v="21.9"/>
    <x v="34"/>
    <x v="31"/>
    <x v="1"/>
    <x v="1"/>
    <x v="2"/>
    <x v="4"/>
    <x v="2"/>
    <x v="5"/>
    <x v="1"/>
  </r>
  <r>
    <x v="830"/>
    <x v="4"/>
    <x v="4"/>
    <n v="33.4"/>
    <n v="400.8"/>
    <x v="34"/>
    <x v="38"/>
    <x v="2"/>
    <x v="0"/>
    <x v="0"/>
    <x v="23"/>
    <x v="1"/>
    <x v="5"/>
    <x v="2"/>
  </r>
  <r>
    <x v="831"/>
    <x v="2"/>
    <x v="0"/>
    <n v="51.7"/>
    <n v="51.7"/>
    <x v="34"/>
    <x v="36"/>
    <x v="0"/>
    <x v="0"/>
    <x v="0"/>
    <x v="6"/>
    <x v="3"/>
    <x v="5"/>
    <x v="0"/>
  </r>
  <r>
    <x v="832"/>
    <x v="1"/>
    <x v="12"/>
    <n v="84.9"/>
    <n v="339.6"/>
    <x v="34"/>
    <x v="36"/>
    <x v="2"/>
    <x v="1"/>
    <x v="1"/>
    <x v="6"/>
    <x v="3"/>
    <x v="5"/>
    <x v="2"/>
  </r>
  <r>
    <x v="833"/>
    <x v="1"/>
    <x v="5"/>
    <n v="62.3"/>
    <n v="685.3"/>
    <x v="34"/>
    <x v="36"/>
    <x v="2"/>
    <x v="2"/>
    <x v="2"/>
    <x v="7"/>
    <x v="3"/>
    <x v="5"/>
    <x v="2"/>
  </r>
  <r>
    <x v="834"/>
    <x v="4"/>
    <x v="0"/>
    <n v="50.7"/>
    <n v="50.7"/>
    <x v="34"/>
    <x v="38"/>
    <x v="1"/>
    <x v="2"/>
    <x v="2"/>
    <x v="8"/>
    <x v="1"/>
    <x v="5"/>
    <x v="1"/>
  </r>
  <r>
    <x v="835"/>
    <x v="18"/>
    <x v="0"/>
    <n v="39.5"/>
    <n v="39.5"/>
    <x v="34"/>
    <x v="36"/>
    <x v="1"/>
    <x v="4"/>
    <x v="1"/>
    <x v="8"/>
    <x v="3"/>
    <x v="5"/>
    <x v="1"/>
  </r>
  <r>
    <x v="836"/>
    <x v="12"/>
    <x v="2"/>
    <n v="30.9"/>
    <n v="92.699999999999989"/>
    <x v="34"/>
    <x v="36"/>
    <x v="0"/>
    <x v="4"/>
    <x v="2"/>
    <x v="8"/>
    <x v="3"/>
    <x v="5"/>
    <x v="0"/>
  </r>
  <r>
    <x v="837"/>
    <x v="1"/>
    <x v="3"/>
    <n v="36.4"/>
    <n v="254.8"/>
    <x v="34"/>
    <x v="31"/>
    <x v="2"/>
    <x v="0"/>
    <x v="2"/>
    <x v="8"/>
    <x v="2"/>
    <x v="5"/>
    <x v="2"/>
  </r>
  <r>
    <x v="838"/>
    <x v="6"/>
    <x v="8"/>
    <n v="105.6"/>
    <n v="844.8"/>
    <x v="34"/>
    <x v="42"/>
    <x v="2"/>
    <x v="0"/>
    <x v="0"/>
    <x v="8"/>
    <x v="14"/>
    <x v="5"/>
    <x v="2"/>
  </r>
  <r>
    <x v="839"/>
    <x v="8"/>
    <x v="1"/>
    <n v="22.1"/>
    <n v="44.2"/>
    <x v="34"/>
    <x v="36"/>
    <x v="2"/>
    <x v="0"/>
    <x v="2"/>
    <x v="17"/>
    <x v="3"/>
    <x v="5"/>
    <x v="2"/>
  </r>
  <r>
    <x v="840"/>
    <x v="0"/>
    <x v="2"/>
    <n v="22.6"/>
    <n v="67.800000000000011"/>
    <x v="34"/>
    <x v="36"/>
    <x v="2"/>
    <x v="2"/>
    <x v="0"/>
    <x v="17"/>
    <x v="3"/>
    <x v="5"/>
    <x v="2"/>
  </r>
  <r>
    <x v="841"/>
    <x v="10"/>
    <x v="13"/>
    <n v="26.3"/>
    <n v="157.80000000000001"/>
    <x v="34"/>
    <x v="32"/>
    <x v="2"/>
    <x v="2"/>
    <x v="0"/>
    <x v="9"/>
    <x v="7"/>
    <x v="5"/>
    <x v="2"/>
  </r>
  <r>
    <x v="842"/>
    <x v="1"/>
    <x v="12"/>
    <n v="37.799999999999997"/>
    <n v="151.19999999999999"/>
    <x v="34"/>
    <x v="36"/>
    <x v="2"/>
    <x v="0"/>
    <x v="2"/>
    <x v="11"/>
    <x v="3"/>
    <x v="5"/>
    <x v="2"/>
  </r>
  <r>
    <x v="843"/>
    <x v="6"/>
    <x v="14"/>
    <n v="96"/>
    <n v="1632"/>
    <x v="34"/>
    <x v="31"/>
    <x v="2"/>
    <x v="4"/>
    <x v="1"/>
    <x v="18"/>
    <x v="2"/>
    <x v="5"/>
    <x v="2"/>
  </r>
  <r>
    <x v="844"/>
    <x v="1"/>
    <x v="0"/>
    <n v="83.6"/>
    <n v="83.6"/>
    <x v="34"/>
    <x v="31"/>
    <x v="2"/>
    <x v="2"/>
    <x v="1"/>
    <x v="19"/>
    <x v="2"/>
    <x v="5"/>
    <x v="2"/>
  </r>
  <r>
    <x v="845"/>
    <x v="2"/>
    <x v="13"/>
    <n v="72.599999999999994"/>
    <n v="435.6"/>
    <x v="34"/>
    <x v="36"/>
    <x v="2"/>
    <x v="0"/>
    <x v="0"/>
    <x v="21"/>
    <x v="3"/>
    <x v="5"/>
    <x v="2"/>
  </r>
  <r>
    <x v="846"/>
    <x v="5"/>
    <x v="28"/>
    <n v="69.099999999999994"/>
    <n v="1382"/>
    <x v="35"/>
    <x v="40"/>
    <x v="1"/>
    <x v="0"/>
    <x v="2"/>
    <x v="21"/>
    <x v="4"/>
    <x v="5"/>
    <x v="1"/>
  </r>
  <r>
    <x v="847"/>
    <x v="4"/>
    <x v="1"/>
    <n v="22.6"/>
    <n v="45.2"/>
    <x v="35"/>
    <x v="31"/>
    <x v="2"/>
    <x v="1"/>
    <x v="2"/>
    <x v="21"/>
    <x v="1"/>
    <x v="5"/>
    <x v="2"/>
  </r>
  <r>
    <x v="848"/>
    <x v="6"/>
    <x v="1"/>
    <n v="45.3"/>
    <n v="90.6"/>
    <x v="35"/>
    <x v="35"/>
    <x v="1"/>
    <x v="4"/>
    <x v="2"/>
    <x v="21"/>
    <x v="5"/>
    <x v="5"/>
    <x v="1"/>
  </r>
  <r>
    <x v="849"/>
    <x v="2"/>
    <x v="1"/>
    <n v="115.1"/>
    <n v="230.2"/>
    <x v="35"/>
    <x v="38"/>
    <x v="2"/>
    <x v="1"/>
    <x v="0"/>
    <x v="1"/>
    <x v="3"/>
    <x v="5"/>
    <x v="2"/>
  </r>
  <r>
    <x v="850"/>
    <x v="18"/>
    <x v="12"/>
    <n v="79"/>
    <n v="316"/>
    <x v="35"/>
    <x v="31"/>
    <x v="1"/>
    <x v="2"/>
    <x v="4"/>
    <x v="1"/>
    <x v="1"/>
    <x v="5"/>
    <x v="1"/>
  </r>
  <r>
    <x v="851"/>
    <x v="6"/>
    <x v="9"/>
    <n v="52.8"/>
    <n v="264"/>
    <x v="35"/>
    <x v="38"/>
    <x v="2"/>
    <x v="0"/>
    <x v="0"/>
    <x v="18"/>
    <x v="3"/>
    <x v="5"/>
    <x v="2"/>
  </r>
  <r>
    <x v="852"/>
    <x v="8"/>
    <x v="1"/>
    <n v="34.1"/>
    <n v="68.2"/>
    <x v="35"/>
    <x v="38"/>
    <x v="1"/>
    <x v="3"/>
    <x v="2"/>
    <x v="20"/>
    <x v="3"/>
    <x v="5"/>
    <x v="1"/>
  </r>
  <r>
    <x v="853"/>
    <x v="6"/>
    <x v="9"/>
    <n v="107.9"/>
    <n v="539.5"/>
    <x v="35"/>
    <x v="36"/>
    <x v="2"/>
    <x v="0"/>
    <x v="2"/>
    <x v="26"/>
    <x v="7"/>
    <x v="5"/>
    <x v="2"/>
  </r>
  <r>
    <x v="854"/>
    <x v="8"/>
    <x v="15"/>
    <n v="48.5"/>
    <n v="630.5"/>
    <x v="35"/>
    <x v="36"/>
    <x v="1"/>
    <x v="2"/>
    <x v="2"/>
    <x v="3"/>
    <x v="7"/>
    <x v="5"/>
    <x v="1"/>
  </r>
  <r>
    <x v="855"/>
    <x v="5"/>
    <x v="2"/>
    <n v="34.700000000000003"/>
    <n v="104.1"/>
    <x v="35"/>
    <x v="38"/>
    <x v="0"/>
    <x v="4"/>
    <x v="1"/>
    <x v="3"/>
    <x v="3"/>
    <x v="5"/>
    <x v="0"/>
  </r>
  <r>
    <x v="856"/>
    <x v="8"/>
    <x v="0"/>
    <n v="16.8"/>
    <n v="16.8"/>
    <x v="35"/>
    <x v="31"/>
    <x v="2"/>
    <x v="3"/>
    <x v="0"/>
    <x v="3"/>
    <x v="1"/>
    <x v="5"/>
    <x v="2"/>
  </r>
  <r>
    <x v="857"/>
    <x v="8"/>
    <x v="13"/>
    <n v="18.3"/>
    <n v="109.8"/>
    <x v="35"/>
    <x v="39"/>
    <x v="2"/>
    <x v="0"/>
    <x v="0"/>
    <x v="3"/>
    <x v="2"/>
    <x v="5"/>
    <x v="2"/>
  </r>
  <r>
    <x v="858"/>
    <x v="18"/>
    <x v="2"/>
    <n v="55.9"/>
    <n v="167.7"/>
    <x v="35"/>
    <x v="40"/>
    <x v="1"/>
    <x v="3"/>
    <x v="1"/>
    <x v="3"/>
    <x v="4"/>
    <x v="5"/>
    <x v="1"/>
  </r>
  <r>
    <x v="859"/>
    <x v="8"/>
    <x v="2"/>
    <n v="39.200000000000003"/>
    <n v="117.6"/>
    <x v="35"/>
    <x v="31"/>
    <x v="2"/>
    <x v="0"/>
    <x v="1"/>
    <x v="3"/>
    <x v="1"/>
    <x v="5"/>
    <x v="2"/>
  </r>
  <r>
    <x v="860"/>
    <x v="15"/>
    <x v="12"/>
    <n v="66.5"/>
    <n v="266"/>
    <x v="35"/>
    <x v="31"/>
    <x v="0"/>
    <x v="3"/>
    <x v="1"/>
    <x v="3"/>
    <x v="1"/>
    <x v="5"/>
    <x v="0"/>
  </r>
  <r>
    <x v="861"/>
    <x v="6"/>
    <x v="13"/>
    <n v="52.1"/>
    <n v="312.60000000000002"/>
    <x v="35"/>
    <x v="31"/>
    <x v="1"/>
    <x v="1"/>
    <x v="1"/>
    <x v="16"/>
    <x v="1"/>
    <x v="5"/>
    <x v="1"/>
  </r>
  <r>
    <x v="862"/>
    <x v="8"/>
    <x v="1"/>
    <n v="19"/>
    <n v="38"/>
    <x v="35"/>
    <x v="38"/>
    <x v="1"/>
    <x v="4"/>
    <x v="2"/>
    <x v="6"/>
    <x v="3"/>
    <x v="5"/>
    <x v="1"/>
  </r>
  <r>
    <x v="863"/>
    <x v="7"/>
    <x v="2"/>
    <n v="84.8"/>
    <n v="254.4"/>
    <x v="35"/>
    <x v="31"/>
    <x v="2"/>
    <x v="2"/>
    <x v="0"/>
    <x v="8"/>
    <x v="1"/>
    <x v="5"/>
    <x v="2"/>
  </r>
  <r>
    <x v="864"/>
    <x v="2"/>
    <x v="12"/>
    <n v="63.9"/>
    <n v="255.6"/>
    <x v="35"/>
    <x v="39"/>
    <x v="2"/>
    <x v="0"/>
    <x v="0"/>
    <x v="8"/>
    <x v="2"/>
    <x v="5"/>
    <x v="2"/>
  </r>
  <r>
    <x v="865"/>
    <x v="2"/>
    <x v="2"/>
    <n v="65.5"/>
    <n v="196.5"/>
    <x v="35"/>
    <x v="36"/>
    <x v="2"/>
    <x v="1"/>
    <x v="1"/>
    <x v="8"/>
    <x v="7"/>
    <x v="5"/>
    <x v="2"/>
  </r>
  <r>
    <x v="866"/>
    <x v="12"/>
    <x v="1"/>
    <n v="116.2"/>
    <n v="232.4"/>
    <x v="35"/>
    <x v="40"/>
    <x v="1"/>
    <x v="3"/>
    <x v="0"/>
    <x v="17"/>
    <x v="4"/>
    <x v="5"/>
    <x v="1"/>
  </r>
  <r>
    <x v="867"/>
    <x v="10"/>
    <x v="12"/>
    <n v="22.9"/>
    <n v="91.6"/>
    <x v="35"/>
    <x v="31"/>
    <x v="2"/>
    <x v="2"/>
    <x v="1"/>
    <x v="12"/>
    <x v="1"/>
    <x v="5"/>
    <x v="2"/>
  </r>
  <r>
    <x v="868"/>
    <x v="10"/>
    <x v="2"/>
    <n v="53.7"/>
    <n v="161.1"/>
    <x v="35"/>
    <x v="38"/>
    <x v="1"/>
    <x v="0"/>
    <x v="4"/>
    <x v="18"/>
    <x v="3"/>
    <x v="5"/>
    <x v="1"/>
  </r>
  <r>
    <x v="869"/>
    <x v="6"/>
    <x v="9"/>
    <n v="43.2"/>
    <n v="216"/>
    <x v="35"/>
    <x v="31"/>
    <x v="2"/>
    <x v="0"/>
    <x v="0"/>
    <x v="19"/>
    <x v="1"/>
    <x v="5"/>
    <x v="2"/>
  </r>
  <r>
    <x v="870"/>
    <x v="1"/>
    <x v="2"/>
    <n v="84.5"/>
    <n v="253.5"/>
    <x v="35"/>
    <x v="31"/>
    <x v="1"/>
    <x v="2"/>
    <x v="2"/>
    <x v="27"/>
    <x v="1"/>
    <x v="5"/>
    <x v="1"/>
  </r>
  <r>
    <x v="871"/>
    <x v="3"/>
    <x v="1"/>
    <n v="42.2"/>
    <n v="84.4"/>
    <x v="35"/>
    <x v="38"/>
    <x v="2"/>
    <x v="1"/>
    <x v="2"/>
    <x v="1"/>
    <x v="3"/>
    <x v="5"/>
    <x v="2"/>
  </r>
  <r>
    <x v="872"/>
    <x v="2"/>
    <x v="13"/>
    <n v="94.7"/>
    <n v="568.20000000000005"/>
    <x v="35"/>
    <x v="39"/>
    <x v="2"/>
    <x v="1"/>
    <x v="2"/>
    <x v="2"/>
    <x v="2"/>
    <x v="5"/>
    <x v="2"/>
  </r>
  <r>
    <x v="873"/>
    <x v="8"/>
    <x v="16"/>
    <n v="16.7"/>
    <n v="300.60000000000002"/>
    <x v="35"/>
    <x v="43"/>
    <x v="2"/>
    <x v="0"/>
    <x v="2"/>
    <x v="2"/>
    <x v="13"/>
    <x v="5"/>
    <x v="2"/>
  </r>
  <r>
    <x v="874"/>
    <x v="2"/>
    <x v="1"/>
    <n v="83.6"/>
    <n v="167.2"/>
    <x v="35"/>
    <x v="40"/>
    <x v="2"/>
    <x v="1"/>
    <x v="0"/>
    <x v="3"/>
    <x v="4"/>
    <x v="5"/>
    <x v="2"/>
  </r>
  <r>
    <x v="875"/>
    <x v="7"/>
    <x v="13"/>
    <n v="33.6"/>
    <n v="201.6"/>
    <x v="36"/>
    <x v="31"/>
    <x v="2"/>
    <x v="3"/>
    <x v="0"/>
    <x v="3"/>
    <x v="3"/>
    <x v="5"/>
    <x v="2"/>
  </r>
  <r>
    <x v="876"/>
    <x v="7"/>
    <x v="1"/>
    <n v="64.7"/>
    <n v="129.4"/>
    <x v="36"/>
    <x v="39"/>
    <x v="1"/>
    <x v="1"/>
    <x v="2"/>
    <x v="3"/>
    <x v="1"/>
    <x v="5"/>
    <x v="1"/>
  </r>
  <r>
    <x v="877"/>
    <x v="0"/>
    <x v="2"/>
    <n v="15.7"/>
    <n v="47.099999999999987"/>
    <x v="36"/>
    <x v="44"/>
    <x v="2"/>
    <x v="0"/>
    <x v="0"/>
    <x v="3"/>
    <x v="4"/>
    <x v="5"/>
    <x v="2"/>
  </r>
  <r>
    <x v="878"/>
    <x v="15"/>
    <x v="13"/>
    <n v="49.4"/>
    <n v="296.39999999999998"/>
    <x v="36"/>
    <x v="38"/>
    <x v="1"/>
    <x v="1"/>
    <x v="0"/>
    <x v="3"/>
    <x v="7"/>
    <x v="5"/>
    <x v="1"/>
  </r>
  <r>
    <x v="879"/>
    <x v="10"/>
    <x v="13"/>
    <n v="37"/>
    <n v="222"/>
    <x v="36"/>
    <x v="35"/>
    <x v="2"/>
    <x v="1"/>
    <x v="2"/>
    <x v="3"/>
    <x v="2"/>
    <x v="5"/>
    <x v="2"/>
  </r>
  <r>
    <x v="880"/>
    <x v="2"/>
    <x v="1"/>
    <n v="83.7"/>
    <n v="167.4"/>
    <x v="36"/>
    <x v="39"/>
    <x v="2"/>
    <x v="3"/>
    <x v="2"/>
    <x v="3"/>
    <x v="1"/>
    <x v="5"/>
    <x v="2"/>
  </r>
  <r>
    <x v="881"/>
    <x v="1"/>
    <x v="9"/>
    <n v="35.1"/>
    <n v="175.5"/>
    <x v="36"/>
    <x v="31"/>
    <x v="2"/>
    <x v="0"/>
    <x v="0"/>
    <x v="3"/>
    <x v="3"/>
    <x v="5"/>
    <x v="2"/>
  </r>
  <r>
    <x v="882"/>
    <x v="16"/>
    <x v="8"/>
    <n v="74"/>
    <n v="592"/>
    <x v="36"/>
    <x v="31"/>
    <x v="2"/>
    <x v="4"/>
    <x v="0"/>
    <x v="10"/>
    <x v="3"/>
    <x v="5"/>
    <x v="2"/>
  </r>
  <r>
    <x v="883"/>
    <x v="6"/>
    <x v="25"/>
    <n v="55.5"/>
    <n v="1332"/>
    <x v="36"/>
    <x v="35"/>
    <x v="1"/>
    <x v="3"/>
    <x v="0"/>
    <x v="25"/>
    <x v="2"/>
    <x v="5"/>
    <x v="1"/>
  </r>
  <r>
    <x v="884"/>
    <x v="11"/>
    <x v="1"/>
    <n v="38.9"/>
    <n v="77.8"/>
    <x v="36"/>
    <x v="39"/>
    <x v="2"/>
    <x v="1"/>
    <x v="2"/>
    <x v="25"/>
    <x v="1"/>
    <x v="5"/>
    <x v="2"/>
  </r>
  <r>
    <x v="885"/>
    <x v="16"/>
    <x v="1"/>
    <n v="64.599999999999994"/>
    <n v="129.19999999999999"/>
    <x v="36"/>
    <x v="45"/>
    <x v="1"/>
    <x v="2"/>
    <x v="1"/>
    <x v="25"/>
    <x v="6"/>
    <x v="5"/>
    <x v="1"/>
  </r>
  <r>
    <x v="886"/>
    <x v="2"/>
    <x v="2"/>
    <n v="95.3"/>
    <n v="285.89999999999998"/>
    <x v="36"/>
    <x v="31"/>
    <x v="1"/>
    <x v="0"/>
    <x v="0"/>
    <x v="5"/>
    <x v="3"/>
    <x v="5"/>
    <x v="1"/>
  </r>
  <r>
    <x v="887"/>
    <x v="13"/>
    <x v="2"/>
    <n v="25.8"/>
    <n v="77.400000000000006"/>
    <x v="36"/>
    <x v="31"/>
    <x v="2"/>
    <x v="1"/>
    <x v="1"/>
    <x v="6"/>
    <x v="3"/>
    <x v="5"/>
    <x v="2"/>
  </r>
  <r>
    <x v="888"/>
    <x v="0"/>
    <x v="1"/>
    <n v="11.6"/>
    <n v="23.2"/>
    <x v="36"/>
    <x v="37"/>
    <x v="2"/>
    <x v="1"/>
    <x v="1"/>
    <x v="6"/>
    <x v="5"/>
    <x v="5"/>
    <x v="2"/>
  </r>
  <r>
    <x v="889"/>
    <x v="7"/>
    <x v="0"/>
    <n v="52.3"/>
    <n v="52.3"/>
    <x v="36"/>
    <x v="31"/>
    <x v="2"/>
    <x v="1"/>
    <x v="0"/>
    <x v="8"/>
    <x v="3"/>
    <x v="5"/>
    <x v="2"/>
  </r>
  <r>
    <x v="890"/>
    <x v="2"/>
    <x v="7"/>
    <n v="112.2"/>
    <n v="1122"/>
    <x v="36"/>
    <x v="31"/>
    <x v="2"/>
    <x v="1"/>
    <x v="1"/>
    <x v="8"/>
    <x v="3"/>
    <x v="5"/>
    <x v="2"/>
  </r>
  <r>
    <x v="891"/>
    <x v="4"/>
    <x v="9"/>
    <n v="34.6"/>
    <n v="173"/>
    <x v="36"/>
    <x v="39"/>
    <x v="1"/>
    <x v="2"/>
    <x v="0"/>
    <x v="8"/>
    <x v="1"/>
    <x v="5"/>
    <x v="1"/>
  </r>
  <r>
    <x v="892"/>
    <x v="14"/>
    <x v="12"/>
    <n v="20.100000000000001"/>
    <n v="80.400000000000006"/>
    <x v="36"/>
    <x v="44"/>
    <x v="1"/>
    <x v="1"/>
    <x v="2"/>
    <x v="8"/>
    <x v="4"/>
    <x v="5"/>
    <x v="1"/>
  </r>
  <r>
    <x v="893"/>
    <x v="2"/>
    <x v="12"/>
    <n v="56.4"/>
    <n v="225.6"/>
    <x v="36"/>
    <x v="39"/>
    <x v="2"/>
    <x v="2"/>
    <x v="0"/>
    <x v="10"/>
    <x v="1"/>
    <x v="5"/>
    <x v="2"/>
  </r>
  <r>
    <x v="894"/>
    <x v="13"/>
    <x v="11"/>
    <n v="55.3"/>
    <n v="497.7"/>
    <x v="36"/>
    <x v="39"/>
    <x v="2"/>
    <x v="1"/>
    <x v="4"/>
    <x v="11"/>
    <x v="1"/>
    <x v="5"/>
    <x v="2"/>
  </r>
  <r>
    <x v="895"/>
    <x v="2"/>
    <x v="31"/>
    <n v="75.5"/>
    <n v="2114"/>
    <x v="36"/>
    <x v="31"/>
    <x v="2"/>
    <x v="0"/>
    <x v="0"/>
    <x v="11"/>
    <x v="3"/>
    <x v="5"/>
    <x v="2"/>
  </r>
  <r>
    <x v="896"/>
    <x v="8"/>
    <x v="0"/>
    <n v="23.6"/>
    <n v="23.6"/>
    <x v="36"/>
    <x v="40"/>
    <x v="2"/>
    <x v="0"/>
    <x v="0"/>
    <x v="19"/>
    <x v="0"/>
    <x v="5"/>
    <x v="2"/>
  </r>
  <r>
    <x v="897"/>
    <x v="9"/>
    <x v="1"/>
    <n v="70.7"/>
    <n v="141.4"/>
    <x v="36"/>
    <x v="39"/>
    <x v="2"/>
    <x v="2"/>
    <x v="0"/>
    <x v="19"/>
    <x v="1"/>
    <x v="5"/>
    <x v="2"/>
  </r>
  <r>
    <x v="898"/>
    <x v="12"/>
    <x v="1"/>
    <n v="43.2"/>
    <n v="86.4"/>
    <x v="36"/>
    <x v="31"/>
    <x v="2"/>
    <x v="2"/>
    <x v="0"/>
    <x v="31"/>
    <x v="3"/>
    <x v="5"/>
    <x v="2"/>
  </r>
  <r>
    <x v="899"/>
    <x v="9"/>
    <x v="11"/>
    <n v="70"/>
    <n v="630"/>
    <x v="36"/>
    <x v="31"/>
    <x v="0"/>
    <x v="1"/>
    <x v="0"/>
    <x v="28"/>
    <x v="3"/>
    <x v="5"/>
    <x v="0"/>
  </r>
  <r>
    <x v="900"/>
    <x v="0"/>
    <x v="1"/>
    <n v="20.5"/>
    <n v="41"/>
    <x v="36"/>
    <x v="39"/>
    <x v="2"/>
    <x v="2"/>
    <x v="4"/>
    <x v="13"/>
    <x v="1"/>
    <x v="5"/>
    <x v="2"/>
  </r>
  <r>
    <x v="901"/>
    <x v="0"/>
    <x v="12"/>
    <n v="29.1"/>
    <n v="116.4"/>
    <x v="36"/>
    <x v="31"/>
    <x v="2"/>
    <x v="3"/>
    <x v="0"/>
    <x v="28"/>
    <x v="3"/>
    <x v="5"/>
    <x v="2"/>
  </r>
  <r>
    <x v="902"/>
    <x v="6"/>
    <x v="11"/>
    <n v="53.6"/>
    <n v="482.4"/>
    <x v="36"/>
    <x v="31"/>
    <x v="1"/>
    <x v="2"/>
    <x v="1"/>
    <x v="3"/>
    <x v="3"/>
    <x v="5"/>
    <x v="1"/>
  </r>
  <r>
    <x v="903"/>
    <x v="6"/>
    <x v="9"/>
    <n v="72.3"/>
    <n v="361.5"/>
    <x v="36"/>
    <x v="39"/>
    <x v="2"/>
    <x v="1"/>
    <x v="0"/>
    <x v="3"/>
    <x v="1"/>
    <x v="5"/>
    <x v="2"/>
  </r>
  <r>
    <x v="904"/>
    <x v="13"/>
    <x v="12"/>
    <n v="22.6"/>
    <n v="90.4"/>
    <x v="36"/>
    <x v="35"/>
    <x v="3"/>
    <x v="0"/>
    <x v="1"/>
    <x v="3"/>
    <x v="2"/>
    <x v="5"/>
    <x v="3"/>
  </r>
  <r>
    <x v="905"/>
    <x v="9"/>
    <x v="1"/>
    <n v="44.2"/>
    <n v="88.4"/>
    <x v="36"/>
    <x v="37"/>
    <x v="0"/>
    <x v="2"/>
    <x v="4"/>
    <x v="3"/>
    <x v="5"/>
    <x v="5"/>
    <x v="0"/>
  </r>
  <r>
    <x v="906"/>
    <x v="9"/>
    <x v="2"/>
    <n v="94.1"/>
    <n v="282.3"/>
    <x v="36"/>
    <x v="46"/>
    <x v="2"/>
    <x v="2"/>
    <x v="2"/>
    <x v="3"/>
    <x v="10"/>
    <x v="5"/>
    <x v="2"/>
  </r>
  <r>
    <x v="907"/>
    <x v="8"/>
    <x v="2"/>
    <n v="17.899999999999999"/>
    <n v="53.7"/>
    <x v="36"/>
    <x v="39"/>
    <x v="1"/>
    <x v="1"/>
    <x v="1"/>
    <x v="3"/>
    <x v="1"/>
    <x v="5"/>
    <x v="1"/>
  </r>
  <r>
    <x v="908"/>
    <x v="12"/>
    <x v="3"/>
    <n v="52.7"/>
    <n v="368.9"/>
    <x v="36"/>
    <x v="31"/>
    <x v="1"/>
    <x v="1"/>
    <x v="1"/>
    <x v="3"/>
    <x v="3"/>
    <x v="5"/>
    <x v="1"/>
  </r>
  <r>
    <x v="909"/>
    <x v="8"/>
    <x v="0"/>
    <n v="36.799999999999997"/>
    <n v="36.799999999999997"/>
    <x v="36"/>
    <x v="38"/>
    <x v="0"/>
    <x v="0"/>
    <x v="2"/>
    <x v="3"/>
    <x v="7"/>
    <x v="5"/>
    <x v="0"/>
  </r>
  <r>
    <x v="910"/>
    <x v="4"/>
    <x v="0"/>
    <n v="52.5"/>
    <n v="52.5"/>
    <x v="36"/>
    <x v="31"/>
    <x v="1"/>
    <x v="0"/>
    <x v="1"/>
    <x v="6"/>
    <x v="3"/>
    <x v="5"/>
    <x v="1"/>
  </r>
  <r>
    <x v="911"/>
    <x v="2"/>
    <x v="1"/>
    <n v="133.80000000000001"/>
    <n v="267.60000000000002"/>
    <x v="36"/>
    <x v="39"/>
    <x v="1"/>
    <x v="0"/>
    <x v="1"/>
    <x v="7"/>
    <x v="1"/>
    <x v="5"/>
    <x v="1"/>
  </r>
  <r>
    <x v="912"/>
    <x v="6"/>
    <x v="1"/>
    <n v="53.2"/>
    <n v="106.4"/>
    <x v="36"/>
    <x v="39"/>
    <x v="1"/>
    <x v="0"/>
    <x v="0"/>
    <x v="17"/>
    <x v="1"/>
    <x v="5"/>
    <x v="1"/>
  </r>
  <r>
    <x v="913"/>
    <x v="14"/>
    <x v="13"/>
    <n v="18.7"/>
    <n v="112.2"/>
    <x v="36"/>
    <x v="39"/>
    <x v="0"/>
    <x v="0"/>
    <x v="1"/>
    <x v="10"/>
    <x v="1"/>
    <x v="5"/>
    <x v="0"/>
  </r>
  <r>
    <x v="914"/>
    <x v="6"/>
    <x v="12"/>
    <n v="108.8"/>
    <n v="435.2"/>
    <x v="36"/>
    <x v="31"/>
    <x v="2"/>
    <x v="3"/>
    <x v="2"/>
    <x v="11"/>
    <x v="3"/>
    <x v="5"/>
    <x v="2"/>
  </r>
  <r>
    <x v="915"/>
    <x v="15"/>
    <x v="9"/>
    <n v="38.5"/>
    <n v="192.5"/>
    <x v="36"/>
    <x v="37"/>
    <x v="2"/>
    <x v="0"/>
    <x v="1"/>
    <x v="14"/>
    <x v="5"/>
    <x v="5"/>
    <x v="2"/>
  </r>
  <r>
    <x v="916"/>
    <x v="10"/>
    <x v="7"/>
    <n v="46.5"/>
    <n v="465"/>
    <x v="36"/>
    <x v="39"/>
    <x v="1"/>
    <x v="2"/>
    <x v="1"/>
    <x v="2"/>
    <x v="1"/>
    <x v="5"/>
    <x v="1"/>
  </r>
  <r>
    <x v="917"/>
    <x v="2"/>
    <x v="2"/>
    <n v="75.8"/>
    <n v="227.4"/>
    <x v="36"/>
    <x v="37"/>
    <x v="2"/>
    <x v="1"/>
    <x v="4"/>
    <x v="20"/>
    <x v="5"/>
    <x v="5"/>
    <x v="2"/>
  </r>
  <r>
    <x v="918"/>
    <x v="8"/>
    <x v="0"/>
    <n v="20.9"/>
    <n v="20.9"/>
    <x v="36"/>
    <x v="37"/>
    <x v="1"/>
    <x v="0"/>
    <x v="0"/>
    <x v="22"/>
    <x v="5"/>
    <x v="5"/>
    <x v="1"/>
  </r>
  <r>
    <x v="919"/>
    <x v="18"/>
    <x v="2"/>
    <n v="47.4"/>
    <n v="142.19999999999999"/>
    <x v="36"/>
    <x v="35"/>
    <x v="2"/>
    <x v="0"/>
    <x v="0"/>
    <x v="3"/>
    <x v="2"/>
    <x v="5"/>
    <x v="2"/>
  </r>
  <r>
    <x v="920"/>
    <x v="9"/>
    <x v="1"/>
    <n v="53.8"/>
    <n v="107.6"/>
    <x v="36"/>
    <x v="31"/>
    <x v="0"/>
    <x v="0"/>
    <x v="1"/>
    <x v="3"/>
    <x v="3"/>
    <x v="5"/>
    <x v="0"/>
  </r>
  <r>
    <x v="921"/>
    <x v="8"/>
    <x v="2"/>
    <n v="24.6"/>
    <n v="73.800000000000011"/>
    <x v="36"/>
    <x v="39"/>
    <x v="3"/>
    <x v="1"/>
    <x v="2"/>
    <x v="3"/>
    <x v="1"/>
    <x v="5"/>
    <x v="3"/>
  </r>
  <r>
    <x v="922"/>
    <x v="9"/>
    <x v="2"/>
    <n v="70.900000000000006"/>
    <n v="212.7"/>
    <x v="36"/>
    <x v="40"/>
    <x v="2"/>
    <x v="2"/>
    <x v="2"/>
    <x v="3"/>
    <x v="0"/>
    <x v="5"/>
    <x v="2"/>
  </r>
  <r>
    <x v="923"/>
    <x v="17"/>
    <x v="2"/>
    <n v="31.9"/>
    <n v="95.699999999999989"/>
    <x v="36"/>
    <x v="39"/>
    <x v="2"/>
    <x v="2"/>
    <x v="2"/>
    <x v="3"/>
    <x v="1"/>
    <x v="5"/>
    <x v="2"/>
  </r>
  <r>
    <x v="924"/>
    <x v="0"/>
    <x v="1"/>
    <n v="20.399999999999999"/>
    <n v="40.799999999999997"/>
    <x v="36"/>
    <x v="37"/>
    <x v="1"/>
    <x v="3"/>
    <x v="2"/>
    <x v="3"/>
    <x v="5"/>
    <x v="5"/>
    <x v="1"/>
  </r>
  <r>
    <x v="925"/>
    <x v="8"/>
    <x v="1"/>
    <n v="18.600000000000001"/>
    <n v="37.200000000000003"/>
    <x v="36"/>
    <x v="39"/>
    <x v="0"/>
    <x v="0"/>
    <x v="1"/>
    <x v="3"/>
    <x v="1"/>
    <x v="5"/>
    <x v="0"/>
  </r>
  <r>
    <x v="926"/>
    <x v="4"/>
    <x v="9"/>
    <n v="48.3"/>
    <n v="241.5"/>
    <x v="36"/>
    <x v="39"/>
    <x v="2"/>
    <x v="1"/>
    <x v="0"/>
    <x v="3"/>
    <x v="1"/>
    <x v="5"/>
    <x v="2"/>
  </r>
  <r>
    <x v="927"/>
    <x v="0"/>
    <x v="12"/>
    <n v="27.7"/>
    <n v="110.8"/>
    <x v="36"/>
    <x v="39"/>
    <x v="2"/>
    <x v="0"/>
    <x v="0"/>
    <x v="3"/>
    <x v="1"/>
    <x v="5"/>
    <x v="2"/>
  </r>
  <r>
    <x v="928"/>
    <x v="4"/>
    <x v="9"/>
    <n v="22.5"/>
    <n v="112.5"/>
    <x v="36"/>
    <x v="39"/>
    <x v="2"/>
    <x v="4"/>
    <x v="2"/>
    <x v="3"/>
    <x v="1"/>
    <x v="5"/>
    <x v="2"/>
  </r>
  <r>
    <x v="929"/>
    <x v="17"/>
    <x v="9"/>
    <n v="21.6"/>
    <n v="108"/>
    <x v="36"/>
    <x v="42"/>
    <x v="2"/>
    <x v="0"/>
    <x v="1"/>
    <x v="3"/>
    <x v="9"/>
    <x v="5"/>
    <x v="2"/>
  </r>
  <r>
    <x v="930"/>
    <x v="10"/>
    <x v="3"/>
    <n v="26.3"/>
    <n v="184.1"/>
    <x v="36"/>
    <x v="38"/>
    <x v="2"/>
    <x v="2"/>
    <x v="1"/>
    <x v="3"/>
    <x v="7"/>
    <x v="5"/>
    <x v="2"/>
  </r>
  <r>
    <x v="931"/>
    <x v="6"/>
    <x v="3"/>
    <n v="103"/>
    <n v="721"/>
    <x v="37"/>
    <x v="39"/>
    <x v="1"/>
    <x v="0"/>
    <x v="2"/>
    <x v="6"/>
    <x v="3"/>
    <x v="5"/>
    <x v="1"/>
  </r>
  <r>
    <x v="932"/>
    <x v="5"/>
    <x v="20"/>
    <n v="46.6"/>
    <n v="699"/>
    <x v="37"/>
    <x v="39"/>
    <x v="2"/>
    <x v="0"/>
    <x v="1"/>
    <x v="6"/>
    <x v="3"/>
    <x v="5"/>
    <x v="2"/>
  </r>
  <r>
    <x v="933"/>
    <x v="0"/>
    <x v="9"/>
    <n v="32.200000000000003"/>
    <n v="161"/>
    <x v="37"/>
    <x v="37"/>
    <x v="2"/>
    <x v="0"/>
    <x v="2"/>
    <x v="5"/>
    <x v="2"/>
    <x v="5"/>
    <x v="2"/>
  </r>
  <r>
    <x v="934"/>
    <x v="8"/>
    <x v="2"/>
    <n v="22"/>
    <n v="66"/>
    <x v="37"/>
    <x v="42"/>
    <x v="1"/>
    <x v="1"/>
    <x v="0"/>
    <x v="7"/>
    <x v="6"/>
    <x v="5"/>
    <x v="1"/>
  </r>
  <r>
    <x v="935"/>
    <x v="0"/>
    <x v="1"/>
    <n v="25.2"/>
    <n v="50.4"/>
    <x v="37"/>
    <x v="40"/>
    <x v="2"/>
    <x v="0"/>
    <x v="0"/>
    <x v="7"/>
    <x v="5"/>
    <x v="5"/>
    <x v="2"/>
  </r>
  <r>
    <x v="936"/>
    <x v="1"/>
    <x v="13"/>
    <n v="68.7"/>
    <n v="412.2"/>
    <x v="37"/>
    <x v="35"/>
    <x v="1"/>
    <x v="4"/>
    <x v="0"/>
    <x v="8"/>
    <x v="1"/>
    <x v="5"/>
    <x v="1"/>
  </r>
  <r>
    <x v="937"/>
    <x v="0"/>
    <x v="2"/>
    <n v="22.2"/>
    <n v="66.599999999999994"/>
    <x v="37"/>
    <x v="37"/>
    <x v="1"/>
    <x v="2"/>
    <x v="2"/>
    <x v="8"/>
    <x v="2"/>
    <x v="5"/>
    <x v="1"/>
  </r>
  <r>
    <x v="938"/>
    <x v="1"/>
    <x v="3"/>
    <n v="36"/>
    <n v="252"/>
    <x v="37"/>
    <x v="39"/>
    <x v="2"/>
    <x v="1"/>
    <x v="0"/>
    <x v="8"/>
    <x v="3"/>
    <x v="5"/>
    <x v="2"/>
  </r>
  <r>
    <x v="939"/>
    <x v="18"/>
    <x v="0"/>
    <n v="50.6"/>
    <n v="50.6"/>
    <x v="37"/>
    <x v="35"/>
    <x v="2"/>
    <x v="0"/>
    <x v="1"/>
    <x v="8"/>
    <x v="1"/>
    <x v="5"/>
    <x v="2"/>
  </r>
  <r>
    <x v="940"/>
    <x v="15"/>
    <x v="1"/>
    <n v="44.9"/>
    <n v="89.8"/>
    <x v="37"/>
    <x v="35"/>
    <x v="1"/>
    <x v="0"/>
    <x v="1"/>
    <x v="8"/>
    <x v="1"/>
    <x v="5"/>
    <x v="1"/>
  </r>
  <r>
    <x v="941"/>
    <x v="6"/>
    <x v="2"/>
    <n v="71.599999999999994"/>
    <n v="214.8"/>
    <x v="37"/>
    <x v="40"/>
    <x v="1"/>
    <x v="1"/>
    <x v="2"/>
    <x v="10"/>
    <x v="5"/>
    <x v="5"/>
    <x v="1"/>
  </r>
  <r>
    <x v="942"/>
    <x v="6"/>
    <x v="13"/>
    <n v="51.5"/>
    <n v="309"/>
    <x v="37"/>
    <x v="35"/>
    <x v="0"/>
    <x v="4"/>
    <x v="0"/>
    <x v="11"/>
    <x v="1"/>
    <x v="5"/>
    <x v="0"/>
  </r>
  <r>
    <x v="943"/>
    <x v="7"/>
    <x v="9"/>
    <n v="55.5"/>
    <n v="277.5"/>
    <x v="37"/>
    <x v="39"/>
    <x v="1"/>
    <x v="1"/>
    <x v="1"/>
    <x v="11"/>
    <x v="3"/>
    <x v="5"/>
    <x v="1"/>
  </r>
  <r>
    <x v="944"/>
    <x v="6"/>
    <x v="0"/>
    <n v="51.7"/>
    <n v="51.7"/>
    <x v="37"/>
    <x v="47"/>
    <x v="1"/>
    <x v="2"/>
    <x v="0"/>
    <x v="19"/>
    <x v="12"/>
    <x v="5"/>
    <x v="1"/>
  </r>
  <r>
    <x v="945"/>
    <x v="8"/>
    <x v="38"/>
    <n v="45.5"/>
    <n v="955.5"/>
    <x v="37"/>
    <x v="39"/>
    <x v="2"/>
    <x v="3"/>
    <x v="2"/>
    <x v="19"/>
    <x v="3"/>
    <x v="5"/>
    <x v="2"/>
  </r>
  <r>
    <x v="946"/>
    <x v="8"/>
    <x v="1"/>
    <n v="33.799999999999997"/>
    <n v="67.599999999999994"/>
    <x v="37"/>
    <x v="45"/>
    <x v="2"/>
    <x v="3"/>
    <x v="0"/>
    <x v="20"/>
    <x v="4"/>
    <x v="5"/>
    <x v="2"/>
  </r>
  <r>
    <x v="947"/>
    <x v="3"/>
    <x v="2"/>
    <n v="76.5"/>
    <n v="229.5"/>
    <x v="37"/>
    <x v="39"/>
    <x v="2"/>
    <x v="0"/>
    <x v="1"/>
    <x v="21"/>
    <x v="3"/>
    <x v="5"/>
    <x v="2"/>
  </r>
  <r>
    <x v="948"/>
    <x v="9"/>
    <x v="2"/>
    <n v="42.6"/>
    <n v="127.8"/>
    <x v="37"/>
    <x v="45"/>
    <x v="2"/>
    <x v="2"/>
    <x v="2"/>
    <x v="2"/>
    <x v="4"/>
    <x v="5"/>
    <x v="2"/>
  </r>
  <r>
    <x v="949"/>
    <x v="6"/>
    <x v="2"/>
    <n v="44.1"/>
    <n v="132.30000000000001"/>
    <x v="37"/>
    <x v="35"/>
    <x v="2"/>
    <x v="1"/>
    <x v="1"/>
    <x v="22"/>
    <x v="1"/>
    <x v="5"/>
    <x v="2"/>
  </r>
  <r>
    <x v="950"/>
    <x v="8"/>
    <x v="1"/>
    <n v="40.9"/>
    <n v="81.8"/>
    <x v="37"/>
    <x v="40"/>
    <x v="1"/>
    <x v="0"/>
    <x v="0"/>
    <x v="3"/>
    <x v="5"/>
    <x v="5"/>
    <x v="1"/>
  </r>
  <r>
    <x v="951"/>
    <x v="9"/>
    <x v="2"/>
    <n v="49.1"/>
    <n v="147.30000000000001"/>
    <x v="37"/>
    <x v="40"/>
    <x v="2"/>
    <x v="3"/>
    <x v="1"/>
    <x v="3"/>
    <x v="5"/>
    <x v="5"/>
    <x v="2"/>
  </r>
  <r>
    <x v="952"/>
    <x v="18"/>
    <x v="0"/>
    <n v="85.3"/>
    <n v="85.3"/>
    <x v="37"/>
    <x v="40"/>
    <x v="1"/>
    <x v="1"/>
    <x v="1"/>
    <x v="3"/>
    <x v="5"/>
    <x v="5"/>
    <x v="1"/>
  </r>
  <r>
    <x v="953"/>
    <x v="6"/>
    <x v="12"/>
    <n v="43.1"/>
    <n v="172.4"/>
    <x v="38"/>
    <x v="40"/>
    <x v="1"/>
    <x v="0"/>
    <x v="0"/>
    <x v="3"/>
    <x v="2"/>
    <x v="5"/>
    <x v="1"/>
  </r>
  <r>
    <x v="954"/>
    <x v="4"/>
    <x v="12"/>
    <n v="46.2"/>
    <n v="184.8"/>
    <x v="38"/>
    <x v="35"/>
    <x v="1"/>
    <x v="2"/>
    <x v="0"/>
    <x v="3"/>
    <x v="3"/>
    <x v="5"/>
    <x v="1"/>
  </r>
  <r>
    <x v="955"/>
    <x v="1"/>
    <x v="0"/>
    <n v="74.400000000000006"/>
    <n v="74.400000000000006"/>
    <x v="38"/>
    <x v="37"/>
    <x v="1"/>
    <x v="4"/>
    <x v="2"/>
    <x v="3"/>
    <x v="1"/>
    <x v="5"/>
    <x v="1"/>
  </r>
  <r>
    <x v="956"/>
    <x v="17"/>
    <x v="1"/>
    <n v="51.2"/>
    <n v="102.4"/>
    <x v="38"/>
    <x v="35"/>
    <x v="1"/>
    <x v="1"/>
    <x v="0"/>
    <x v="3"/>
    <x v="3"/>
    <x v="5"/>
    <x v="1"/>
  </r>
  <r>
    <x v="957"/>
    <x v="14"/>
    <x v="12"/>
    <n v="11.8"/>
    <n v="47.2"/>
    <x v="38"/>
    <x v="39"/>
    <x v="1"/>
    <x v="2"/>
    <x v="0"/>
    <x v="3"/>
    <x v="7"/>
    <x v="5"/>
    <x v="1"/>
  </r>
  <r>
    <x v="958"/>
    <x v="10"/>
    <x v="6"/>
    <n v="40.799999999999997"/>
    <n v="1101.5999999999999"/>
    <x v="38"/>
    <x v="35"/>
    <x v="2"/>
    <x v="3"/>
    <x v="2"/>
    <x v="3"/>
    <x v="3"/>
    <x v="5"/>
    <x v="2"/>
  </r>
  <r>
    <x v="959"/>
    <x v="8"/>
    <x v="0"/>
    <n v="24.7"/>
    <n v="24.7"/>
    <x v="38"/>
    <x v="37"/>
    <x v="2"/>
    <x v="2"/>
    <x v="1"/>
    <x v="3"/>
    <x v="1"/>
    <x v="5"/>
    <x v="2"/>
  </r>
  <r>
    <x v="960"/>
    <x v="8"/>
    <x v="3"/>
    <n v="22.1"/>
    <n v="154.69999999999999"/>
    <x v="38"/>
    <x v="39"/>
    <x v="2"/>
    <x v="2"/>
    <x v="4"/>
    <x v="3"/>
    <x v="7"/>
    <x v="5"/>
    <x v="2"/>
  </r>
  <r>
    <x v="961"/>
    <x v="8"/>
    <x v="0"/>
    <n v="18.100000000000001"/>
    <n v="18.100000000000001"/>
    <x v="38"/>
    <x v="44"/>
    <x v="1"/>
    <x v="3"/>
    <x v="2"/>
    <x v="3"/>
    <x v="5"/>
    <x v="5"/>
    <x v="1"/>
  </r>
  <r>
    <x v="962"/>
    <x v="17"/>
    <x v="1"/>
    <n v="58.8"/>
    <n v="117.6"/>
    <x v="38"/>
    <x v="40"/>
    <x v="2"/>
    <x v="0"/>
    <x v="0"/>
    <x v="25"/>
    <x v="2"/>
    <x v="5"/>
    <x v="2"/>
  </r>
  <r>
    <x v="963"/>
    <x v="18"/>
    <x v="1"/>
    <n v="30.8"/>
    <n v="61.6"/>
    <x v="38"/>
    <x v="35"/>
    <x v="2"/>
    <x v="0"/>
    <x v="0"/>
    <x v="6"/>
    <x v="3"/>
    <x v="5"/>
    <x v="2"/>
  </r>
  <r>
    <x v="964"/>
    <x v="0"/>
    <x v="1"/>
    <n v="12"/>
    <n v="24"/>
    <x v="38"/>
    <x v="44"/>
    <x v="2"/>
    <x v="0"/>
    <x v="0"/>
    <x v="6"/>
    <x v="5"/>
    <x v="5"/>
    <x v="2"/>
  </r>
  <r>
    <x v="965"/>
    <x v="0"/>
    <x v="12"/>
    <n v="13.6"/>
    <n v="54.4"/>
    <x v="38"/>
    <x v="40"/>
    <x v="1"/>
    <x v="2"/>
    <x v="0"/>
    <x v="6"/>
    <x v="2"/>
    <x v="5"/>
    <x v="1"/>
  </r>
  <r>
    <x v="966"/>
    <x v="0"/>
    <x v="0"/>
    <n v="17.899999999999999"/>
    <n v="17.899999999999999"/>
    <x v="38"/>
    <x v="35"/>
    <x v="1"/>
    <x v="3"/>
    <x v="0"/>
    <x v="6"/>
    <x v="3"/>
    <x v="5"/>
    <x v="1"/>
  </r>
  <r>
    <x v="967"/>
    <x v="9"/>
    <x v="1"/>
    <n v="38.6"/>
    <n v="77.2"/>
    <x v="38"/>
    <x v="44"/>
    <x v="2"/>
    <x v="4"/>
    <x v="0"/>
    <x v="7"/>
    <x v="5"/>
    <x v="5"/>
    <x v="2"/>
  </r>
  <r>
    <x v="968"/>
    <x v="5"/>
    <x v="9"/>
    <n v="32.700000000000003"/>
    <n v="163.5"/>
    <x v="38"/>
    <x v="35"/>
    <x v="1"/>
    <x v="2"/>
    <x v="2"/>
    <x v="8"/>
    <x v="3"/>
    <x v="5"/>
    <x v="1"/>
  </r>
  <r>
    <x v="969"/>
    <x v="3"/>
    <x v="1"/>
    <n v="111.4"/>
    <n v="222.8"/>
    <x v="38"/>
    <x v="35"/>
    <x v="2"/>
    <x v="1"/>
    <x v="0"/>
    <x v="8"/>
    <x v="3"/>
    <x v="5"/>
    <x v="2"/>
  </r>
  <r>
    <x v="970"/>
    <x v="2"/>
    <x v="13"/>
    <n v="80.3"/>
    <n v="481.8"/>
    <x v="38"/>
    <x v="37"/>
    <x v="2"/>
    <x v="1"/>
    <x v="0"/>
    <x v="8"/>
    <x v="1"/>
    <x v="5"/>
    <x v="2"/>
  </r>
  <r>
    <x v="971"/>
    <x v="6"/>
    <x v="1"/>
    <n v="58.9"/>
    <n v="117.8"/>
    <x v="38"/>
    <x v="35"/>
    <x v="1"/>
    <x v="1"/>
    <x v="0"/>
    <x v="8"/>
    <x v="3"/>
    <x v="5"/>
    <x v="1"/>
  </r>
  <r>
    <x v="972"/>
    <x v="6"/>
    <x v="2"/>
    <n v="51.9"/>
    <n v="155.69999999999999"/>
    <x v="38"/>
    <x v="37"/>
    <x v="2"/>
    <x v="1"/>
    <x v="4"/>
    <x v="8"/>
    <x v="1"/>
    <x v="5"/>
    <x v="2"/>
  </r>
  <r>
    <x v="973"/>
    <x v="2"/>
    <x v="2"/>
    <n v="50.3"/>
    <n v="150.9"/>
    <x v="38"/>
    <x v="35"/>
    <x v="1"/>
    <x v="2"/>
    <x v="0"/>
    <x v="17"/>
    <x v="3"/>
    <x v="5"/>
    <x v="1"/>
  </r>
  <r>
    <x v="974"/>
    <x v="11"/>
    <x v="13"/>
    <n v="45"/>
    <n v="270"/>
    <x v="38"/>
    <x v="42"/>
    <x v="2"/>
    <x v="3"/>
    <x v="0"/>
    <x v="9"/>
    <x v="4"/>
    <x v="5"/>
    <x v="2"/>
  </r>
  <r>
    <x v="975"/>
    <x v="10"/>
    <x v="13"/>
    <n v="44.7"/>
    <n v="268.2"/>
    <x v="38"/>
    <x v="37"/>
    <x v="2"/>
    <x v="2"/>
    <x v="0"/>
    <x v="11"/>
    <x v="1"/>
    <x v="5"/>
    <x v="2"/>
  </r>
  <r>
    <x v="976"/>
    <x v="18"/>
    <x v="20"/>
    <n v="33"/>
    <n v="495"/>
    <x v="38"/>
    <x v="35"/>
    <x v="2"/>
    <x v="2"/>
    <x v="0"/>
    <x v="11"/>
    <x v="3"/>
    <x v="5"/>
    <x v="2"/>
  </r>
  <r>
    <x v="977"/>
    <x v="1"/>
    <x v="9"/>
    <n v="44.9"/>
    <n v="224.5"/>
    <x v="38"/>
    <x v="40"/>
    <x v="2"/>
    <x v="2"/>
    <x v="2"/>
    <x v="18"/>
    <x v="2"/>
    <x v="5"/>
    <x v="2"/>
  </r>
  <r>
    <x v="978"/>
    <x v="10"/>
    <x v="1"/>
    <n v="34.6"/>
    <n v="69.2"/>
    <x v="38"/>
    <x v="44"/>
    <x v="2"/>
    <x v="0"/>
    <x v="1"/>
    <x v="19"/>
    <x v="5"/>
    <x v="5"/>
    <x v="2"/>
  </r>
  <r>
    <x v="979"/>
    <x v="7"/>
    <x v="3"/>
    <n v="47.1"/>
    <n v="329.7"/>
    <x v="38"/>
    <x v="45"/>
    <x v="2"/>
    <x v="0"/>
    <x v="0"/>
    <x v="13"/>
    <x v="0"/>
    <x v="5"/>
    <x v="2"/>
  </r>
  <r>
    <x v="980"/>
    <x v="4"/>
    <x v="9"/>
    <n v="26.1"/>
    <n v="130.5"/>
    <x v="38"/>
    <x v="45"/>
    <x v="1"/>
    <x v="0"/>
    <x v="2"/>
    <x v="21"/>
    <x v="0"/>
    <x v="5"/>
    <x v="1"/>
  </r>
  <r>
    <x v="981"/>
    <x v="12"/>
    <x v="9"/>
    <n v="66.8"/>
    <n v="334"/>
    <x v="38"/>
    <x v="40"/>
    <x v="2"/>
    <x v="0"/>
    <x v="0"/>
    <x v="21"/>
    <x v="2"/>
    <x v="5"/>
    <x v="2"/>
  </r>
  <r>
    <x v="982"/>
    <x v="2"/>
    <x v="1"/>
    <n v="167.9"/>
    <n v="335.8"/>
    <x v="38"/>
    <x v="35"/>
    <x v="2"/>
    <x v="3"/>
    <x v="2"/>
    <x v="21"/>
    <x v="3"/>
    <x v="5"/>
    <x v="2"/>
  </r>
  <r>
    <x v="983"/>
    <x v="10"/>
    <x v="11"/>
    <n v="34.6"/>
    <n v="311.39999999999998"/>
    <x v="38"/>
    <x v="35"/>
    <x v="2"/>
    <x v="2"/>
    <x v="1"/>
    <x v="21"/>
    <x v="3"/>
    <x v="5"/>
    <x v="2"/>
  </r>
  <r>
    <x v="984"/>
    <x v="8"/>
    <x v="2"/>
    <n v="35.1"/>
    <n v="105.3"/>
    <x v="39"/>
    <x v="45"/>
    <x v="1"/>
    <x v="4"/>
    <x v="2"/>
    <x v="1"/>
    <x v="5"/>
    <x v="6"/>
    <x v="1"/>
  </r>
  <r>
    <x v="985"/>
    <x v="6"/>
    <x v="12"/>
    <n v="104.5"/>
    <n v="418"/>
    <x v="39"/>
    <x v="37"/>
    <x v="1"/>
    <x v="1"/>
    <x v="1"/>
    <x v="1"/>
    <x v="3"/>
    <x v="6"/>
    <x v="1"/>
  </r>
  <r>
    <x v="986"/>
    <x v="8"/>
    <x v="0"/>
    <n v="37.9"/>
    <n v="37.9"/>
    <x v="39"/>
    <x v="40"/>
    <x v="0"/>
    <x v="1"/>
    <x v="2"/>
    <x v="2"/>
    <x v="1"/>
    <x v="6"/>
    <x v="0"/>
  </r>
  <r>
    <x v="987"/>
    <x v="4"/>
    <x v="2"/>
    <n v="25.5"/>
    <n v="76.5"/>
    <x v="39"/>
    <x v="44"/>
    <x v="1"/>
    <x v="3"/>
    <x v="0"/>
    <x v="2"/>
    <x v="2"/>
    <x v="6"/>
    <x v="1"/>
  </r>
  <r>
    <x v="988"/>
    <x v="0"/>
    <x v="2"/>
    <n v="32"/>
    <n v="96"/>
    <x v="39"/>
    <x v="45"/>
    <x v="2"/>
    <x v="1"/>
    <x v="0"/>
    <x v="22"/>
    <x v="5"/>
    <x v="6"/>
    <x v="2"/>
  </r>
  <r>
    <x v="989"/>
    <x v="1"/>
    <x v="0"/>
    <n v="47.1"/>
    <n v="47.1"/>
    <x v="39"/>
    <x v="37"/>
    <x v="2"/>
    <x v="0"/>
    <x v="0"/>
    <x v="0"/>
    <x v="3"/>
    <x v="6"/>
    <x v="2"/>
  </r>
  <r>
    <x v="990"/>
    <x v="6"/>
    <x v="1"/>
    <n v="50.6"/>
    <n v="101.2"/>
    <x v="39"/>
    <x v="48"/>
    <x v="0"/>
    <x v="0"/>
    <x v="0"/>
    <x v="3"/>
    <x v="4"/>
    <x v="6"/>
    <x v="0"/>
  </r>
  <r>
    <x v="991"/>
    <x v="6"/>
    <x v="9"/>
    <n v="81.7"/>
    <n v="408.5"/>
    <x v="39"/>
    <x v="37"/>
    <x v="2"/>
    <x v="1"/>
    <x v="2"/>
    <x v="3"/>
    <x v="3"/>
    <x v="6"/>
    <x v="2"/>
  </r>
  <r>
    <x v="992"/>
    <x v="5"/>
    <x v="1"/>
    <n v="50.7"/>
    <n v="101.4"/>
    <x v="39"/>
    <x v="37"/>
    <x v="3"/>
    <x v="2"/>
    <x v="2"/>
    <x v="3"/>
    <x v="3"/>
    <x v="6"/>
    <x v="3"/>
  </r>
  <r>
    <x v="993"/>
    <x v="2"/>
    <x v="10"/>
    <n v="67.3"/>
    <n v="1278.7"/>
    <x v="39"/>
    <x v="45"/>
    <x v="2"/>
    <x v="2"/>
    <x v="0"/>
    <x v="3"/>
    <x v="5"/>
    <x v="6"/>
    <x v="2"/>
  </r>
  <r>
    <x v="994"/>
    <x v="2"/>
    <x v="12"/>
    <n v="64.8"/>
    <n v="259.2"/>
    <x v="39"/>
    <x v="44"/>
    <x v="2"/>
    <x v="3"/>
    <x v="0"/>
    <x v="3"/>
    <x v="2"/>
    <x v="6"/>
    <x v="2"/>
  </r>
  <r>
    <x v="995"/>
    <x v="5"/>
    <x v="32"/>
    <n v="61.3"/>
    <n v="1348.6"/>
    <x v="39"/>
    <x v="37"/>
    <x v="2"/>
    <x v="0"/>
    <x v="2"/>
    <x v="3"/>
    <x v="3"/>
    <x v="6"/>
    <x v="2"/>
  </r>
  <r>
    <x v="996"/>
    <x v="14"/>
    <x v="0"/>
    <n v="32.9"/>
    <n v="32.9"/>
    <x v="39"/>
    <x v="44"/>
    <x v="2"/>
    <x v="4"/>
    <x v="0"/>
    <x v="3"/>
    <x v="2"/>
    <x v="6"/>
    <x v="2"/>
  </r>
  <r>
    <x v="997"/>
    <x v="6"/>
    <x v="1"/>
    <n v="100.8"/>
    <n v="201.6"/>
    <x v="39"/>
    <x v="44"/>
    <x v="2"/>
    <x v="0"/>
    <x v="0"/>
    <x v="3"/>
    <x v="2"/>
    <x v="6"/>
    <x v="2"/>
  </r>
  <r>
    <x v="998"/>
    <x v="8"/>
    <x v="12"/>
    <n v="25.1"/>
    <n v="100.4"/>
    <x v="39"/>
    <x v="40"/>
    <x v="2"/>
    <x v="1"/>
    <x v="0"/>
    <x v="3"/>
    <x v="1"/>
    <x v="6"/>
    <x v="2"/>
  </r>
  <r>
    <x v="999"/>
    <x v="17"/>
    <x v="0"/>
    <n v="48.5"/>
    <n v="48.5"/>
    <x v="39"/>
    <x v="37"/>
    <x v="2"/>
    <x v="0"/>
    <x v="1"/>
    <x v="3"/>
    <x v="3"/>
    <x v="6"/>
    <x v="2"/>
  </r>
  <r>
    <x v="1000"/>
    <x v="7"/>
    <x v="1"/>
    <n v="33.6"/>
    <n v="67.2"/>
    <x v="39"/>
    <x v="45"/>
    <x v="2"/>
    <x v="2"/>
    <x v="2"/>
    <x v="3"/>
    <x v="5"/>
    <x v="6"/>
    <x v="2"/>
  </r>
  <r>
    <x v="1001"/>
    <x v="8"/>
    <x v="0"/>
    <n v="39.299999999999997"/>
    <n v="39.299999999999997"/>
    <x v="39"/>
    <x v="49"/>
    <x v="2"/>
    <x v="1"/>
    <x v="1"/>
    <x v="25"/>
    <x v="11"/>
    <x v="6"/>
    <x v="2"/>
  </r>
  <r>
    <x v="1002"/>
    <x v="4"/>
    <x v="7"/>
    <n v="48.8"/>
    <n v="488"/>
    <x v="39"/>
    <x v="40"/>
    <x v="2"/>
    <x v="3"/>
    <x v="1"/>
    <x v="25"/>
    <x v="1"/>
    <x v="6"/>
    <x v="2"/>
  </r>
  <r>
    <x v="1003"/>
    <x v="6"/>
    <x v="8"/>
    <n v="72.8"/>
    <n v="582.4"/>
    <x v="39"/>
    <x v="40"/>
    <x v="1"/>
    <x v="1"/>
    <x v="2"/>
    <x v="5"/>
    <x v="1"/>
    <x v="6"/>
    <x v="1"/>
  </r>
  <r>
    <x v="1004"/>
    <x v="10"/>
    <x v="8"/>
    <n v="46.2"/>
    <n v="369.6"/>
    <x v="39"/>
    <x v="37"/>
    <x v="1"/>
    <x v="3"/>
    <x v="4"/>
    <x v="5"/>
    <x v="3"/>
    <x v="6"/>
    <x v="1"/>
  </r>
  <r>
    <x v="1005"/>
    <x v="4"/>
    <x v="1"/>
    <n v="20.7"/>
    <n v="41.4"/>
    <x v="39"/>
    <x v="37"/>
    <x v="2"/>
    <x v="2"/>
    <x v="3"/>
    <x v="6"/>
    <x v="3"/>
    <x v="6"/>
    <x v="2"/>
  </r>
  <r>
    <x v="1006"/>
    <x v="0"/>
    <x v="0"/>
    <n v="35.700000000000003"/>
    <n v="35.700000000000003"/>
    <x v="39"/>
    <x v="40"/>
    <x v="2"/>
    <x v="3"/>
    <x v="0"/>
    <x v="6"/>
    <x v="1"/>
    <x v="6"/>
    <x v="2"/>
  </r>
  <r>
    <x v="1007"/>
    <x v="2"/>
    <x v="27"/>
    <n v="166.2"/>
    <n v="2659.2"/>
    <x v="39"/>
    <x v="40"/>
    <x v="0"/>
    <x v="2"/>
    <x v="0"/>
    <x v="7"/>
    <x v="1"/>
    <x v="6"/>
    <x v="0"/>
  </r>
  <r>
    <x v="1008"/>
    <x v="6"/>
    <x v="12"/>
    <n v="85.8"/>
    <n v="343.2"/>
    <x v="39"/>
    <x v="37"/>
    <x v="2"/>
    <x v="1"/>
    <x v="1"/>
    <x v="7"/>
    <x v="3"/>
    <x v="6"/>
    <x v="2"/>
  </r>
  <r>
    <x v="1009"/>
    <x v="8"/>
    <x v="2"/>
    <n v="26"/>
    <n v="78"/>
    <x v="39"/>
    <x v="40"/>
    <x v="3"/>
    <x v="1"/>
    <x v="0"/>
    <x v="7"/>
    <x v="1"/>
    <x v="6"/>
    <x v="3"/>
  </r>
  <r>
    <x v="1010"/>
    <x v="2"/>
    <x v="15"/>
    <n v="116.6"/>
    <n v="1515.8"/>
    <x v="39"/>
    <x v="44"/>
    <x v="2"/>
    <x v="0"/>
    <x v="0"/>
    <x v="8"/>
    <x v="2"/>
    <x v="6"/>
    <x v="2"/>
  </r>
  <r>
    <x v="1011"/>
    <x v="9"/>
    <x v="3"/>
    <n v="53.9"/>
    <n v="377.3"/>
    <x v="39"/>
    <x v="44"/>
    <x v="3"/>
    <x v="0"/>
    <x v="2"/>
    <x v="8"/>
    <x v="2"/>
    <x v="6"/>
    <x v="3"/>
  </r>
  <r>
    <x v="1012"/>
    <x v="12"/>
    <x v="9"/>
    <n v="72.3"/>
    <n v="361.5"/>
    <x v="39"/>
    <x v="40"/>
    <x v="0"/>
    <x v="2"/>
    <x v="2"/>
    <x v="8"/>
    <x v="1"/>
    <x v="6"/>
    <x v="0"/>
  </r>
  <r>
    <x v="1013"/>
    <x v="5"/>
    <x v="1"/>
    <n v="31.4"/>
    <n v="62.8"/>
    <x v="39"/>
    <x v="40"/>
    <x v="2"/>
    <x v="0"/>
    <x v="0"/>
    <x v="8"/>
    <x v="1"/>
    <x v="6"/>
    <x v="2"/>
  </r>
  <r>
    <x v="1014"/>
    <x v="13"/>
    <x v="1"/>
    <n v="53.1"/>
    <n v="106.2"/>
    <x v="39"/>
    <x v="44"/>
    <x v="1"/>
    <x v="1"/>
    <x v="0"/>
    <x v="8"/>
    <x v="2"/>
    <x v="6"/>
    <x v="1"/>
  </r>
  <r>
    <x v="1015"/>
    <x v="2"/>
    <x v="12"/>
    <n v="56.2"/>
    <n v="224.8"/>
    <x v="39"/>
    <x v="37"/>
    <x v="2"/>
    <x v="0"/>
    <x v="0"/>
    <x v="8"/>
    <x v="3"/>
    <x v="6"/>
    <x v="2"/>
  </r>
  <r>
    <x v="1016"/>
    <x v="1"/>
    <x v="7"/>
    <n v="77.3"/>
    <n v="773"/>
    <x v="39"/>
    <x v="37"/>
    <x v="2"/>
    <x v="2"/>
    <x v="0"/>
    <x v="11"/>
    <x v="3"/>
    <x v="6"/>
    <x v="2"/>
  </r>
  <r>
    <x v="1017"/>
    <x v="6"/>
    <x v="15"/>
    <n v="57.8"/>
    <n v="751.4"/>
    <x v="39"/>
    <x v="37"/>
    <x v="0"/>
    <x v="0"/>
    <x v="0"/>
    <x v="29"/>
    <x v="3"/>
    <x v="6"/>
    <x v="0"/>
  </r>
  <r>
    <x v="1018"/>
    <x v="12"/>
    <x v="20"/>
    <n v="42.1"/>
    <n v="631.5"/>
    <x v="39"/>
    <x v="40"/>
    <x v="2"/>
    <x v="1"/>
    <x v="1"/>
    <x v="29"/>
    <x v="1"/>
    <x v="6"/>
    <x v="2"/>
  </r>
  <r>
    <x v="1019"/>
    <x v="8"/>
    <x v="11"/>
    <n v="22.8"/>
    <n v="205.2"/>
    <x v="39"/>
    <x v="45"/>
    <x v="1"/>
    <x v="2"/>
    <x v="2"/>
    <x v="19"/>
    <x v="5"/>
    <x v="6"/>
    <x v="1"/>
  </r>
  <r>
    <x v="1020"/>
    <x v="2"/>
    <x v="2"/>
    <n v="171.1"/>
    <n v="513.29999999999995"/>
    <x v="40"/>
    <x v="43"/>
    <x v="2"/>
    <x v="2"/>
    <x v="1"/>
    <x v="19"/>
    <x v="6"/>
    <x v="6"/>
    <x v="2"/>
  </r>
  <r>
    <x v="1021"/>
    <x v="8"/>
    <x v="0"/>
    <n v="28"/>
    <n v="28"/>
    <x v="40"/>
    <x v="44"/>
    <x v="1"/>
    <x v="2"/>
    <x v="2"/>
    <x v="21"/>
    <x v="1"/>
    <x v="6"/>
    <x v="1"/>
  </r>
  <r>
    <x v="1022"/>
    <x v="6"/>
    <x v="3"/>
    <n v="50.2"/>
    <n v="351.4"/>
    <x v="40"/>
    <x v="44"/>
    <x v="1"/>
    <x v="2"/>
    <x v="0"/>
    <x v="21"/>
    <x v="1"/>
    <x v="6"/>
    <x v="1"/>
  </r>
  <r>
    <x v="1023"/>
    <x v="6"/>
    <x v="1"/>
    <n v="56"/>
    <n v="112"/>
    <x v="40"/>
    <x v="37"/>
    <x v="1"/>
    <x v="0"/>
    <x v="2"/>
    <x v="22"/>
    <x v="7"/>
    <x v="6"/>
    <x v="1"/>
  </r>
  <r>
    <x v="1024"/>
    <x v="1"/>
    <x v="1"/>
    <n v="38.299999999999997"/>
    <n v="76.599999999999994"/>
    <x v="40"/>
    <x v="40"/>
    <x v="2"/>
    <x v="1"/>
    <x v="0"/>
    <x v="3"/>
    <x v="3"/>
    <x v="6"/>
    <x v="2"/>
  </r>
  <r>
    <x v="1025"/>
    <x v="0"/>
    <x v="9"/>
    <n v="22.3"/>
    <n v="111.5"/>
    <x v="40"/>
    <x v="42"/>
    <x v="2"/>
    <x v="2"/>
    <x v="1"/>
    <x v="3"/>
    <x v="5"/>
    <x v="6"/>
    <x v="2"/>
  </r>
  <r>
    <x v="1026"/>
    <x v="0"/>
    <x v="2"/>
    <n v="22.3"/>
    <n v="66.900000000000006"/>
    <x v="40"/>
    <x v="45"/>
    <x v="2"/>
    <x v="2"/>
    <x v="0"/>
    <x v="3"/>
    <x v="2"/>
    <x v="6"/>
    <x v="2"/>
  </r>
  <r>
    <x v="1027"/>
    <x v="1"/>
    <x v="0"/>
    <n v="32.9"/>
    <n v="32.9"/>
    <x v="40"/>
    <x v="48"/>
    <x v="2"/>
    <x v="0"/>
    <x v="0"/>
    <x v="3"/>
    <x v="0"/>
    <x v="6"/>
    <x v="2"/>
  </r>
  <r>
    <x v="1028"/>
    <x v="10"/>
    <x v="2"/>
    <n v="31.9"/>
    <n v="95.699999999999989"/>
    <x v="40"/>
    <x v="48"/>
    <x v="2"/>
    <x v="0"/>
    <x v="0"/>
    <x v="3"/>
    <x v="0"/>
    <x v="6"/>
    <x v="2"/>
  </r>
  <r>
    <x v="1029"/>
    <x v="6"/>
    <x v="1"/>
    <n v="94"/>
    <n v="188"/>
    <x v="40"/>
    <x v="40"/>
    <x v="1"/>
    <x v="2"/>
    <x v="2"/>
    <x v="3"/>
    <x v="3"/>
    <x v="6"/>
    <x v="1"/>
  </r>
  <r>
    <x v="1030"/>
    <x v="10"/>
    <x v="1"/>
    <n v="30.7"/>
    <n v="61.4"/>
    <x v="40"/>
    <x v="40"/>
    <x v="2"/>
    <x v="0"/>
    <x v="1"/>
    <x v="3"/>
    <x v="3"/>
    <x v="6"/>
    <x v="2"/>
  </r>
  <r>
    <x v="1031"/>
    <x v="5"/>
    <x v="9"/>
    <n v="90.5"/>
    <n v="452.5"/>
    <x v="40"/>
    <x v="43"/>
    <x v="1"/>
    <x v="0"/>
    <x v="2"/>
    <x v="3"/>
    <x v="6"/>
    <x v="6"/>
    <x v="1"/>
  </r>
  <r>
    <x v="1032"/>
    <x v="8"/>
    <x v="9"/>
    <n v="25.3"/>
    <n v="126.5"/>
    <x v="40"/>
    <x v="42"/>
    <x v="2"/>
    <x v="0"/>
    <x v="2"/>
    <x v="3"/>
    <x v="5"/>
    <x v="6"/>
    <x v="2"/>
  </r>
  <r>
    <x v="1033"/>
    <x v="6"/>
    <x v="2"/>
    <n v="58.1"/>
    <n v="174.3"/>
    <x v="40"/>
    <x v="42"/>
    <x v="0"/>
    <x v="0"/>
    <x v="2"/>
    <x v="3"/>
    <x v="5"/>
    <x v="6"/>
    <x v="0"/>
  </r>
  <r>
    <x v="1034"/>
    <x v="2"/>
    <x v="2"/>
    <n v="74.900000000000006"/>
    <n v="224.7"/>
    <x v="40"/>
    <x v="40"/>
    <x v="2"/>
    <x v="4"/>
    <x v="0"/>
    <x v="3"/>
    <x v="3"/>
    <x v="6"/>
    <x v="2"/>
  </r>
  <r>
    <x v="1035"/>
    <x v="4"/>
    <x v="1"/>
    <n v="32.5"/>
    <n v="65"/>
    <x v="40"/>
    <x v="40"/>
    <x v="1"/>
    <x v="2"/>
    <x v="2"/>
    <x v="19"/>
    <x v="3"/>
    <x v="6"/>
    <x v="1"/>
  </r>
  <r>
    <x v="1036"/>
    <x v="4"/>
    <x v="9"/>
    <n v="62"/>
    <n v="310"/>
    <x v="40"/>
    <x v="40"/>
    <x v="1"/>
    <x v="4"/>
    <x v="2"/>
    <x v="25"/>
    <x v="3"/>
    <x v="6"/>
    <x v="1"/>
  </r>
  <r>
    <x v="1037"/>
    <x v="13"/>
    <x v="13"/>
    <n v="28.9"/>
    <n v="173.4"/>
    <x v="40"/>
    <x v="45"/>
    <x v="2"/>
    <x v="0"/>
    <x v="1"/>
    <x v="6"/>
    <x v="2"/>
    <x v="6"/>
    <x v="2"/>
  </r>
  <r>
    <x v="1038"/>
    <x v="6"/>
    <x v="8"/>
    <n v="42.8"/>
    <n v="342.4"/>
    <x v="40"/>
    <x v="44"/>
    <x v="2"/>
    <x v="0"/>
    <x v="2"/>
    <x v="6"/>
    <x v="1"/>
    <x v="6"/>
    <x v="2"/>
  </r>
  <r>
    <x v="1039"/>
    <x v="8"/>
    <x v="8"/>
    <n v="39.4"/>
    <n v="315.2"/>
    <x v="40"/>
    <x v="44"/>
    <x v="1"/>
    <x v="0"/>
    <x v="0"/>
    <x v="5"/>
    <x v="1"/>
    <x v="6"/>
    <x v="1"/>
  </r>
  <r>
    <x v="1040"/>
    <x v="18"/>
    <x v="2"/>
    <n v="66.400000000000006"/>
    <n v="199.2"/>
    <x v="40"/>
    <x v="40"/>
    <x v="0"/>
    <x v="2"/>
    <x v="1"/>
    <x v="7"/>
    <x v="3"/>
    <x v="6"/>
    <x v="0"/>
  </r>
  <r>
    <x v="1041"/>
    <x v="17"/>
    <x v="12"/>
    <n v="35.9"/>
    <n v="143.6"/>
    <x v="40"/>
    <x v="43"/>
    <x v="2"/>
    <x v="1"/>
    <x v="0"/>
    <x v="7"/>
    <x v="6"/>
    <x v="6"/>
    <x v="2"/>
  </r>
  <r>
    <x v="1042"/>
    <x v="0"/>
    <x v="12"/>
    <n v="26.9"/>
    <n v="107.6"/>
    <x v="40"/>
    <x v="40"/>
    <x v="1"/>
    <x v="1"/>
    <x v="0"/>
    <x v="7"/>
    <x v="3"/>
    <x v="6"/>
    <x v="1"/>
  </r>
  <r>
    <x v="1043"/>
    <x v="2"/>
    <x v="0"/>
    <n v="55.1"/>
    <n v="55.1"/>
    <x v="40"/>
    <x v="40"/>
    <x v="2"/>
    <x v="0"/>
    <x v="0"/>
    <x v="7"/>
    <x v="3"/>
    <x v="6"/>
    <x v="2"/>
  </r>
  <r>
    <x v="1044"/>
    <x v="4"/>
    <x v="1"/>
    <n v="23.9"/>
    <n v="47.8"/>
    <x v="40"/>
    <x v="40"/>
    <x v="1"/>
    <x v="0"/>
    <x v="2"/>
    <x v="8"/>
    <x v="3"/>
    <x v="6"/>
    <x v="1"/>
  </r>
  <r>
    <x v="1045"/>
    <x v="9"/>
    <x v="15"/>
    <n v="21.1"/>
    <n v="274.3"/>
    <x v="40"/>
    <x v="50"/>
    <x v="2"/>
    <x v="0"/>
    <x v="1"/>
    <x v="8"/>
    <x v="9"/>
    <x v="6"/>
    <x v="2"/>
  </r>
  <r>
    <x v="1046"/>
    <x v="8"/>
    <x v="9"/>
    <n v="33.799999999999997"/>
    <n v="169"/>
    <x v="40"/>
    <x v="44"/>
    <x v="2"/>
    <x v="0"/>
    <x v="0"/>
    <x v="8"/>
    <x v="1"/>
    <x v="6"/>
    <x v="2"/>
  </r>
  <r>
    <x v="1047"/>
    <x v="2"/>
    <x v="12"/>
    <n v="56.1"/>
    <n v="224.4"/>
    <x v="40"/>
    <x v="37"/>
    <x v="2"/>
    <x v="3"/>
    <x v="2"/>
    <x v="9"/>
    <x v="7"/>
    <x v="6"/>
    <x v="2"/>
  </r>
  <r>
    <x v="1048"/>
    <x v="3"/>
    <x v="0"/>
    <n v="58.5"/>
    <n v="58.5"/>
    <x v="41"/>
    <x v="48"/>
    <x v="2"/>
    <x v="1"/>
    <x v="2"/>
    <x v="9"/>
    <x v="5"/>
    <x v="6"/>
    <x v="2"/>
  </r>
  <r>
    <x v="1049"/>
    <x v="6"/>
    <x v="0"/>
    <n v="84.2"/>
    <n v="84.2"/>
    <x v="41"/>
    <x v="45"/>
    <x v="1"/>
    <x v="3"/>
    <x v="0"/>
    <x v="11"/>
    <x v="1"/>
    <x v="6"/>
    <x v="1"/>
  </r>
  <r>
    <x v="1050"/>
    <x v="11"/>
    <x v="12"/>
    <n v="52"/>
    <n v="208"/>
    <x v="41"/>
    <x v="42"/>
    <x v="1"/>
    <x v="0"/>
    <x v="0"/>
    <x v="11"/>
    <x v="2"/>
    <x v="6"/>
    <x v="1"/>
  </r>
  <r>
    <x v="1051"/>
    <x v="4"/>
    <x v="9"/>
    <n v="31.5"/>
    <n v="157.5"/>
    <x v="41"/>
    <x v="44"/>
    <x v="2"/>
    <x v="0"/>
    <x v="2"/>
    <x v="11"/>
    <x v="3"/>
    <x v="6"/>
    <x v="2"/>
  </r>
  <r>
    <x v="1052"/>
    <x v="16"/>
    <x v="2"/>
    <n v="46.2"/>
    <n v="138.6"/>
    <x v="41"/>
    <x v="44"/>
    <x v="1"/>
    <x v="0"/>
    <x v="0"/>
    <x v="29"/>
    <x v="3"/>
    <x v="6"/>
    <x v="1"/>
  </r>
  <r>
    <x v="1053"/>
    <x v="2"/>
    <x v="13"/>
    <n v="135"/>
    <n v="810"/>
    <x v="41"/>
    <x v="44"/>
    <x v="2"/>
    <x v="1"/>
    <x v="2"/>
    <x v="18"/>
    <x v="3"/>
    <x v="6"/>
    <x v="2"/>
  </r>
  <r>
    <x v="1054"/>
    <x v="12"/>
    <x v="2"/>
    <n v="92.2"/>
    <n v="276.60000000000002"/>
    <x v="41"/>
    <x v="48"/>
    <x v="1"/>
    <x v="0"/>
    <x v="0"/>
    <x v="21"/>
    <x v="5"/>
    <x v="6"/>
    <x v="1"/>
  </r>
  <r>
    <x v="1055"/>
    <x v="8"/>
    <x v="0"/>
    <n v="36.6"/>
    <n v="36.6"/>
    <x v="41"/>
    <x v="45"/>
    <x v="1"/>
    <x v="2"/>
    <x v="2"/>
    <x v="21"/>
    <x v="1"/>
    <x v="6"/>
    <x v="1"/>
  </r>
  <r>
    <x v="1056"/>
    <x v="9"/>
    <x v="1"/>
    <n v="50.6"/>
    <n v="101.2"/>
    <x v="41"/>
    <x v="42"/>
    <x v="2"/>
    <x v="0"/>
    <x v="0"/>
    <x v="2"/>
    <x v="2"/>
    <x v="6"/>
    <x v="2"/>
  </r>
  <r>
    <x v="1057"/>
    <x v="18"/>
    <x v="3"/>
    <n v="56.7"/>
    <n v="396.9"/>
    <x v="41"/>
    <x v="42"/>
    <x v="2"/>
    <x v="0"/>
    <x v="0"/>
    <x v="2"/>
    <x v="2"/>
    <x v="6"/>
    <x v="2"/>
  </r>
  <r>
    <x v="1058"/>
    <x v="9"/>
    <x v="15"/>
    <n v="22.9"/>
    <n v="297.7"/>
    <x v="41"/>
    <x v="44"/>
    <x v="2"/>
    <x v="0"/>
    <x v="1"/>
    <x v="20"/>
    <x v="3"/>
    <x v="6"/>
    <x v="2"/>
  </r>
  <r>
    <x v="1059"/>
    <x v="15"/>
    <x v="10"/>
    <n v="53.6"/>
    <n v="1018.4"/>
    <x v="41"/>
    <x v="44"/>
    <x v="1"/>
    <x v="0"/>
    <x v="0"/>
    <x v="22"/>
    <x v="3"/>
    <x v="6"/>
    <x v="1"/>
  </r>
  <r>
    <x v="1060"/>
    <x v="18"/>
    <x v="1"/>
    <n v="30.2"/>
    <n v="60.4"/>
    <x v="41"/>
    <x v="45"/>
    <x v="0"/>
    <x v="2"/>
    <x v="2"/>
    <x v="3"/>
    <x v="1"/>
    <x v="6"/>
    <x v="0"/>
  </r>
  <r>
    <x v="1061"/>
    <x v="15"/>
    <x v="13"/>
    <n v="83.4"/>
    <n v="500.4"/>
    <x v="41"/>
    <x v="44"/>
    <x v="1"/>
    <x v="1"/>
    <x v="2"/>
    <x v="3"/>
    <x v="3"/>
    <x v="6"/>
    <x v="1"/>
  </r>
  <r>
    <x v="1062"/>
    <x v="13"/>
    <x v="4"/>
    <n v="16.600000000000001"/>
    <n v="199.2"/>
    <x v="41"/>
    <x v="45"/>
    <x v="1"/>
    <x v="1"/>
    <x v="0"/>
    <x v="3"/>
    <x v="1"/>
    <x v="6"/>
    <x v="1"/>
  </r>
  <r>
    <x v="1063"/>
    <x v="8"/>
    <x v="14"/>
    <n v="21.9"/>
    <n v="372.3"/>
    <x v="41"/>
    <x v="45"/>
    <x v="2"/>
    <x v="4"/>
    <x v="1"/>
    <x v="3"/>
    <x v="1"/>
    <x v="6"/>
    <x v="2"/>
  </r>
  <r>
    <x v="1064"/>
    <x v="8"/>
    <x v="31"/>
    <n v="33.799999999999997"/>
    <n v="946.39999999999986"/>
    <x v="41"/>
    <x v="45"/>
    <x v="1"/>
    <x v="2"/>
    <x v="4"/>
    <x v="3"/>
    <x v="1"/>
    <x v="6"/>
    <x v="1"/>
  </r>
  <r>
    <x v="1065"/>
    <x v="18"/>
    <x v="1"/>
    <n v="53.2"/>
    <n v="106.4"/>
    <x v="41"/>
    <x v="40"/>
    <x v="1"/>
    <x v="1"/>
    <x v="0"/>
    <x v="3"/>
    <x v="7"/>
    <x v="6"/>
    <x v="1"/>
  </r>
  <r>
    <x v="1066"/>
    <x v="2"/>
    <x v="1"/>
    <n v="176.7"/>
    <n v="353.4"/>
    <x v="41"/>
    <x v="42"/>
    <x v="2"/>
    <x v="2"/>
    <x v="0"/>
    <x v="3"/>
    <x v="2"/>
    <x v="6"/>
    <x v="2"/>
  </r>
  <r>
    <x v="1067"/>
    <x v="12"/>
    <x v="2"/>
    <n v="54"/>
    <n v="162"/>
    <x v="41"/>
    <x v="42"/>
    <x v="1"/>
    <x v="0"/>
    <x v="1"/>
    <x v="3"/>
    <x v="2"/>
    <x v="6"/>
    <x v="1"/>
  </r>
  <r>
    <x v="1068"/>
    <x v="9"/>
    <x v="1"/>
    <n v="70.099999999999994"/>
    <n v="140.19999999999999"/>
    <x v="41"/>
    <x v="46"/>
    <x v="2"/>
    <x v="3"/>
    <x v="2"/>
    <x v="3"/>
    <x v="9"/>
    <x v="6"/>
    <x v="2"/>
  </r>
  <r>
    <x v="1069"/>
    <x v="8"/>
    <x v="0"/>
    <n v="26.5"/>
    <n v="26.5"/>
    <x v="41"/>
    <x v="45"/>
    <x v="2"/>
    <x v="1"/>
    <x v="0"/>
    <x v="3"/>
    <x v="1"/>
    <x v="6"/>
    <x v="2"/>
  </r>
  <r>
    <x v="1070"/>
    <x v="7"/>
    <x v="9"/>
    <n v="89"/>
    <n v="445"/>
    <x v="41"/>
    <x v="45"/>
    <x v="1"/>
    <x v="2"/>
    <x v="4"/>
    <x v="3"/>
    <x v="1"/>
    <x v="6"/>
    <x v="1"/>
  </r>
  <r>
    <x v="1071"/>
    <x v="1"/>
    <x v="13"/>
    <n v="47"/>
    <n v="282"/>
    <x v="41"/>
    <x v="42"/>
    <x v="2"/>
    <x v="3"/>
    <x v="0"/>
    <x v="24"/>
    <x v="2"/>
    <x v="6"/>
    <x v="2"/>
  </r>
  <r>
    <x v="1072"/>
    <x v="3"/>
    <x v="1"/>
    <n v="55.2"/>
    <n v="110.4"/>
    <x v="41"/>
    <x v="42"/>
    <x v="1"/>
    <x v="1"/>
    <x v="1"/>
    <x v="6"/>
    <x v="2"/>
    <x v="6"/>
    <x v="1"/>
  </r>
  <r>
    <x v="1073"/>
    <x v="8"/>
    <x v="39"/>
    <n v="33.299999999999997"/>
    <n v="1398.6"/>
    <x v="41"/>
    <x v="51"/>
    <x v="1"/>
    <x v="1"/>
    <x v="2"/>
    <x v="6"/>
    <x v="12"/>
    <x v="6"/>
    <x v="1"/>
  </r>
  <r>
    <x v="1074"/>
    <x v="2"/>
    <x v="12"/>
    <n v="110.9"/>
    <n v="443.6"/>
    <x v="42"/>
    <x v="44"/>
    <x v="1"/>
    <x v="2"/>
    <x v="4"/>
    <x v="6"/>
    <x v="7"/>
    <x v="6"/>
    <x v="1"/>
  </r>
  <r>
    <x v="1075"/>
    <x v="2"/>
    <x v="13"/>
    <n v="67.3"/>
    <n v="403.8"/>
    <x v="42"/>
    <x v="45"/>
    <x v="1"/>
    <x v="0"/>
    <x v="0"/>
    <x v="8"/>
    <x v="3"/>
    <x v="6"/>
    <x v="1"/>
  </r>
  <r>
    <x v="1076"/>
    <x v="6"/>
    <x v="2"/>
    <n v="69.7"/>
    <n v="209.1"/>
    <x v="42"/>
    <x v="45"/>
    <x v="1"/>
    <x v="2"/>
    <x v="1"/>
    <x v="8"/>
    <x v="3"/>
    <x v="6"/>
    <x v="1"/>
  </r>
  <r>
    <x v="1077"/>
    <x v="5"/>
    <x v="0"/>
    <n v="39.1"/>
    <n v="39.1"/>
    <x v="42"/>
    <x v="43"/>
    <x v="1"/>
    <x v="0"/>
    <x v="1"/>
    <x v="17"/>
    <x v="0"/>
    <x v="6"/>
    <x v="1"/>
  </r>
  <r>
    <x v="1078"/>
    <x v="2"/>
    <x v="2"/>
    <n v="208.6"/>
    <n v="625.79999999999995"/>
    <x v="42"/>
    <x v="44"/>
    <x v="1"/>
    <x v="4"/>
    <x v="2"/>
    <x v="17"/>
    <x v="7"/>
    <x v="6"/>
    <x v="1"/>
  </r>
  <r>
    <x v="1079"/>
    <x v="15"/>
    <x v="2"/>
    <n v="27.8"/>
    <n v="83.4"/>
    <x v="42"/>
    <x v="45"/>
    <x v="1"/>
    <x v="3"/>
    <x v="1"/>
    <x v="11"/>
    <x v="3"/>
    <x v="6"/>
    <x v="1"/>
  </r>
  <r>
    <x v="1080"/>
    <x v="10"/>
    <x v="9"/>
    <n v="29.4"/>
    <n v="147"/>
    <x v="42"/>
    <x v="42"/>
    <x v="2"/>
    <x v="0"/>
    <x v="0"/>
    <x v="11"/>
    <x v="1"/>
    <x v="6"/>
    <x v="2"/>
  </r>
  <r>
    <x v="1081"/>
    <x v="9"/>
    <x v="1"/>
    <n v="29.2"/>
    <n v="58.4"/>
    <x v="42"/>
    <x v="42"/>
    <x v="2"/>
    <x v="1"/>
    <x v="2"/>
    <x v="20"/>
    <x v="1"/>
    <x v="6"/>
    <x v="2"/>
  </r>
  <r>
    <x v="1082"/>
    <x v="10"/>
    <x v="9"/>
    <n v="26.5"/>
    <n v="132.5"/>
    <x v="42"/>
    <x v="42"/>
    <x v="2"/>
    <x v="0"/>
    <x v="0"/>
    <x v="28"/>
    <x v="1"/>
    <x v="6"/>
    <x v="2"/>
  </r>
  <r>
    <x v="1083"/>
    <x v="5"/>
    <x v="0"/>
    <n v="30.3"/>
    <n v="30.3"/>
    <x v="42"/>
    <x v="45"/>
    <x v="2"/>
    <x v="4"/>
    <x v="1"/>
    <x v="13"/>
    <x v="3"/>
    <x v="6"/>
    <x v="2"/>
  </r>
  <r>
    <x v="1084"/>
    <x v="16"/>
    <x v="4"/>
    <n v="39.700000000000003"/>
    <n v="476.4"/>
    <x v="42"/>
    <x v="45"/>
    <x v="2"/>
    <x v="0"/>
    <x v="0"/>
    <x v="21"/>
    <x v="3"/>
    <x v="6"/>
    <x v="2"/>
  </r>
  <r>
    <x v="1085"/>
    <x v="7"/>
    <x v="7"/>
    <n v="58.9"/>
    <n v="589"/>
    <x v="42"/>
    <x v="42"/>
    <x v="2"/>
    <x v="1"/>
    <x v="4"/>
    <x v="21"/>
    <x v="1"/>
    <x v="6"/>
    <x v="2"/>
  </r>
  <r>
    <x v="1086"/>
    <x v="2"/>
    <x v="1"/>
    <n v="174.1"/>
    <n v="348.2"/>
    <x v="42"/>
    <x v="42"/>
    <x v="2"/>
    <x v="0"/>
    <x v="1"/>
    <x v="22"/>
    <x v="1"/>
    <x v="6"/>
    <x v="2"/>
  </r>
  <r>
    <x v="1087"/>
    <x v="6"/>
    <x v="1"/>
    <n v="70.8"/>
    <n v="141.6"/>
    <x v="42"/>
    <x v="48"/>
    <x v="1"/>
    <x v="2"/>
    <x v="0"/>
    <x v="22"/>
    <x v="2"/>
    <x v="6"/>
    <x v="1"/>
  </r>
  <r>
    <x v="1088"/>
    <x v="7"/>
    <x v="1"/>
    <n v="57.4"/>
    <n v="114.8"/>
    <x v="42"/>
    <x v="42"/>
    <x v="2"/>
    <x v="1"/>
    <x v="1"/>
    <x v="0"/>
    <x v="1"/>
    <x v="6"/>
    <x v="2"/>
  </r>
  <r>
    <x v="1089"/>
    <x v="0"/>
    <x v="1"/>
    <n v="28.5"/>
    <n v="57"/>
    <x v="42"/>
    <x v="42"/>
    <x v="1"/>
    <x v="3"/>
    <x v="1"/>
    <x v="3"/>
    <x v="1"/>
    <x v="6"/>
    <x v="1"/>
  </r>
  <r>
    <x v="1090"/>
    <x v="2"/>
    <x v="28"/>
    <n v="106.6"/>
    <n v="2132"/>
    <x v="42"/>
    <x v="45"/>
    <x v="0"/>
    <x v="1"/>
    <x v="4"/>
    <x v="3"/>
    <x v="3"/>
    <x v="6"/>
    <x v="0"/>
  </r>
  <r>
    <x v="1091"/>
    <x v="2"/>
    <x v="2"/>
    <n v="119.7"/>
    <n v="359.1"/>
    <x v="42"/>
    <x v="45"/>
    <x v="2"/>
    <x v="1"/>
    <x v="4"/>
    <x v="3"/>
    <x v="3"/>
    <x v="6"/>
    <x v="2"/>
  </r>
  <r>
    <x v="1092"/>
    <x v="18"/>
    <x v="0"/>
    <n v="73.3"/>
    <n v="73.3"/>
    <x v="42"/>
    <x v="43"/>
    <x v="2"/>
    <x v="0"/>
    <x v="2"/>
    <x v="3"/>
    <x v="0"/>
    <x v="6"/>
    <x v="2"/>
  </r>
  <r>
    <x v="1093"/>
    <x v="0"/>
    <x v="1"/>
    <n v="25.8"/>
    <n v="51.6"/>
    <x v="42"/>
    <x v="52"/>
    <x v="1"/>
    <x v="2"/>
    <x v="0"/>
    <x v="3"/>
    <x v="12"/>
    <x v="6"/>
    <x v="1"/>
  </r>
  <r>
    <x v="1094"/>
    <x v="17"/>
    <x v="2"/>
    <n v="49.1"/>
    <n v="147.30000000000001"/>
    <x v="42"/>
    <x v="42"/>
    <x v="2"/>
    <x v="0"/>
    <x v="0"/>
    <x v="24"/>
    <x v="1"/>
    <x v="6"/>
    <x v="2"/>
  </r>
  <r>
    <x v="1095"/>
    <x v="1"/>
    <x v="0"/>
    <n v="44.9"/>
    <n v="44.9"/>
    <x v="42"/>
    <x v="48"/>
    <x v="2"/>
    <x v="3"/>
    <x v="2"/>
    <x v="6"/>
    <x v="2"/>
    <x v="6"/>
    <x v="2"/>
  </r>
  <r>
    <x v="1096"/>
    <x v="15"/>
    <x v="3"/>
    <n v="29.9"/>
    <n v="209.3"/>
    <x v="42"/>
    <x v="45"/>
    <x v="2"/>
    <x v="0"/>
    <x v="0"/>
    <x v="6"/>
    <x v="3"/>
    <x v="6"/>
    <x v="2"/>
  </r>
  <r>
    <x v="1097"/>
    <x v="7"/>
    <x v="1"/>
    <n v="54.3"/>
    <n v="108.6"/>
    <x v="43"/>
    <x v="42"/>
    <x v="1"/>
    <x v="3"/>
    <x v="0"/>
    <x v="5"/>
    <x v="3"/>
    <x v="6"/>
    <x v="1"/>
  </r>
  <r>
    <x v="1098"/>
    <x v="9"/>
    <x v="12"/>
    <n v="57"/>
    <n v="228"/>
    <x v="43"/>
    <x v="48"/>
    <x v="2"/>
    <x v="0"/>
    <x v="0"/>
    <x v="8"/>
    <x v="1"/>
    <x v="6"/>
    <x v="2"/>
  </r>
  <r>
    <x v="1099"/>
    <x v="2"/>
    <x v="0"/>
    <n v="139.19999999999999"/>
    <n v="139.19999999999999"/>
    <x v="43"/>
    <x v="42"/>
    <x v="2"/>
    <x v="3"/>
    <x v="2"/>
    <x v="8"/>
    <x v="3"/>
    <x v="6"/>
    <x v="2"/>
  </r>
  <r>
    <x v="1100"/>
    <x v="10"/>
    <x v="0"/>
    <n v="33"/>
    <n v="33"/>
    <x v="43"/>
    <x v="41"/>
    <x v="2"/>
    <x v="0"/>
    <x v="2"/>
    <x v="8"/>
    <x v="2"/>
    <x v="6"/>
    <x v="2"/>
  </r>
  <r>
    <x v="1101"/>
    <x v="11"/>
    <x v="13"/>
    <n v="80.2"/>
    <n v="481.2"/>
    <x v="43"/>
    <x v="48"/>
    <x v="1"/>
    <x v="1"/>
    <x v="4"/>
    <x v="8"/>
    <x v="1"/>
    <x v="6"/>
    <x v="1"/>
  </r>
  <r>
    <x v="1102"/>
    <x v="18"/>
    <x v="8"/>
    <n v="49"/>
    <n v="392"/>
    <x v="43"/>
    <x v="42"/>
    <x v="0"/>
    <x v="2"/>
    <x v="1"/>
    <x v="9"/>
    <x v="3"/>
    <x v="6"/>
    <x v="0"/>
  </r>
  <r>
    <x v="1103"/>
    <x v="1"/>
    <x v="12"/>
    <n v="104.4"/>
    <n v="417.6"/>
    <x v="43"/>
    <x v="45"/>
    <x v="2"/>
    <x v="0"/>
    <x v="0"/>
    <x v="9"/>
    <x v="7"/>
    <x v="6"/>
    <x v="2"/>
  </r>
  <r>
    <x v="1104"/>
    <x v="3"/>
    <x v="0"/>
    <n v="41.6"/>
    <n v="41.6"/>
    <x v="43"/>
    <x v="41"/>
    <x v="1"/>
    <x v="3"/>
    <x v="0"/>
    <x v="11"/>
    <x v="2"/>
    <x v="6"/>
    <x v="1"/>
  </r>
  <r>
    <x v="1105"/>
    <x v="19"/>
    <x v="1"/>
    <n v="16.399999999999999"/>
    <n v="32.799999999999997"/>
    <x v="43"/>
    <x v="42"/>
    <x v="3"/>
    <x v="0"/>
    <x v="2"/>
    <x v="11"/>
    <x v="3"/>
    <x v="6"/>
    <x v="3"/>
  </r>
  <r>
    <x v="1106"/>
    <x v="8"/>
    <x v="1"/>
    <n v="22"/>
    <n v="44"/>
    <x v="43"/>
    <x v="42"/>
    <x v="1"/>
    <x v="2"/>
    <x v="2"/>
    <x v="29"/>
    <x v="3"/>
    <x v="6"/>
    <x v="1"/>
  </r>
  <r>
    <x v="1107"/>
    <x v="15"/>
    <x v="1"/>
    <n v="33.6"/>
    <n v="67.2"/>
    <x v="43"/>
    <x v="50"/>
    <x v="2"/>
    <x v="0"/>
    <x v="0"/>
    <x v="21"/>
    <x v="0"/>
    <x v="6"/>
    <x v="2"/>
  </r>
  <r>
    <x v="1108"/>
    <x v="11"/>
    <x v="13"/>
    <n v="43"/>
    <n v="258"/>
    <x v="43"/>
    <x v="42"/>
    <x v="2"/>
    <x v="2"/>
    <x v="0"/>
    <x v="21"/>
    <x v="3"/>
    <x v="6"/>
    <x v="2"/>
  </r>
  <r>
    <x v="1109"/>
    <x v="6"/>
    <x v="9"/>
    <n v="108.8"/>
    <n v="544"/>
    <x v="43"/>
    <x v="41"/>
    <x v="2"/>
    <x v="4"/>
    <x v="2"/>
    <x v="21"/>
    <x v="2"/>
    <x v="6"/>
    <x v="2"/>
  </r>
  <r>
    <x v="1110"/>
    <x v="0"/>
    <x v="11"/>
    <n v="29.3"/>
    <n v="263.7"/>
    <x v="43"/>
    <x v="48"/>
    <x v="1"/>
    <x v="4"/>
    <x v="2"/>
    <x v="21"/>
    <x v="1"/>
    <x v="6"/>
    <x v="1"/>
  </r>
  <r>
    <x v="1111"/>
    <x v="2"/>
    <x v="0"/>
    <n v="122.7"/>
    <n v="122.7"/>
    <x v="43"/>
    <x v="41"/>
    <x v="3"/>
    <x v="0"/>
    <x v="2"/>
    <x v="1"/>
    <x v="2"/>
    <x v="6"/>
    <x v="3"/>
  </r>
  <r>
    <x v="1112"/>
    <x v="4"/>
    <x v="3"/>
    <n v="22.9"/>
    <n v="160.30000000000001"/>
    <x v="43"/>
    <x v="42"/>
    <x v="2"/>
    <x v="0"/>
    <x v="0"/>
    <x v="18"/>
    <x v="3"/>
    <x v="6"/>
    <x v="2"/>
  </r>
  <r>
    <x v="1113"/>
    <x v="8"/>
    <x v="7"/>
    <n v="25.5"/>
    <n v="255"/>
    <x v="43"/>
    <x v="49"/>
    <x v="2"/>
    <x v="0"/>
    <x v="0"/>
    <x v="33"/>
    <x v="6"/>
    <x v="6"/>
    <x v="2"/>
  </r>
  <r>
    <x v="1114"/>
    <x v="17"/>
    <x v="2"/>
    <n v="23.4"/>
    <n v="70.199999999999989"/>
    <x v="43"/>
    <x v="43"/>
    <x v="2"/>
    <x v="0"/>
    <x v="2"/>
    <x v="3"/>
    <x v="5"/>
    <x v="6"/>
    <x v="2"/>
  </r>
  <r>
    <x v="1115"/>
    <x v="5"/>
    <x v="8"/>
    <n v="27.4"/>
    <n v="219.2"/>
    <x v="43"/>
    <x v="41"/>
    <x v="2"/>
    <x v="2"/>
    <x v="0"/>
    <x v="3"/>
    <x v="2"/>
    <x v="6"/>
    <x v="2"/>
  </r>
  <r>
    <x v="1116"/>
    <x v="5"/>
    <x v="9"/>
    <n v="68.400000000000006"/>
    <n v="342"/>
    <x v="43"/>
    <x v="42"/>
    <x v="2"/>
    <x v="0"/>
    <x v="0"/>
    <x v="3"/>
    <x v="3"/>
    <x v="6"/>
    <x v="2"/>
  </r>
  <r>
    <x v="1117"/>
    <x v="6"/>
    <x v="0"/>
    <n v="51.9"/>
    <n v="51.9"/>
    <x v="43"/>
    <x v="45"/>
    <x v="2"/>
    <x v="0"/>
    <x v="0"/>
    <x v="3"/>
    <x v="7"/>
    <x v="6"/>
    <x v="2"/>
  </r>
  <r>
    <x v="1118"/>
    <x v="0"/>
    <x v="9"/>
    <n v="26.4"/>
    <n v="132"/>
    <x v="43"/>
    <x v="41"/>
    <x v="2"/>
    <x v="0"/>
    <x v="2"/>
    <x v="3"/>
    <x v="2"/>
    <x v="6"/>
    <x v="2"/>
  </r>
  <r>
    <x v="1119"/>
    <x v="12"/>
    <x v="1"/>
    <n v="117"/>
    <n v="234"/>
    <x v="43"/>
    <x v="42"/>
    <x v="2"/>
    <x v="1"/>
    <x v="1"/>
    <x v="3"/>
    <x v="3"/>
    <x v="6"/>
    <x v="2"/>
  </r>
  <r>
    <x v="1120"/>
    <x v="7"/>
    <x v="2"/>
    <n v="49.6"/>
    <n v="148.80000000000001"/>
    <x v="44"/>
    <x v="41"/>
    <x v="2"/>
    <x v="0"/>
    <x v="0"/>
    <x v="3"/>
    <x v="1"/>
    <x v="6"/>
    <x v="2"/>
  </r>
  <r>
    <x v="1121"/>
    <x v="4"/>
    <x v="2"/>
    <n v="38"/>
    <n v="114"/>
    <x v="44"/>
    <x v="43"/>
    <x v="1"/>
    <x v="2"/>
    <x v="4"/>
    <x v="3"/>
    <x v="2"/>
    <x v="6"/>
    <x v="1"/>
  </r>
  <r>
    <x v="1122"/>
    <x v="0"/>
    <x v="2"/>
    <n v="20.6"/>
    <n v="61.8"/>
    <x v="44"/>
    <x v="41"/>
    <x v="2"/>
    <x v="4"/>
    <x v="2"/>
    <x v="3"/>
    <x v="1"/>
    <x v="6"/>
    <x v="2"/>
  </r>
  <r>
    <x v="1123"/>
    <x v="0"/>
    <x v="1"/>
    <n v="16"/>
    <n v="32"/>
    <x v="44"/>
    <x v="48"/>
    <x v="1"/>
    <x v="1"/>
    <x v="1"/>
    <x v="25"/>
    <x v="3"/>
    <x v="6"/>
    <x v="1"/>
  </r>
  <r>
    <x v="1124"/>
    <x v="15"/>
    <x v="12"/>
    <n v="49.3"/>
    <n v="197.2"/>
    <x v="44"/>
    <x v="48"/>
    <x v="2"/>
    <x v="2"/>
    <x v="0"/>
    <x v="23"/>
    <x v="3"/>
    <x v="6"/>
    <x v="2"/>
  </r>
  <r>
    <x v="1125"/>
    <x v="9"/>
    <x v="1"/>
    <n v="24.1"/>
    <n v="48.2"/>
    <x v="44"/>
    <x v="50"/>
    <x v="2"/>
    <x v="0"/>
    <x v="0"/>
    <x v="6"/>
    <x v="5"/>
    <x v="6"/>
    <x v="2"/>
  </r>
  <r>
    <x v="1126"/>
    <x v="15"/>
    <x v="8"/>
    <n v="32.700000000000003"/>
    <n v="261.60000000000002"/>
    <x v="44"/>
    <x v="48"/>
    <x v="2"/>
    <x v="1"/>
    <x v="0"/>
    <x v="6"/>
    <x v="3"/>
    <x v="6"/>
    <x v="2"/>
  </r>
  <r>
    <x v="1127"/>
    <x v="6"/>
    <x v="2"/>
    <n v="74.400000000000006"/>
    <n v="223.2"/>
    <x v="44"/>
    <x v="48"/>
    <x v="2"/>
    <x v="3"/>
    <x v="2"/>
    <x v="8"/>
    <x v="3"/>
    <x v="6"/>
    <x v="2"/>
  </r>
  <r>
    <x v="1128"/>
    <x v="12"/>
    <x v="0"/>
    <n v="45.6"/>
    <n v="45.6"/>
    <x v="44"/>
    <x v="50"/>
    <x v="2"/>
    <x v="4"/>
    <x v="0"/>
    <x v="8"/>
    <x v="5"/>
    <x v="6"/>
    <x v="2"/>
  </r>
  <r>
    <x v="1129"/>
    <x v="8"/>
    <x v="8"/>
    <n v="19.600000000000001"/>
    <n v="156.80000000000001"/>
    <x v="44"/>
    <x v="53"/>
    <x v="2"/>
    <x v="0"/>
    <x v="0"/>
    <x v="8"/>
    <x v="10"/>
    <x v="6"/>
    <x v="2"/>
  </r>
  <r>
    <x v="1130"/>
    <x v="9"/>
    <x v="0"/>
    <n v="51.8"/>
    <n v="51.8"/>
    <x v="44"/>
    <x v="48"/>
    <x v="2"/>
    <x v="1"/>
    <x v="0"/>
    <x v="8"/>
    <x v="3"/>
    <x v="6"/>
    <x v="2"/>
  </r>
  <r>
    <x v="1131"/>
    <x v="6"/>
    <x v="0"/>
    <n v="74.7"/>
    <n v="74.7"/>
    <x v="44"/>
    <x v="48"/>
    <x v="1"/>
    <x v="0"/>
    <x v="1"/>
    <x v="8"/>
    <x v="3"/>
    <x v="6"/>
    <x v="1"/>
  </r>
  <r>
    <x v="1132"/>
    <x v="19"/>
    <x v="2"/>
    <n v="22.4"/>
    <n v="67.199999999999989"/>
    <x v="44"/>
    <x v="48"/>
    <x v="2"/>
    <x v="1"/>
    <x v="2"/>
    <x v="9"/>
    <x v="3"/>
    <x v="6"/>
    <x v="2"/>
  </r>
  <r>
    <x v="1133"/>
    <x v="1"/>
    <x v="12"/>
    <n v="31.4"/>
    <n v="125.6"/>
    <x v="44"/>
    <x v="48"/>
    <x v="2"/>
    <x v="1"/>
    <x v="0"/>
    <x v="9"/>
    <x v="3"/>
    <x v="6"/>
    <x v="2"/>
  </r>
  <r>
    <x v="1134"/>
    <x v="6"/>
    <x v="0"/>
    <n v="94"/>
    <n v="94"/>
    <x v="44"/>
    <x v="42"/>
    <x v="2"/>
    <x v="1"/>
    <x v="2"/>
    <x v="10"/>
    <x v="7"/>
    <x v="6"/>
    <x v="2"/>
  </r>
  <r>
    <x v="1135"/>
    <x v="10"/>
    <x v="0"/>
    <n v="22.3"/>
    <n v="22.3"/>
    <x v="44"/>
    <x v="48"/>
    <x v="1"/>
    <x v="4"/>
    <x v="0"/>
    <x v="20"/>
    <x v="3"/>
    <x v="6"/>
    <x v="1"/>
  </r>
  <r>
    <x v="1136"/>
    <x v="0"/>
    <x v="0"/>
    <n v="21.9"/>
    <n v="21.9"/>
    <x v="44"/>
    <x v="43"/>
    <x v="2"/>
    <x v="2"/>
    <x v="0"/>
    <x v="21"/>
    <x v="2"/>
    <x v="6"/>
    <x v="2"/>
  </r>
  <r>
    <x v="1137"/>
    <x v="17"/>
    <x v="2"/>
    <n v="27"/>
    <n v="81"/>
    <x v="44"/>
    <x v="41"/>
    <x v="2"/>
    <x v="4"/>
    <x v="2"/>
    <x v="2"/>
    <x v="1"/>
    <x v="6"/>
    <x v="2"/>
  </r>
  <r>
    <x v="1138"/>
    <x v="2"/>
    <x v="12"/>
    <n v="149.6"/>
    <n v="598.4"/>
    <x v="44"/>
    <x v="42"/>
    <x v="2"/>
    <x v="4"/>
    <x v="0"/>
    <x v="22"/>
    <x v="7"/>
    <x v="6"/>
    <x v="2"/>
  </r>
  <r>
    <x v="1139"/>
    <x v="2"/>
    <x v="12"/>
    <n v="129.1"/>
    <n v="516.4"/>
    <x v="44"/>
    <x v="54"/>
    <x v="1"/>
    <x v="0"/>
    <x v="1"/>
    <x v="3"/>
    <x v="14"/>
    <x v="6"/>
    <x v="1"/>
  </r>
  <r>
    <x v="1140"/>
    <x v="1"/>
    <x v="4"/>
    <n v="40.4"/>
    <n v="484.8"/>
    <x v="44"/>
    <x v="48"/>
    <x v="1"/>
    <x v="1"/>
    <x v="1"/>
    <x v="3"/>
    <x v="3"/>
    <x v="6"/>
    <x v="1"/>
  </r>
  <r>
    <x v="1141"/>
    <x v="4"/>
    <x v="2"/>
    <n v="48.5"/>
    <n v="145.5"/>
    <x v="44"/>
    <x v="41"/>
    <x v="2"/>
    <x v="0"/>
    <x v="4"/>
    <x v="3"/>
    <x v="1"/>
    <x v="6"/>
    <x v="2"/>
  </r>
  <r>
    <x v="1142"/>
    <x v="9"/>
    <x v="1"/>
    <n v="37.6"/>
    <n v="75.2"/>
    <x v="44"/>
    <x v="41"/>
    <x v="2"/>
    <x v="1"/>
    <x v="2"/>
    <x v="3"/>
    <x v="1"/>
    <x v="6"/>
    <x v="2"/>
  </r>
  <r>
    <x v="1143"/>
    <x v="8"/>
    <x v="1"/>
    <n v="19.600000000000001"/>
    <n v="39.200000000000003"/>
    <x v="44"/>
    <x v="48"/>
    <x v="1"/>
    <x v="3"/>
    <x v="4"/>
    <x v="19"/>
    <x v="3"/>
    <x v="6"/>
    <x v="1"/>
  </r>
  <r>
    <x v="1144"/>
    <x v="8"/>
    <x v="9"/>
    <n v="18.5"/>
    <n v="92.5"/>
    <x v="44"/>
    <x v="48"/>
    <x v="2"/>
    <x v="2"/>
    <x v="1"/>
    <x v="6"/>
    <x v="3"/>
    <x v="6"/>
    <x v="2"/>
  </r>
  <r>
    <x v="1145"/>
    <x v="5"/>
    <x v="2"/>
    <n v="25.5"/>
    <n v="76.5"/>
    <x v="44"/>
    <x v="41"/>
    <x v="2"/>
    <x v="4"/>
    <x v="1"/>
    <x v="6"/>
    <x v="1"/>
    <x v="6"/>
    <x v="2"/>
  </r>
  <r>
    <x v="1146"/>
    <x v="2"/>
    <x v="1"/>
    <n v="94.7"/>
    <n v="189.4"/>
    <x v="44"/>
    <x v="48"/>
    <x v="2"/>
    <x v="2"/>
    <x v="0"/>
    <x v="5"/>
    <x v="3"/>
    <x v="6"/>
    <x v="2"/>
  </r>
  <r>
    <x v="1147"/>
    <x v="1"/>
    <x v="13"/>
    <n v="38.799999999999997"/>
    <n v="232.8"/>
    <x v="44"/>
    <x v="46"/>
    <x v="2"/>
    <x v="2"/>
    <x v="2"/>
    <x v="8"/>
    <x v="0"/>
    <x v="6"/>
    <x v="2"/>
  </r>
  <r>
    <x v="1148"/>
    <x v="9"/>
    <x v="1"/>
    <n v="49.4"/>
    <n v="98.8"/>
    <x v="45"/>
    <x v="55"/>
    <x v="1"/>
    <x v="4"/>
    <x v="1"/>
    <x v="8"/>
    <x v="9"/>
    <x v="6"/>
    <x v="1"/>
  </r>
  <r>
    <x v="1149"/>
    <x v="7"/>
    <x v="2"/>
    <n v="68"/>
    <n v="204"/>
    <x v="45"/>
    <x v="50"/>
    <x v="1"/>
    <x v="0"/>
    <x v="2"/>
    <x v="8"/>
    <x v="2"/>
    <x v="6"/>
    <x v="1"/>
  </r>
  <r>
    <x v="1150"/>
    <x v="15"/>
    <x v="3"/>
    <n v="63.7"/>
    <n v="445.9"/>
    <x v="45"/>
    <x v="41"/>
    <x v="2"/>
    <x v="2"/>
    <x v="2"/>
    <x v="8"/>
    <x v="3"/>
    <x v="6"/>
    <x v="2"/>
  </r>
  <r>
    <x v="1151"/>
    <x v="10"/>
    <x v="1"/>
    <n v="66.2"/>
    <n v="132.4"/>
    <x v="45"/>
    <x v="41"/>
    <x v="2"/>
    <x v="4"/>
    <x v="2"/>
    <x v="17"/>
    <x v="3"/>
    <x v="6"/>
    <x v="2"/>
  </r>
  <r>
    <x v="1152"/>
    <x v="12"/>
    <x v="2"/>
    <n v="32.299999999999997"/>
    <n v="96.899999999999991"/>
    <x v="45"/>
    <x v="41"/>
    <x v="3"/>
    <x v="2"/>
    <x v="1"/>
    <x v="9"/>
    <x v="3"/>
    <x v="6"/>
    <x v="3"/>
  </r>
  <r>
    <x v="1153"/>
    <x v="4"/>
    <x v="1"/>
    <n v="66.900000000000006"/>
    <n v="133.80000000000001"/>
    <x v="45"/>
    <x v="50"/>
    <x v="1"/>
    <x v="1"/>
    <x v="0"/>
    <x v="11"/>
    <x v="2"/>
    <x v="6"/>
    <x v="1"/>
  </r>
  <r>
    <x v="1154"/>
    <x v="4"/>
    <x v="4"/>
    <n v="25.2"/>
    <n v="302.39999999999998"/>
    <x v="45"/>
    <x v="46"/>
    <x v="2"/>
    <x v="0"/>
    <x v="1"/>
    <x v="11"/>
    <x v="5"/>
    <x v="6"/>
    <x v="2"/>
  </r>
  <r>
    <x v="1155"/>
    <x v="10"/>
    <x v="13"/>
    <n v="29.5"/>
    <n v="177"/>
    <x v="45"/>
    <x v="41"/>
    <x v="1"/>
    <x v="2"/>
    <x v="0"/>
    <x v="11"/>
    <x v="3"/>
    <x v="6"/>
    <x v="1"/>
  </r>
  <r>
    <x v="1156"/>
    <x v="8"/>
    <x v="9"/>
    <n v="21.6"/>
    <n v="108"/>
    <x v="45"/>
    <x v="43"/>
    <x v="2"/>
    <x v="0"/>
    <x v="2"/>
    <x v="32"/>
    <x v="1"/>
    <x v="6"/>
    <x v="2"/>
  </r>
  <r>
    <x v="1157"/>
    <x v="12"/>
    <x v="2"/>
    <n v="69"/>
    <n v="207"/>
    <x v="45"/>
    <x v="41"/>
    <x v="2"/>
    <x v="0"/>
    <x v="0"/>
    <x v="18"/>
    <x v="3"/>
    <x v="6"/>
    <x v="2"/>
  </r>
  <r>
    <x v="1158"/>
    <x v="7"/>
    <x v="1"/>
    <n v="115"/>
    <n v="230"/>
    <x v="45"/>
    <x v="46"/>
    <x v="1"/>
    <x v="0"/>
    <x v="2"/>
    <x v="18"/>
    <x v="5"/>
    <x v="6"/>
    <x v="1"/>
  </r>
  <r>
    <x v="1159"/>
    <x v="2"/>
    <x v="1"/>
    <n v="109.3"/>
    <n v="218.6"/>
    <x v="45"/>
    <x v="43"/>
    <x v="0"/>
    <x v="3"/>
    <x v="1"/>
    <x v="19"/>
    <x v="1"/>
    <x v="6"/>
    <x v="0"/>
  </r>
  <r>
    <x v="1160"/>
    <x v="9"/>
    <x v="1"/>
    <n v="66.599999999999994"/>
    <n v="133.19999999999999"/>
    <x v="45"/>
    <x v="50"/>
    <x v="0"/>
    <x v="4"/>
    <x v="1"/>
    <x v="19"/>
    <x v="2"/>
    <x v="6"/>
    <x v="0"/>
  </r>
  <r>
    <x v="1161"/>
    <x v="12"/>
    <x v="9"/>
    <n v="47.7"/>
    <n v="238.5"/>
    <x v="45"/>
    <x v="41"/>
    <x v="1"/>
    <x v="3"/>
    <x v="2"/>
    <x v="21"/>
    <x v="3"/>
    <x v="6"/>
    <x v="1"/>
  </r>
  <r>
    <x v="1162"/>
    <x v="8"/>
    <x v="1"/>
    <n v="46"/>
    <n v="92"/>
    <x v="45"/>
    <x v="41"/>
    <x v="2"/>
    <x v="4"/>
    <x v="4"/>
    <x v="22"/>
    <x v="3"/>
    <x v="6"/>
    <x v="2"/>
  </r>
  <r>
    <x v="1163"/>
    <x v="1"/>
    <x v="13"/>
    <n v="39.299999999999997"/>
    <n v="235.8"/>
    <x v="45"/>
    <x v="43"/>
    <x v="1"/>
    <x v="3"/>
    <x v="2"/>
    <x v="3"/>
    <x v="1"/>
    <x v="6"/>
    <x v="1"/>
  </r>
  <r>
    <x v="1164"/>
    <x v="9"/>
    <x v="0"/>
    <n v="70.2"/>
    <n v="70.2"/>
    <x v="45"/>
    <x v="41"/>
    <x v="2"/>
    <x v="0"/>
    <x v="4"/>
    <x v="3"/>
    <x v="3"/>
    <x v="6"/>
    <x v="2"/>
  </r>
  <r>
    <x v="1165"/>
    <x v="3"/>
    <x v="12"/>
    <n v="71.5"/>
    <n v="286"/>
    <x v="45"/>
    <x v="48"/>
    <x v="2"/>
    <x v="1"/>
    <x v="2"/>
    <x v="3"/>
    <x v="7"/>
    <x v="6"/>
    <x v="2"/>
  </r>
  <r>
    <x v="1166"/>
    <x v="10"/>
    <x v="3"/>
    <n v="31"/>
    <n v="217"/>
    <x v="45"/>
    <x v="56"/>
    <x v="2"/>
    <x v="3"/>
    <x v="2"/>
    <x v="3"/>
    <x v="6"/>
    <x v="6"/>
    <x v="2"/>
  </r>
  <r>
    <x v="1167"/>
    <x v="2"/>
    <x v="9"/>
    <n v="68.2"/>
    <n v="341"/>
    <x v="45"/>
    <x v="49"/>
    <x v="2"/>
    <x v="0"/>
    <x v="2"/>
    <x v="3"/>
    <x v="0"/>
    <x v="6"/>
    <x v="2"/>
  </r>
  <r>
    <x v="1168"/>
    <x v="2"/>
    <x v="0"/>
    <n v="91.4"/>
    <n v="91.4"/>
    <x v="45"/>
    <x v="46"/>
    <x v="2"/>
    <x v="1"/>
    <x v="2"/>
    <x v="6"/>
    <x v="5"/>
    <x v="6"/>
    <x v="2"/>
  </r>
  <r>
    <x v="1169"/>
    <x v="6"/>
    <x v="7"/>
    <n v="112.9"/>
    <n v="1129"/>
    <x v="45"/>
    <x v="41"/>
    <x v="2"/>
    <x v="0"/>
    <x v="0"/>
    <x v="6"/>
    <x v="3"/>
    <x v="6"/>
    <x v="2"/>
  </r>
  <r>
    <x v="1170"/>
    <x v="17"/>
    <x v="11"/>
    <n v="33.700000000000003"/>
    <n v="303.3"/>
    <x v="45"/>
    <x v="41"/>
    <x v="2"/>
    <x v="1"/>
    <x v="2"/>
    <x v="8"/>
    <x v="3"/>
    <x v="6"/>
    <x v="2"/>
  </r>
  <r>
    <x v="1171"/>
    <x v="15"/>
    <x v="7"/>
    <n v="35.299999999999997"/>
    <n v="353"/>
    <x v="45"/>
    <x v="43"/>
    <x v="1"/>
    <x v="2"/>
    <x v="0"/>
    <x v="8"/>
    <x v="1"/>
    <x v="6"/>
    <x v="1"/>
  </r>
  <r>
    <x v="1172"/>
    <x v="18"/>
    <x v="2"/>
    <n v="45.6"/>
    <n v="136.80000000000001"/>
    <x v="45"/>
    <x v="46"/>
    <x v="1"/>
    <x v="3"/>
    <x v="0"/>
    <x v="8"/>
    <x v="5"/>
    <x v="6"/>
    <x v="1"/>
  </r>
  <r>
    <x v="1173"/>
    <x v="7"/>
    <x v="3"/>
    <n v="47.1"/>
    <n v="329.7"/>
    <x v="45"/>
    <x v="41"/>
    <x v="2"/>
    <x v="4"/>
    <x v="2"/>
    <x v="9"/>
    <x v="3"/>
    <x v="6"/>
    <x v="2"/>
  </r>
  <r>
    <x v="1174"/>
    <x v="8"/>
    <x v="9"/>
    <n v="16.2"/>
    <n v="81"/>
    <x v="45"/>
    <x v="43"/>
    <x v="2"/>
    <x v="3"/>
    <x v="2"/>
    <x v="19"/>
    <x v="1"/>
    <x v="6"/>
    <x v="2"/>
  </r>
  <r>
    <x v="1175"/>
    <x v="1"/>
    <x v="1"/>
    <n v="159.69999999999999"/>
    <n v="319.39999999999998"/>
    <x v="46"/>
    <x v="43"/>
    <x v="1"/>
    <x v="4"/>
    <x v="0"/>
    <x v="13"/>
    <x v="3"/>
    <x v="7"/>
    <x v="1"/>
  </r>
  <r>
    <x v="1176"/>
    <x v="8"/>
    <x v="12"/>
    <n v="19"/>
    <n v="76"/>
    <x v="46"/>
    <x v="55"/>
    <x v="2"/>
    <x v="2"/>
    <x v="2"/>
    <x v="21"/>
    <x v="6"/>
    <x v="7"/>
    <x v="2"/>
  </r>
  <r>
    <x v="1177"/>
    <x v="6"/>
    <x v="13"/>
    <n v="91.1"/>
    <n v="546.59999999999991"/>
    <x v="46"/>
    <x v="51"/>
    <x v="2"/>
    <x v="4"/>
    <x v="0"/>
    <x v="21"/>
    <x v="8"/>
    <x v="7"/>
    <x v="2"/>
  </r>
  <r>
    <x v="1178"/>
    <x v="2"/>
    <x v="9"/>
    <n v="94.1"/>
    <n v="470.5"/>
    <x v="46"/>
    <x v="46"/>
    <x v="0"/>
    <x v="1"/>
    <x v="1"/>
    <x v="21"/>
    <x v="2"/>
    <x v="7"/>
    <x v="0"/>
  </r>
  <r>
    <x v="1179"/>
    <x v="9"/>
    <x v="11"/>
    <n v="21.1"/>
    <n v="189.9"/>
    <x v="46"/>
    <x v="43"/>
    <x v="2"/>
    <x v="4"/>
    <x v="2"/>
    <x v="27"/>
    <x v="3"/>
    <x v="7"/>
    <x v="2"/>
  </r>
  <r>
    <x v="1180"/>
    <x v="8"/>
    <x v="3"/>
    <n v="15.3"/>
    <n v="107.1"/>
    <x v="46"/>
    <x v="54"/>
    <x v="2"/>
    <x v="2"/>
    <x v="0"/>
    <x v="1"/>
    <x v="9"/>
    <x v="7"/>
    <x v="2"/>
  </r>
  <r>
    <x v="1181"/>
    <x v="15"/>
    <x v="12"/>
    <n v="21.3"/>
    <n v="85.2"/>
    <x v="46"/>
    <x v="46"/>
    <x v="1"/>
    <x v="1"/>
    <x v="0"/>
    <x v="3"/>
    <x v="2"/>
    <x v="7"/>
    <x v="1"/>
  </r>
  <r>
    <x v="1182"/>
    <x v="0"/>
    <x v="1"/>
    <n v="23.2"/>
    <n v="46.4"/>
    <x v="46"/>
    <x v="41"/>
    <x v="0"/>
    <x v="3"/>
    <x v="1"/>
    <x v="3"/>
    <x v="7"/>
    <x v="7"/>
    <x v="0"/>
  </r>
  <r>
    <x v="1183"/>
    <x v="4"/>
    <x v="2"/>
    <n v="25.7"/>
    <n v="77.099999999999994"/>
    <x v="46"/>
    <x v="43"/>
    <x v="1"/>
    <x v="4"/>
    <x v="0"/>
    <x v="3"/>
    <x v="3"/>
    <x v="7"/>
    <x v="1"/>
  </r>
  <r>
    <x v="1184"/>
    <x v="0"/>
    <x v="11"/>
    <n v="31.6"/>
    <n v="284.39999999999998"/>
    <x v="46"/>
    <x v="50"/>
    <x v="2"/>
    <x v="0"/>
    <x v="0"/>
    <x v="3"/>
    <x v="1"/>
    <x v="7"/>
    <x v="2"/>
  </r>
  <r>
    <x v="1185"/>
    <x v="6"/>
    <x v="0"/>
    <n v="64.2"/>
    <n v="64.2"/>
    <x v="46"/>
    <x v="47"/>
    <x v="1"/>
    <x v="0"/>
    <x v="0"/>
    <x v="3"/>
    <x v="0"/>
    <x v="7"/>
    <x v="1"/>
  </r>
  <r>
    <x v="1186"/>
    <x v="8"/>
    <x v="1"/>
    <n v="55.8"/>
    <n v="111.6"/>
    <x v="46"/>
    <x v="50"/>
    <x v="0"/>
    <x v="0"/>
    <x v="0"/>
    <x v="3"/>
    <x v="1"/>
    <x v="7"/>
    <x v="0"/>
  </r>
  <r>
    <x v="1187"/>
    <x v="8"/>
    <x v="1"/>
    <n v="28.1"/>
    <n v="56.2"/>
    <x v="46"/>
    <x v="43"/>
    <x v="2"/>
    <x v="4"/>
    <x v="1"/>
    <x v="3"/>
    <x v="3"/>
    <x v="7"/>
    <x v="2"/>
  </r>
  <r>
    <x v="1188"/>
    <x v="0"/>
    <x v="1"/>
    <n v="11.6"/>
    <n v="23.2"/>
    <x v="46"/>
    <x v="50"/>
    <x v="2"/>
    <x v="1"/>
    <x v="0"/>
    <x v="24"/>
    <x v="1"/>
    <x v="7"/>
    <x v="2"/>
  </r>
  <r>
    <x v="1189"/>
    <x v="5"/>
    <x v="2"/>
    <n v="50.4"/>
    <n v="151.19999999999999"/>
    <x v="46"/>
    <x v="43"/>
    <x v="1"/>
    <x v="4"/>
    <x v="2"/>
    <x v="25"/>
    <x v="3"/>
    <x v="7"/>
    <x v="1"/>
  </r>
  <r>
    <x v="1190"/>
    <x v="6"/>
    <x v="13"/>
    <n v="48.3"/>
    <n v="289.8"/>
    <x v="46"/>
    <x v="49"/>
    <x v="2"/>
    <x v="0"/>
    <x v="0"/>
    <x v="25"/>
    <x v="5"/>
    <x v="7"/>
    <x v="2"/>
  </r>
  <r>
    <x v="1191"/>
    <x v="17"/>
    <x v="3"/>
    <n v="32.200000000000003"/>
    <n v="225.4"/>
    <x v="46"/>
    <x v="50"/>
    <x v="2"/>
    <x v="2"/>
    <x v="0"/>
    <x v="25"/>
    <x v="1"/>
    <x v="7"/>
    <x v="2"/>
  </r>
  <r>
    <x v="1192"/>
    <x v="7"/>
    <x v="31"/>
    <n v="48.5"/>
    <n v="1358"/>
    <x v="46"/>
    <x v="43"/>
    <x v="1"/>
    <x v="0"/>
    <x v="0"/>
    <x v="5"/>
    <x v="3"/>
    <x v="7"/>
    <x v="1"/>
  </r>
  <r>
    <x v="1193"/>
    <x v="2"/>
    <x v="9"/>
    <n v="62"/>
    <n v="310"/>
    <x v="46"/>
    <x v="46"/>
    <x v="2"/>
    <x v="1"/>
    <x v="0"/>
    <x v="6"/>
    <x v="2"/>
    <x v="7"/>
    <x v="2"/>
  </r>
  <r>
    <x v="1194"/>
    <x v="8"/>
    <x v="2"/>
    <n v="32.1"/>
    <n v="96.300000000000011"/>
    <x v="47"/>
    <x v="46"/>
    <x v="1"/>
    <x v="0"/>
    <x v="0"/>
    <x v="6"/>
    <x v="1"/>
    <x v="7"/>
    <x v="1"/>
  </r>
  <r>
    <x v="1195"/>
    <x v="12"/>
    <x v="2"/>
    <n v="106.1"/>
    <n v="318.3"/>
    <x v="47"/>
    <x v="46"/>
    <x v="1"/>
    <x v="0"/>
    <x v="1"/>
    <x v="7"/>
    <x v="1"/>
    <x v="7"/>
    <x v="1"/>
  </r>
  <r>
    <x v="1196"/>
    <x v="10"/>
    <x v="2"/>
    <n v="23.5"/>
    <n v="70.5"/>
    <x v="47"/>
    <x v="49"/>
    <x v="1"/>
    <x v="0"/>
    <x v="4"/>
    <x v="7"/>
    <x v="2"/>
    <x v="7"/>
    <x v="1"/>
  </r>
  <r>
    <x v="1197"/>
    <x v="1"/>
    <x v="1"/>
    <n v="35.6"/>
    <n v="71.2"/>
    <x v="47"/>
    <x v="56"/>
    <x v="1"/>
    <x v="4"/>
    <x v="0"/>
    <x v="8"/>
    <x v="0"/>
    <x v="7"/>
    <x v="1"/>
  </r>
  <r>
    <x v="1198"/>
    <x v="1"/>
    <x v="1"/>
    <n v="63.5"/>
    <n v="127"/>
    <x v="47"/>
    <x v="43"/>
    <x v="2"/>
    <x v="1"/>
    <x v="2"/>
    <x v="8"/>
    <x v="7"/>
    <x v="7"/>
    <x v="2"/>
  </r>
  <r>
    <x v="1199"/>
    <x v="6"/>
    <x v="3"/>
    <n v="82.9"/>
    <n v="580.30000000000007"/>
    <x v="47"/>
    <x v="56"/>
    <x v="2"/>
    <x v="4"/>
    <x v="0"/>
    <x v="9"/>
    <x v="0"/>
    <x v="7"/>
    <x v="2"/>
  </r>
  <r>
    <x v="1200"/>
    <x v="6"/>
    <x v="1"/>
    <n v="83.6"/>
    <n v="167.2"/>
    <x v="47"/>
    <x v="56"/>
    <x v="2"/>
    <x v="0"/>
    <x v="0"/>
    <x v="11"/>
    <x v="0"/>
    <x v="7"/>
    <x v="2"/>
  </r>
  <r>
    <x v="1201"/>
    <x v="4"/>
    <x v="1"/>
    <n v="29.4"/>
    <n v="58.8"/>
    <x v="47"/>
    <x v="43"/>
    <x v="2"/>
    <x v="0"/>
    <x v="1"/>
    <x v="30"/>
    <x v="7"/>
    <x v="7"/>
    <x v="2"/>
  </r>
  <r>
    <x v="1202"/>
    <x v="2"/>
    <x v="2"/>
    <n v="107.1"/>
    <n v="321.3"/>
    <x v="47"/>
    <x v="47"/>
    <x v="2"/>
    <x v="2"/>
    <x v="0"/>
    <x v="20"/>
    <x v="5"/>
    <x v="7"/>
    <x v="2"/>
  </r>
  <r>
    <x v="1203"/>
    <x v="2"/>
    <x v="0"/>
    <n v="62.7"/>
    <n v="62.7"/>
    <x v="47"/>
    <x v="47"/>
    <x v="1"/>
    <x v="1"/>
    <x v="0"/>
    <x v="21"/>
    <x v="5"/>
    <x v="7"/>
    <x v="1"/>
  </r>
  <r>
    <x v="1204"/>
    <x v="11"/>
    <x v="0"/>
    <n v="41.6"/>
    <n v="41.6"/>
    <x v="47"/>
    <x v="50"/>
    <x v="1"/>
    <x v="0"/>
    <x v="1"/>
    <x v="1"/>
    <x v="3"/>
    <x v="7"/>
    <x v="1"/>
  </r>
  <r>
    <x v="1205"/>
    <x v="6"/>
    <x v="0"/>
    <n v="44.2"/>
    <n v="44.2"/>
    <x v="47"/>
    <x v="50"/>
    <x v="3"/>
    <x v="0"/>
    <x v="1"/>
    <x v="1"/>
    <x v="3"/>
    <x v="7"/>
    <x v="3"/>
  </r>
  <r>
    <x v="1206"/>
    <x v="4"/>
    <x v="13"/>
    <n v="40.4"/>
    <n v="242.4"/>
    <x v="47"/>
    <x v="57"/>
    <x v="2"/>
    <x v="2"/>
    <x v="0"/>
    <x v="22"/>
    <x v="10"/>
    <x v="7"/>
    <x v="2"/>
  </r>
  <r>
    <x v="1207"/>
    <x v="15"/>
    <x v="13"/>
    <n v="59.6"/>
    <n v="357.6"/>
    <x v="47"/>
    <x v="50"/>
    <x v="2"/>
    <x v="4"/>
    <x v="0"/>
    <x v="0"/>
    <x v="3"/>
    <x v="7"/>
    <x v="2"/>
  </r>
  <r>
    <x v="1208"/>
    <x v="17"/>
    <x v="4"/>
    <n v="63.8"/>
    <n v="765.59999999999991"/>
    <x v="47"/>
    <x v="50"/>
    <x v="1"/>
    <x v="1"/>
    <x v="0"/>
    <x v="3"/>
    <x v="3"/>
    <x v="7"/>
    <x v="1"/>
  </r>
  <r>
    <x v="1209"/>
    <x v="9"/>
    <x v="13"/>
    <n v="30.8"/>
    <n v="184.8"/>
    <x v="47"/>
    <x v="46"/>
    <x v="1"/>
    <x v="4"/>
    <x v="0"/>
    <x v="3"/>
    <x v="1"/>
    <x v="7"/>
    <x v="1"/>
  </r>
  <r>
    <x v="1210"/>
    <x v="1"/>
    <x v="1"/>
    <n v="41.5"/>
    <n v="83"/>
    <x v="47"/>
    <x v="49"/>
    <x v="3"/>
    <x v="0"/>
    <x v="0"/>
    <x v="3"/>
    <x v="2"/>
    <x v="7"/>
    <x v="3"/>
  </r>
  <r>
    <x v="1211"/>
    <x v="10"/>
    <x v="12"/>
    <n v="44.7"/>
    <n v="178.8"/>
    <x v="47"/>
    <x v="46"/>
    <x v="2"/>
    <x v="2"/>
    <x v="1"/>
    <x v="3"/>
    <x v="1"/>
    <x v="7"/>
    <x v="2"/>
  </r>
  <r>
    <x v="1212"/>
    <x v="12"/>
    <x v="1"/>
    <n v="64.099999999999994"/>
    <n v="128.19999999999999"/>
    <x v="47"/>
    <x v="47"/>
    <x v="2"/>
    <x v="1"/>
    <x v="4"/>
    <x v="3"/>
    <x v="5"/>
    <x v="7"/>
    <x v="2"/>
  </r>
  <r>
    <x v="1213"/>
    <x v="8"/>
    <x v="0"/>
    <n v="15.9"/>
    <n v="15.9"/>
    <x v="47"/>
    <x v="49"/>
    <x v="0"/>
    <x v="1"/>
    <x v="0"/>
    <x v="3"/>
    <x v="2"/>
    <x v="7"/>
    <x v="0"/>
  </r>
  <r>
    <x v="1214"/>
    <x v="6"/>
    <x v="1"/>
    <n v="78.7"/>
    <n v="157.4"/>
    <x v="47"/>
    <x v="43"/>
    <x v="2"/>
    <x v="2"/>
    <x v="1"/>
    <x v="3"/>
    <x v="7"/>
    <x v="7"/>
    <x v="2"/>
  </r>
  <r>
    <x v="1215"/>
    <x v="5"/>
    <x v="4"/>
    <n v="29.6"/>
    <n v="355.2"/>
    <x v="47"/>
    <x v="47"/>
    <x v="1"/>
    <x v="2"/>
    <x v="4"/>
    <x v="3"/>
    <x v="5"/>
    <x v="7"/>
    <x v="1"/>
  </r>
  <r>
    <x v="1216"/>
    <x v="8"/>
    <x v="12"/>
    <n v="21.5"/>
    <n v="86"/>
    <x v="47"/>
    <x v="49"/>
    <x v="1"/>
    <x v="1"/>
    <x v="0"/>
    <x v="3"/>
    <x v="2"/>
    <x v="7"/>
    <x v="1"/>
  </r>
  <r>
    <x v="1217"/>
    <x v="9"/>
    <x v="2"/>
    <n v="74.900000000000006"/>
    <n v="224.7"/>
    <x v="47"/>
    <x v="52"/>
    <x v="1"/>
    <x v="3"/>
    <x v="1"/>
    <x v="3"/>
    <x v="8"/>
    <x v="7"/>
    <x v="1"/>
  </r>
  <r>
    <x v="1218"/>
    <x v="10"/>
    <x v="13"/>
    <n v="45"/>
    <n v="270"/>
    <x v="47"/>
    <x v="56"/>
    <x v="2"/>
    <x v="2"/>
    <x v="0"/>
    <x v="3"/>
    <x v="0"/>
    <x v="7"/>
    <x v="2"/>
  </r>
  <r>
    <x v="1219"/>
    <x v="7"/>
    <x v="33"/>
    <n v="37.9"/>
    <n v="1288.5999999999999"/>
    <x v="47"/>
    <x v="50"/>
    <x v="1"/>
    <x v="0"/>
    <x v="0"/>
    <x v="3"/>
    <x v="3"/>
    <x v="7"/>
    <x v="1"/>
  </r>
  <r>
    <x v="1220"/>
    <x v="6"/>
    <x v="2"/>
    <n v="56.6"/>
    <n v="169.8"/>
    <x v="47"/>
    <x v="50"/>
    <x v="1"/>
    <x v="3"/>
    <x v="0"/>
    <x v="3"/>
    <x v="3"/>
    <x v="7"/>
    <x v="1"/>
  </r>
  <r>
    <x v="1221"/>
    <x v="3"/>
    <x v="15"/>
    <n v="84.5"/>
    <n v="1098.5"/>
    <x v="47"/>
    <x v="49"/>
    <x v="2"/>
    <x v="1"/>
    <x v="4"/>
    <x v="3"/>
    <x v="2"/>
    <x v="7"/>
    <x v="2"/>
  </r>
  <r>
    <x v="1222"/>
    <x v="2"/>
    <x v="9"/>
    <n v="105.4"/>
    <n v="527"/>
    <x v="47"/>
    <x v="46"/>
    <x v="2"/>
    <x v="1"/>
    <x v="1"/>
    <x v="3"/>
    <x v="1"/>
    <x v="7"/>
    <x v="2"/>
  </r>
  <r>
    <x v="1223"/>
    <x v="18"/>
    <x v="3"/>
    <n v="39.4"/>
    <n v="275.8"/>
    <x v="48"/>
    <x v="50"/>
    <x v="1"/>
    <x v="1"/>
    <x v="0"/>
    <x v="10"/>
    <x v="7"/>
    <x v="7"/>
    <x v="1"/>
  </r>
  <r>
    <x v="1224"/>
    <x v="19"/>
    <x v="2"/>
    <n v="38"/>
    <n v="114"/>
    <x v="48"/>
    <x v="47"/>
    <x v="1"/>
    <x v="4"/>
    <x v="1"/>
    <x v="6"/>
    <x v="2"/>
    <x v="7"/>
    <x v="1"/>
  </r>
  <r>
    <x v="1225"/>
    <x v="17"/>
    <x v="12"/>
    <n v="42.5"/>
    <n v="170"/>
    <x v="48"/>
    <x v="49"/>
    <x v="0"/>
    <x v="0"/>
    <x v="0"/>
    <x v="6"/>
    <x v="1"/>
    <x v="7"/>
    <x v="0"/>
  </r>
  <r>
    <x v="1226"/>
    <x v="15"/>
    <x v="0"/>
    <n v="62.3"/>
    <n v="62.3"/>
    <x v="48"/>
    <x v="53"/>
    <x v="1"/>
    <x v="0"/>
    <x v="2"/>
    <x v="6"/>
    <x v="8"/>
    <x v="7"/>
    <x v="1"/>
  </r>
  <r>
    <x v="1227"/>
    <x v="6"/>
    <x v="9"/>
    <n v="49.1"/>
    <n v="245.5"/>
    <x v="48"/>
    <x v="49"/>
    <x v="2"/>
    <x v="1"/>
    <x v="2"/>
    <x v="7"/>
    <x v="1"/>
    <x v="7"/>
    <x v="2"/>
  </r>
  <r>
    <x v="1228"/>
    <x v="3"/>
    <x v="1"/>
    <n v="30.5"/>
    <n v="61"/>
    <x v="48"/>
    <x v="47"/>
    <x v="1"/>
    <x v="0"/>
    <x v="2"/>
    <x v="8"/>
    <x v="2"/>
    <x v="7"/>
    <x v="1"/>
  </r>
  <r>
    <x v="1229"/>
    <x v="2"/>
    <x v="1"/>
    <n v="154.80000000000001"/>
    <n v="309.60000000000002"/>
    <x v="48"/>
    <x v="47"/>
    <x v="2"/>
    <x v="1"/>
    <x v="4"/>
    <x v="8"/>
    <x v="2"/>
    <x v="7"/>
    <x v="2"/>
  </r>
  <r>
    <x v="1230"/>
    <x v="6"/>
    <x v="0"/>
    <n v="45"/>
    <n v="45"/>
    <x v="48"/>
    <x v="56"/>
    <x v="1"/>
    <x v="3"/>
    <x v="1"/>
    <x v="8"/>
    <x v="5"/>
    <x v="7"/>
    <x v="1"/>
  </r>
  <r>
    <x v="1231"/>
    <x v="0"/>
    <x v="3"/>
    <n v="15.3"/>
    <n v="107.1"/>
    <x v="48"/>
    <x v="46"/>
    <x v="1"/>
    <x v="0"/>
    <x v="2"/>
    <x v="8"/>
    <x v="3"/>
    <x v="7"/>
    <x v="1"/>
  </r>
  <r>
    <x v="1232"/>
    <x v="2"/>
    <x v="5"/>
    <n v="88.6"/>
    <n v="974.59999999999991"/>
    <x v="48"/>
    <x v="47"/>
    <x v="2"/>
    <x v="0"/>
    <x v="4"/>
    <x v="17"/>
    <x v="2"/>
    <x v="7"/>
    <x v="2"/>
  </r>
  <r>
    <x v="1233"/>
    <x v="9"/>
    <x v="1"/>
    <n v="49.7"/>
    <n v="99.4"/>
    <x v="48"/>
    <x v="49"/>
    <x v="3"/>
    <x v="4"/>
    <x v="0"/>
    <x v="10"/>
    <x v="1"/>
    <x v="7"/>
    <x v="3"/>
  </r>
  <r>
    <x v="1234"/>
    <x v="10"/>
    <x v="0"/>
    <n v="29"/>
    <n v="29"/>
    <x v="48"/>
    <x v="46"/>
    <x v="1"/>
    <x v="0"/>
    <x v="0"/>
    <x v="11"/>
    <x v="3"/>
    <x v="7"/>
    <x v="1"/>
  </r>
  <r>
    <x v="1235"/>
    <x v="1"/>
    <x v="0"/>
    <n v="60.7"/>
    <n v="60.7"/>
    <x v="48"/>
    <x v="46"/>
    <x v="3"/>
    <x v="0"/>
    <x v="1"/>
    <x v="11"/>
    <x v="3"/>
    <x v="7"/>
    <x v="3"/>
  </r>
  <r>
    <x v="1236"/>
    <x v="17"/>
    <x v="12"/>
    <n v="87.4"/>
    <n v="349.6"/>
    <x v="48"/>
    <x v="49"/>
    <x v="0"/>
    <x v="0"/>
    <x v="0"/>
    <x v="11"/>
    <x v="1"/>
    <x v="7"/>
    <x v="0"/>
  </r>
  <r>
    <x v="1237"/>
    <x v="4"/>
    <x v="3"/>
    <n v="44.5"/>
    <n v="311.5"/>
    <x v="48"/>
    <x v="56"/>
    <x v="2"/>
    <x v="2"/>
    <x v="2"/>
    <x v="19"/>
    <x v="5"/>
    <x v="7"/>
    <x v="2"/>
  </r>
  <r>
    <x v="1238"/>
    <x v="2"/>
    <x v="0"/>
    <n v="141"/>
    <n v="141"/>
    <x v="48"/>
    <x v="46"/>
    <x v="1"/>
    <x v="4"/>
    <x v="2"/>
    <x v="19"/>
    <x v="3"/>
    <x v="7"/>
    <x v="1"/>
  </r>
  <r>
    <x v="1239"/>
    <x v="0"/>
    <x v="2"/>
    <n v="16.7"/>
    <n v="50.099999999999987"/>
    <x v="48"/>
    <x v="52"/>
    <x v="2"/>
    <x v="0"/>
    <x v="0"/>
    <x v="20"/>
    <x v="9"/>
    <x v="7"/>
    <x v="2"/>
  </r>
  <r>
    <x v="1240"/>
    <x v="1"/>
    <x v="1"/>
    <n v="77.5"/>
    <n v="155"/>
    <x v="48"/>
    <x v="46"/>
    <x v="0"/>
    <x v="2"/>
    <x v="2"/>
    <x v="13"/>
    <x v="3"/>
    <x v="7"/>
    <x v="0"/>
  </r>
  <r>
    <x v="1241"/>
    <x v="2"/>
    <x v="1"/>
    <n v="163"/>
    <n v="326"/>
    <x v="48"/>
    <x v="54"/>
    <x v="2"/>
    <x v="4"/>
    <x v="0"/>
    <x v="21"/>
    <x v="4"/>
    <x v="7"/>
    <x v="2"/>
  </r>
  <r>
    <x v="1242"/>
    <x v="4"/>
    <x v="11"/>
    <n v="21.4"/>
    <n v="192.6"/>
    <x v="48"/>
    <x v="47"/>
    <x v="2"/>
    <x v="0"/>
    <x v="0"/>
    <x v="27"/>
    <x v="2"/>
    <x v="7"/>
    <x v="2"/>
  </r>
  <r>
    <x v="1243"/>
    <x v="10"/>
    <x v="5"/>
    <n v="31"/>
    <n v="341"/>
    <x v="48"/>
    <x v="49"/>
    <x v="2"/>
    <x v="3"/>
    <x v="2"/>
    <x v="1"/>
    <x v="1"/>
    <x v="7"/>
    <x v="2"/>
  </r>
  <r>
    <x v="1244"/>
    <x v="7"/>
    <x v="1"/>
    <n v="34.299999999999997"/>
    <n v="68.599999999999994"/>
    <x v="48"/>
    <x v="49"/>
    <x v="2"/>
    <x v="0"/>
    <x v="3"/>
    <x v="1"/>
    <x v="1"/>
    <x v="7"/>
    <x v="2"/>
  </r>
  <r>
    <x v="1245"/>
    <x v="17"/>
    <x v="9"/>
    <n v="48.2"/>
    <n v="241"/>
    <x v="48"/>
    <x v="46"/>
    <x v="1"/>
    <x v="1"/>
    <x v="1"/>
    <x v="2"/>
    <x v="3"/>
    <x v="7"/>
    <x v="1"/>
  </r>
  <r>
    <x v="1246"/>
    <x v="10"/>
    <x v="0"/>
    <n v="51.4"/>
    <n v="51.4"/>
    <x v="48"/>
    <x v="46"/>
    <x v="1"/>
    <x v="0"/>
    <x v="0"/>
    <x v="3"/>
    <x v="3"/>
    <x v="7"/>
    <x v="1"/>
  </r>
  <r>
    <x v="1247"/>
    <x v="2"/>
    <x v="9"/>
    <n v="117.2"/>
    <n v="586"/>
    <x v="48"/>
    <x v="47"/>
    <x v="2"/>
    <x v="4"/>
    <x v="4"/>
    <x v="3"/>
    <x v="2"/>
    <x v="7"/>
    <x v="2"/>
  </r>
  <r>
    <x v="1248"/>
    <x v="8"/>
    <x v="0"/>
    <n v="38.1"/>
    <n v="38.1"/>
    <x v="48"/>
    <x v="50"/>
    <x v="1"/>
    <x v="4"/>
    <x v="1"/>
    <x v="3"/>
    <x v="7"/>
    <x v="7"/>
    <x v="1"/>
  </r>
  <r>
    <x v="1249"/>
    <x v="0"/>
    <x v="1"/>
    <n v="44.1"/>
    <n v="88.2"/>
    <x v="48"/>
    <x v="49"/>
    <x v="2"/>
    <x v="2"/>
    <x v="0"/>
    <x v="3"/>
    <x v="1"/>
    <x v="7"/>
    <x v="2"/>
  </r>
  <r>
    <x v="1250"/>
    <x v="15"/>
    <x v="12"/>
    <n v="80.5"/>
    <n v="322"/>
    <x v="48"/>
    <x v="55"/>
    <x v="1"/>
    <x v="0"/>
    <x v="0"/>
    <x v="3"/>
    <x v="0"/>
    <x v="7"/>
    <x v="1"/>
  </r>
  <r>
    <x v="1251"/>
    <x v="18"/>
    <x v="12"/>
    <n v="33.6"/>
    <n v="134.4"/>
    <x v="48"/>
    <x v="55"/>
    <x v="0"/>
    <x v="0"/>
    <x v="2"/>
    <x v="3"/>
    <x v="0"/>
    <x v="7"/>
    <x v="0"/>
  </r>
  <r>
    <x v="1252"/>
    <x v="9"/>
    <x v="11"/>
    <n v="41.8"/>
    <n v="376.2"/>
    <x v="48"/>
    <x v="46"/>
    <x v="2"/>
    <x v="0"/>
    <x v="1"/>
    <x v="3"/>
    <x v="3"/>
    <x v="7"/>
    <x v="2"/>
  </r>
  <r>
    <x v="1253"/>
    <x v="1"/>
    <x v="1"/>
    <n v="106.2"/>
    <n v="212.4"/>
    <x v="48"/>
    <x v="50"/>
    <x v="2"/>
    <x v="4"/>
    <x v="2"/>
    <x v="3"/>
    <x v="7"/>
    <x v="7"/>
    <x v="2"/>
  </r>
  <r>
    <x v="1254"/>
    <x v="1"/>
    <x v="1"/>
    <n v="52.6"/>
    <n v="105.2"/>
    <x v="48"/>
    <x v="46"/>
    <x v="2"/>
    <x v="0"/>
    <x v="2"/>
    <x v="5"/>
    <x v="3"/>
    <x v="7"/>
    <x v="2"/>
  </r>
  <r>
    <x v="1255"/>
    <x v="11"/>
    <x v="3"/>
    <n v="68.5"/>
    <n v="479.5"/>
    <x v="48"/>
    <x v="46"/>
    <x v="2"/>
    <x v="1"/>
    <x v="0"/>
    <x v="5"/>
    <x v="3"/>
    <x v="7"/>
    <x v="2"/>
  </r>
  <r>
    <x v="1256"/>
    <x v="1"/>
    <x v="1"/>
    <n v="55.6"/>
    <n v="111.2"/>
    <x v="48"/>
    <x v="49"/>
    <x v="1"/>
    <x v="1"/>
    <x v="2"/>
    <x v="6"/>
    <x v="1"/>
    <x v="7"/>
    <x v="1"/>
  </r>
  <r>
    <x v="1257"/>
    <x v="2"/>
    <x v="2"/>
    <n v="134.9"/>
    <n v="404.7"/>
    <x v="48"/>
    <x v="46"/>
    <x v="1"/>
    <x v="1"/>
    <x v="1"/>
    <x v="6"/>
    <x v="3"/>
    <x v="7"/>
    <x v="1"/>
  </r>
  <r>
    <x v="1258"/>
    <x v="10"/>
    <x v="9"/>
    <n v="42.6"/>
    <n v="213"/>
    <x v="48"/>
    <x v="46"/>
    <x v="1"/>
    <x v="0"/>
    <x v="0"/>
    <x v="6"/>
    <x v="3"/>
    <x v="7"/>
    <x v="1"/>
  </r>
  <r>
    <x v="1259"/>
    <x v="7"/>
    <x v="9"/>
    <n v="60.6"/>
    <n v="303"/>
    <x v="48"/>
    <x v="49"/>
    <x v="1"/>
    <x v="4"/>
    <x v="0"/>
    <x v="6"/>
    <x v="1"/>
    <x v="7"/>
    <x v="1"/>
  </r>
  <r>
    <x v="1260"/>
    <x v="8"/>
    <x v="1"/>
    <n v="43.5"/>
    <n v="87"/>
    <x v="48"/>
    <x v="46"/>
    <x v="1"/>
    <x v="4"/>
    <x v="0"/>
    <x v="7"/>
    <x v="3"/>
    <x v="7"/>
    <x v="1"/>
  </r>
  <r>
    <x v="1261"/>
    <x v="2"/>
    <x v="1"/>
    <n v="187.1"/>
    <n v="374.2"/>
    <x v="48"/>
    <x v="46"/>
    <x v="1"/>
    <x v="1"/>
    <x v="2"/>
    <x v="8"/>
    <x v="3"/>
    <x v="7"/>
    <x v="1"/>
  </r>
  <r>
    <x v="1262"/>
    <x v="9"/>
    <x v="2"/>
    <n v="32"/>
    <n v="96"/>
    <x v="48"/>
    <x v="49"/>
    <x v="1"/>
    <x v="0"/>
    <x v="0"/>
    <x v="8"/>
    <x v="1"/>
    <x v="7"/>
    <x v="1"/>
  </r>
  <r>
    <x v="1263"/>
    <x v="9"/>
    <x v="1"/>
    <n v="110.8"/>
    <n v="221.6"/>
    <x v="48"/>
    <x v="50"/>
    <x v="1"/>
    <x v="0"/>
    <x v="2"/>
    <x v="8"/>
    <x v="7"/>
    <x v="7"/>
    <x v="1"/>
  </r>
  <r>
    <x v="1264"/>
    <x v="10"/>
    <x v="15"/>
    <n v="36.1"/>
    <n v="469.3"/>
    <x v="48"/>
    <x v="47"/>
    <x v="2"/>
    <x v="0"/>
    <x v="1"/>
    <x v="8"/>
    <x v="2"/>
    <x v="7"/>
    <x v="2"/>
  </r>
  <r>
    <x v="1265"/>
    <x v="0"/>
    <x v="0"/>
    <n v="24.1"/>
    <n v="24.1"/>
    <x v="48"/>
    <x v="49"/>
    <x v="2"/>
    <x v="4"/>
    <x v="2"/>
    <x v="8"/>
    <x v="1"/>
    <x v="7"/>
    <x v="2"/>
  </r>
  <r>
    <x v="1266"/>
    <x v="19"/>
    <x v="2"/>
    <n v="30.5"/>
    <n v="91.5"/>
    <x v="48"/>
    <x v="49"/>
    <x v="1"/>
    <x v="1"/>
    <x v="0"/>
    <x v="8"/>
    <x v="1"/>
    <x v="7"/>
    <x v="1"/>
  </r>
  <r>
    <x v="1267"/>
    <x v="18"/>
    <x v="13"/>
    <n v="68.3"/>
    <n v="409.8"/>
    <x v="48"/>
    <x v="47"/>
    <x v="1"/>
    <x v="0"/>
    <x v="0"/>
    <x v="8"/>
    <x v="2"/>
    <x v="7"/>
    <x v="1"/>
  </r>
  <r>
    <x v="1268"/>
    <x v="7"/>
    <x v="2"/>
    <n v="43.3"/>
    <n v="129.9"/>
    <x v="48"/>
    <x v="56"/>
    <x v="2"/>
    <x v="0"/>
    <x v="0"/>
    <x v="17"/>
    <x v="5"/>
    <x v="7"/>
    <x v="2"/>
  </r>
  <r>
    <x v="1269"/>
    <x v="3"/>
    <x v="0"/>
    <n v="101.7"/>
    <n v="101.7"/>
    <x v="48"/>
    <x v="47"/>
    <x v="2"/>
    <x v="0"/>
    <x v="1"/>
    <x v="17"/>
    <x v="2"/>
    <x v="7"/>
    <x v="2"/>
  </r>
  <r>
    <x v="1270"/>
    <x v="11"/>
    <x v="1"/>
    <n v="54.2"/>
    <n v="108.4"/>
    <x v="48"/>
    <x v="46"/>
    <x v="2"/>
    <x v="0"/>
    <x v="1"/>
    <x v="17"/>
    <x v="3"/>
    <x v="7"/>
    <x v="2"/>
  </r>
  <r>
    <x v="1271"/>
    <x v="16"/>
    <x v="1"/>
    <n v="51"/>
    <n v="102"/>
    <x v="48"/>
    <x v="50"/>
    <x v="1"/>
    <x v="1"/>
    <x v="0"/>
    <x v="26"/>
    <x v="7"/>
    <x v="7"/>
    <x v="1"/>
  </r>
  <r>
    <x v="1272"/>
    <x v="4"/>
    <x v="1"/>
    <n v="23.1"/>
    <n v="46.2"/>
    <x v="48"/>
    <x v="47"/>
    <x v="1"/>
    <x v="1"/>
    <x v="0"/>
    <x v="10"/>
    <x v="2"/>
    <x v="7"/>
    <x v="1"/>
  </r>
  <r>
    <x v="1273"/>
    <x v="12"/>
    <x v="13"/>
    <n v="60.1"/>
    <n v="360.6"/>
    <x v="48"/>
    <x v="50"/>
    <x v="2"/>
    <x v="3"/>
    <x v="0"/>
    <x v="11"/>
    <x v="7"/>
    <x v="7"/>
    <x v="2"/>
  </r>
  <r>
    <x v="1274"/>
    <x v="2"/>
    <x v="3"/>
    <n v="87.5"/>
    <n v="612.5"/>
    <x v="48"/>
    <x v="49"/>
    <x v="2"/>
    <x v="0"/>
    <x v="1"/>
    <x v="11"/>
    <x v="1"/>
    <x v="7"/>
    <x v="2"/>
  </r>
  <r>
    <x v="1275"/>
    <x v="1"/>
    <x v="2"/>
    <n v="51"/>
    <n v="153"/>
    <x v="48"/>
    <x v="46"/>
    <x v="2"/>
    <x v="1"/>
    <x v="0"/>
    <x v="11"/>
    <x v="3"/>
    <x v="7"/>
    <x v="2"/>
  </r>
  <r>
    <x v="1276"/>
    <x v="8"/>
    <x v="12"/>
    <n v="19.2"/>
    <n v="76.8"/>
    <x v="48"/>
    <x v="49"/>
    <x v="2"/>
    <x v="0"/>
    <x v="0"/>
    <x v="11"/>
    <x v="1"/>
    <x v="7"/>
    <x v="2"/>
  </r>
  <r>
    <x v="1277"/>
    <x v="5"/>
    <x v="8"/>
    <n v="26.5"/>
    <n v="212"/>
    <x v="48"/>
    <x v="46"/>
    <x v="0"/>
    <x v="3"/>
    <x v="2"/>
    <x v="11"/>
    <x v="3"/>
    <x v="7"/>
    <x v="0"/>
  </r>
  <r>
    <x v="1278"/>
    <x v="2"/>
    <x v="1"/>
    <n v="220.3"/>
    <n v="440.6"/>
    <x v="48"/>
    <x v="46"/>
    <x v="2"/>
    <x v="1"/>
    <x v="4"/>
    <x v="29"/>
    <x v="3"/>
    <x v="7"/>
    <x v="2"/>
  </r>
  <r>
    <x v="1279"/>
    <x v="8"/>
    <x v="2"/>
    <n v="45.7"/>
    <n v="137.1"/>
    <x v="48"/>
    <x v="46"/>
    <x v="2"/>
    <x v="4"/>
    <x v="0"/>
    <x v="30"/>
    <x v="3"/>
    <x v="7"/>
    <x v="2"/>
  </r>
  <r>
    <x v="1280"/>
    <x v="5"/>
    <x v="9"/>
    <n v="47.1"/>
    <n v="235.5"/>
    <x v="48"/>
    <x v="56"/>
    <x v="2"/>
    <x v="3"/>
    <x v="0"/>
    <x v="13"/>
    <x v="5"/>
    <x v="7"/>
    <x v="2"/>
  </r>
  <r>
    <x v="1281"/>
    <x v="1"/>
    <x v="9"/>
    <n v="81.7"/>
    <n v="408.5"/>
    <x v="48"/>
    <x v="46"/>
    <x v="2"/>
    <x v="0"/>
    <x v="2"/>
    <x v="21"/>
    <x v="3"/>
    <x v="7"/>
    <x v="2"/>
  </r>
  <r>
    <x v="1282"/>
    <x v="6"/>
    <x v="7"/>
    <n v="97.8"/>
    <n v="978"/>
    <x v="48"/>
    <x v="50"/>
    <x v="1"/>
    <x v="1"/>
    <x v="1"/>
    <x v="21"/>
    <x v="7"/>
    <x v="7"/>
    <x v="1"/>
  </r>
  <r>
    <x v="1283"/>
    <x v="6"/>
    <x v="2"/>
    <n v="42.4"/>
    <n v="127.2"/>
    <x v="48"/>
    <x v="46"/>
    <x v="2"/>
    <x v="0"/>
    <x v="2"/>
    <x v="30"/>
    <x v="3"/>
    <x v="7"/>
    <x v="2"/>
  </r>
  <r>
    <x v="1284"/>
    <x v="2"/>
    <x v="7"/>
    <n v="74.5"/>
    <n v="745"/>
    <x v="48"/>
    <x v="46"/>
    <x v="1"/>
    <x v="2"/>
    <x v="1"/>
    <x v="1"/>
    <x v="3"/>
    <x v="7"/>
    <x v="1"/>
  </r>
  <r>
    <x v="1285"/>
    <x v="17"/>
    <x v="13"/>
    <n v="47.4"/>
    <n v="284.39999999999998"/>
    <x v="48"/>
    <x v="46"/>
    <x v="1"/>
    <x v="1"/>
    <x v="0"/>
    <x v="1"/>
    <x v="3"/>
    <x v="7"/>
    <x v="1"/>
  </r>
  <r>
    <x v="1286"/>
    <x v="14"/>
    <x v="2"/>
    <n v="17.3"/>
    <n v="51.900000000000013"/>
    <x v="49"/>
    <x v="56"/>
    <x v="1"/>
    <x v="2"/>
    <x v="2"/>
    <x v="1"/>
    <x v="2"/>
    <x v="7"/>
    <x v="1"/>
  </r>
  <r>
    <x v="1287"/>
    <x v="12"/>
    <x v="12"/>
    <n v="77.900000000000006"/>
    <n v="311.60000000000002"/>
    <x v="49"/>
    <x v="49"/>
    <x v="1"/>
    <x v="1"/>
    <x v="0"/>
    <x v="2"/>
    <x v="3"/>
    <x v="7"/>
    <x v="1"/>
  </r>
  <r>
    <x v="1288"/>
    <x v="8"/>
    <x v="0"/>
    <n v="29.1"/>
    <n v="29.1"/>
    <x v="49"/>
    <x v="56"/>
    <x v="1"/>
    <x v="0"/>
    <x v="2"/>
    <x v="26"/>
    <x v="2"/>
    <x v="7"/>
    <x v="1"/>
  </r>
  <r>
    <x v="1289"/>
    <x v="8"/>
    <x v="0"/>
    <n v="49"/>
    <n v="49"/>
    <x v="49"/>
    <x v="49"/>
    <x v="1"/>
    <x v="1"/>
    <x v="0"/>
    <x v="3"/>
    <x v="3"/>
    <x v="7"/>
    <x v="1"/>
  </r>
  <r>
    <x v="1290"/>
    <x v="8"/>
    <x v="13"/>
    <n v="21.1"/>
    <n v="126.6"/>
    <x v="49"/>
    <x v="52"/>
    <x v="1"/>
    <x v="0"/>
    <x v="2"/>
    <x v="3"/>
    <x v="6"/>
    <x v="7"/>
    <x v="1"/>
  </r>
  <r>
    <x v="1291"/>
    <x v="4"/>
    <x v="10"/>
    <n v="36.9"/>
    <n v="701.1"/>
    <x v="49"/>
    <x v="46"/>
    <x v="2"/>
    <x v="0"/>
    <x v="0"/>
    <x v="3"/>
    <x v="7"/>
    <x v="7"/>
    <x v="2"/>
  </r>
  <r>
    <x v="1292"/>
    <x v="1"/>
    <x v="7"/>
    <n v="92.6"/>
    <n v="926"/>
    <x v="49"/>
    <x v="54"/>
    <x v="1"/>
    <x v="4"/>
    <x v="2"/>
    <x v="3"/>
    <x v="0"/>
    <x v="7"/>
    <x v="1"/>
  </r>
  <r>
    <x v="1293"/>
    <x v="10"/>
    <x v="1"/>
    <n v="38"/>
    <n v="76"/>
    <x v="49"/>
    <x v="49"/>
    <x v="1"/>
    <x v="1"/>
    <x v="1"/>
    <x v="3"/>
    <x v="3"/>
    <x v="7"/>
    <x v="1"/>
  </r>
  <r>
    <x v="1294"/>
    <x v="5"/>
    <x v="2"/>
    <n v="54.8"/>
    <n v="164.4"/>
    <x v="49"/>
    <x v="55"/>
    <x v="0"/>
    <x v="0"/>
    <x v="1"/>
    <x v="3"/>
    <x v="5"/>
    <x v="7"/>
    <x v="0"/>
  </r>
  <r>
    <x v="1295"/>
    <x v="10"/>
    <x v="4"/>
    <n v="56.8"/>
    <n v="681.59999999999991"/>
    <x v="49"/>
    <x v="47"/>
    <x v="1"/>
    <x v="1"/>
    <x v="0"/>
    <x v="3"/>
    <x v="1"/>
    <x v="7"/>
    <x v="1"/>
  </r>
  <r>
    <x v="1296"/>
    <x v="11"/>
    <x v="40"/>
    <n v="47.2"/>
    <n v="1557.6"/>
    <x v="49"/>
    <x v="56"/>
    <x v="2"/>
    <x v="1"/>
    <x v="0"/>
    <x v="3"/>
    <x v="2"/>
    <x v="7"/>
    <x v="2"/>
  </r>
  <r>
    <x v="1297"/>
    <x v="7"/>
    <x v="13"/>
    <n v="45.1"/>
    <n v="270.60000000000002"/>
    <x v="49"/>
    <x v="49"/>
    <x v="2"/>
    <x v="2"/>
    <x v="0"/>
    <x v="19"/>
    <x v="3"/>
    <x v="7"/>
    <x v="2"/>
  </r>
  <r>
    <x v="1298"/>
    <x v="4"/>
    <x v="4"/>
    <n v="25.2"/>
    <n v="302.39999999999998"/>
    <x v="49"/>
    <x v="54"/>
    <x v="2"/>
    <x v="2"/>
    <x v="0"/>
    <x v="16"/>
    <x v="0"/>
    <x v="7"/>
    <x v="2"/>
  </r>
  <r>
    <x v="1299"/>
    <x v="8"/>
    <x v="0"/>
    <n v="22"/>
    <n v="22"/>
    <x v="49"/>
    <x v="49"/>
    <x v="2"/>
    <x v="0"/>
    <x v="0"/>
    <x v="5"/>
    <x v="3"/>
    <x v="7"/>
    <x v="2"/>
  </r>
  <r>
    <x v="1300"/>
    <x v="6"/>
    <x v="1"/>
    <n v="42.2"/>
    <n v="84.4"/>
    <x v="49"/>
    <x v="49"/>
    <x v="2"/>
    <x v="1"/>
    <x v="1"/>
    <x v="23"/>
    <x v="3"/>
    <x v="7"/>
    <x v="2"/>
  </r>
  <r>
    <x v="1301"/>
    <x v="13"/>
    <x v="2"/>
    <n v="20.5"/>
    <n v="61.5"/>
    <x v="49"/>
    <x v="49"/>
    <x v="1"/>
    <x v="0"/>
    <x v="1"/>
    <x v="6"/>
    <x v="3"/>
    <x v="7"/>
    <x v="1"/>
  </r>
  <r>
    <x v="1302"/>
    <x v="2"/>
    <x v="0"/>
    <n v="190.4"/>
    <n v="190.4"/>
    <x v="49"/>
    <x v="54"/>
    <x v="1"/>
    <x v="1"/>
    <x v="4"/>
    <x v="6"/>
    <x v="0"/>
    <x v="7"/>
    <x v="1"/>
  </r>
  <r>
    <x v="1303"/>
    <x v="2"/>
    <x v="0"/>
    <n v="121.9"/>
    <n v="121.9"/>
    <x v="49"/>
    <x v="47"/>
    <x v="2"/>
    <x v="1"/>
    <x v="2"/>
    <x v="6"/>
    <x v="1"/>
    <x v="7"/>
    <x v="2"/>
  </r>
  <r>
    <x v="1304"/>
    <x v="2"/>
    <x v="13"/>
    <n v="149.19999999999999"/>
    <n v="895.19999999999993"/>
    <x v="49"/>
    <x v="49"/>
    <x v="2"/>
    <x v="2"/>
    <x v="2"/>
    <x v="7"/>
    <x v="3"/>
    <x v="7"/>
    <x v="2"/>
  </r>
  <r>
    <x v="1305"/>
    <x v="2"/>
    <x v="0"/>
    <n v="54.1"/>
    <n v="54.1"/>
    <x v="49"/>
    <x v="58"/>
    <x v="2"/>
    <x v="2"/>
    <x v="2"/>
    <x v="7"/>
    <x v="8"/>
    <x v="7"/>
    <x v="2"/>
  </r>
  <r>
    <x v="1306"/>
    <x v="5"/>
    <x v="1"/>
    <n v="27.4"/>
    <n v="54.8"/>
    <x v="49"/>
    <x v="47"/>
    <x v="1"/>
    <x v="1"/>
    <x v="0"/>
    <x v="8"/>
    <x v="1"/>
    <x v="7"/>
    <x v="1"/>
  </r>
  <r>
    <x v="1307"/>
    <x v="0"/>
    <x v="15"/>
    <n v="30.4"/>
    <n v="395.2"/>
    <x v="49"/>
    <x v="49"/>
    <x v="2"/>
    <x v="0"/>
    <x v="2"/>
    <x v="8"/>
    <x v="3"/>
    <x v="7"/>
    <x v="2"/>
  </r>
  <r>
    <x v="1308"/>
    <x v="12"/>
    <x v="2"/>
    <n v="46.2"/>
    <n v="138.6"/>
    <x v="49"/>
    <x v="47"/>
    <x v="1"/>
    <x v="2"/>
    <x v="1"/>
    <x v="17"/>
    <x v="1"/>
    <x v="7"/>
    <x v="1"/>
  </r>
  <r>
    <x v="1309"/>
    <x v="7"/>
    <x v="8"/>
    <n v="78.599999999999994"/>
    <n v="628.79999999999995"/>
    <x v="49"/>
    <x v="55"/>
    <x v="1"/>
    <x v="3"/>
    <x v="0"/>
    <x v="17"/>
    <x v="5"/>
    <x v="7"/>
    <x v="1"/>
  </r>
  <r>
    <x v="1310"/>
    <x v="17"/>
    <x v="7"/>
    <n v="25.9"/>
    <n v="259"/>
    <x v="49"/>
    <x v="51"/>
    <x v="1"/>
    <x v="4"/>
    <x v="0"/>
    <x v="9"/>
    <x v="4"/>
    <x v="7"/>
    <x v="1"/>
  </r>
  <r>
    <x v="1311"/>
    <x v="6"/>
    <x v="0"/>
    <n v="134.80000000000001"/>
    <n v="134.80000000000001"/>
    <x v="49"/>
    <x v="47"/>
    <x v="1"/>
    <x v="2"/>
    <x v="2"/>
    <x v="9"/>
    <x v="1"/>
    <x v="7"/>
    <x v="1"/>
  </r>
  <r>
    <x v="1312"/>
    <x v="15"/>
    <x v="9"/>
    <n v="43.1"/>
    <n v="215.5"/>
    <x v="49"/>
    <x v="47"/>
    <x v="2"/>
    <x v="0"/>
    <x v="0"/>
    <x v="11"/>
    <x v="1"/>
    <x v="7"/>
    <x v="2"/>
  </r>
  <r>
    <x v="1313"/>
    <x v="2"/>
    <x v="1"/>
    <n v="215.6"/>
    <n v="431.2"/>
    <x v="49"/>
    <x v="49"/>
    <x v="2"/>
    <x v="2"/>
    <x v="0"/>
    <x v="18"/>
    <x v="3"/>
    <x v="7"/>
    <x v="2"/>
  </r>
  <r>
    <x v="1314"/>
    <x v="6"/>
    <x v="1"/>
    <n v="80.7"/>
    <n v="161.4"/>
    <x v="49"/>
    <x v="56"/>
    <x v="2"/>
    <x v="3"/>
    <x v="0"/>
    <x v="18"/>
    <x v="2"/>
    <x v="7"/>
    <x v="2"/>
  </r>
  <r>
    <x v="1315"/>
    <x v="10"/>
    <x v="3"/>
    <n v="20.6"/>
    <n v="144.19999999999999"/>
    <x v="49"/>
    <x v="54"/>
    <x v="0"/>
    <x v="2"/>
    <x v="1"/>
    <x v="19"/>
    <x v="0"/>
    <x v="7"/>
    <x v="0"/>
  </r>
  <r>
    <x v="1316"/>
    <x v="12"/>
    <x v="2"/>
    <n v="37.1"/>
    <n v="111.3"/>
    <x v="49"/>
    <x v="49"/>
    <x v="2"/>
    <x v="0"/>
    <x v="0"/>
    <x v="28"/>
    <x v="3"/>
    <x v="7"/>
    <x v="2"/>
  </r>
  <r>
    <x v="1317"/>
    <x v="12"/>
    <x v="0"/>
    <n v="104.8"/>
    <n v="104.8"/>
    <x v="50"/>
    <x v="56"/>
    <x v="2"/>
    <x v="0"/>
    <x v="0"/>
    <x v="13"/>
    <x v="1"/>
    <x v="7"/>
    <x v="2"/>
  </r>
  <r>
    <x v="1318"/>
    <x v="8"/>
    <x v="1"/>
    <n v="59"/>
    <n v="118"/>
    <x v="50"/>
    <x v="47"/>
    <x v="1"/>
    <x v="1"/>
    <x v="0"/>
    <x v="21"/>
    <x v="3"/>
    <x v="7"/>
    <x v="1"/>
  </r>
  <r>
    <x v="1319"/>
    <x v="8"/>
    <x v="1"/>
    <n v="32.299999999999997"/>
    <n v="64.599999999999994"/>
    <x v="50"/>
    <x v="47"/>
    <x v="1"/>
    <x v="0"/>
    <x v="2"/>
    <x v="21"/>
    <x v="3"/>
    <x v="7"/>
    <x v="1"/>
  </r>
  <r>
    <x v="1320"/>
    <x v="8"/>
    <x v="12"/>
    <n v="28.9"/>
    <n v="115.6"/>
    <x v="50"/>
    <x v="53"/>
    <x v="1"/>
    <x v="0"/>
    <x v="0"/>
    <x v="1"/>
    <x v="6"/>
    <x v="7"/>
    <x v="1"/>
  </r>
  <r>
    <x v="1321"/>
    <x v="0"/>
    <x v="1"/>
    <n v="29.6"/>
    <n v="59.2"/>
    <x v="50"/>
    <x v="56"/>
    <x v="1"/>
    <x v="0"/>
    <x v="0"/>
    <x v="1"/>
    <x v="1"/>
    <x v="7"/>
    <x v="1"/>
  </r>
  <r>
    <x v="1322"/>
    <x v="0"/>
    <x v="9"/>
    <n v="29.4"/>
    <n v="147"/>
    <x v="50"/>
    <x v="55"/>
    <x v="2"/>
    <x v="0"/>
    <x v="0"/>
    <x v="1"/>
    <x v="2"/>
    <x v="7"/>
    <x v="2"/>
  </r>
  <r>
    <x v="1323"/>
    <x v="1"/>
    <x v="1"/>
    <n v="40.6"/>
    <n v="81.2"/>
    <x v="50"/>
    <x v="47"/>
    <x v="1"/>
    <x v="0"/>
    <x v="4"/>
    <x v="2"/>
    <x v="3"/>
    <x v="7"/>
    <x v="1"/>
  </r>
  <r>
    <x v="1324"/>
    <x v="0"/>
    <x v="2"/>
    <n v="32.5"/>
    <n v="97.5"/>
    <x v="50"/>
    <x v="47"/>
    <x v="1"/>
    <x v="3"/>
    <x v="2"/>
    <x v="22"/>
    <x v="3"/>
    <x v="7"/>
    <x v="1"/>
  </r>
  <r>
    <x v="1325"/>
    <x v="15"/>
    <x v="0"/>
    <n v="26.2"/>
    <n v="26.2"/>
    <x v="50"/>
    <x v="56"/>
    <x v="1"/>
    <x v="2"/>
    <x v="0"/>
    <x v="31"/>
    <x v="1"/>
    <x v="7"/>
    <x v="1"/>
  </r>
  <r>
    <x v="1326"/>
    <x v="10"/>
    <x v="17"/>
    <n v="44"/>
    <n v="1320"/>
    <x v="50"/>
    <x v="52"/>
    <x v="1"/>
    <x v="4"/>
    <x v="0"/>
    <x v="3"/>
    <x v="4"/>
    <x v="7"/>
    <x v="1"/>
  </r>
  <r>
    <x v="1327"/>
    <x v="7"/>
    <x v="12"/>
    <n v="65.599999999999994"/>
    <n v="262.39999999999998"/>
    <x v="50"/>
    <x v="47"/>
    <x v="2"/>
    <x v="1"/>
    <x v="1"/>
    <x v="3"/>
    <x v="3"/>
    <x v="7"/>
    <x v="2"/>
  </r>
  <r>
    <x v="1328"/>
    <x v="5"/>
    <x v="4"/>
    <n v="32.6"/>
    <n v="391.2"/>
    <x v="50"/>
    <x v="47"/>
    <x v="1"/>
    <x v="4"/>
    <x v="0"/>
    <x v="3"/>
    <x v="3"/>
    <x v="7"/>
    <x v="1"/>
  </r>
  <r>
    <x v="1329"/>
    <x v="16"/>
    <x v="1"/>
    <n v="88.7"/>
    <n v="177.4"/>
    <x v="50"/>
    <x v="47"/>
    <x v="0"/>
    <x v="3"/>
    <x v="2"/>
    <x v="3"/>
    <x v="3"/>
    <x v="7"/>
    <x v="0"/>
  </r>
  <r>
    <x v="1330"/>
    <x v="4"/>
    <x v="1"/>
    <n v="21.3"/>
    <n v="42.6"/>
    <x v="50"/>
    <x v="47"/>
    <x v="1"/>
    <x v="0"/>
    <x v="0"/>
    <x v="3"/>
    <x v="3"/>
    <x v="7"/>
    <x v="1"/>
  </r>
  <r>
    <x v="1331"/>
    <x v="4"/>
    <x v="13"/>
    <n v="50.6"/>
    <n v="303.60000000000002"/>
    <x v="50"/>
    <x v="54"/>
    <x v="2"/>
    <x v="2"/>
    <x v="0"/>
    <x v="3"/>
    <x v="5"/>
    <x v="7"/>
    <x v="2"/>
  </r>
  <r>
    <x v="1332"/>
    <x v="9"/>
    <x v="38"/>
    <n v="86.9"/>
    <n v="1824.9"/>
    <x v="50"/>
    <x v="55"/>
    <x v="2"/>
    <x v="0"/>
    <x v="1"/>
    <x v="3"/>
    <x v="2"/>
    <x v="7"/>
    <x v="2"/>
  </r>
  <r>
    <x v="1333"/>
    <x v="11"/>
    <x v="2"/>
    <n v="31.8"/>
    <n v="95.4"/>
    <x v="50"/>
    <x v="56"/>
    <x v="1"/>
    <x v="0"/>
    <x v="2"/>
    <x v="3"/>
    <x v="1"/>
    <x v="7"/>
    <x v="1"/>
  </r>
  <r>
    <x v="1334"/>
    <x v="8"/>
    <x v="0"/>
    <n v="19"/>
    <n v="19"/>
    <x v="50"/>
    <x v="47"/>
    <x v="2"/>
    <x v="0"/>
    <x v="2"/>
    <x v="3"/>
    <x v="3"/>
    <x v="7"/>
    <x v="2"/>
  </r>
  <r>
    <x v="1335"/>
    <x v="5"/>
    <x v="0"/>
    <n v="54.5"/>
    <n v="54.5"/>
    <x v="50"/>
    <x v="56"/>
    <x v="1"/>
    <x v="0"/>
    <x v="0"/>
    <x v="3"/>
    <x v="1"/>
    <x v="7"/>
    <x v="1"/>
  </r>
  <r>
    <x v="1336"/>
    <x v="9"/>
    <x v="9"/>
    <n v="68.900000000000006"/>
    <n v="344.5"/>
    <x v="50"/>
    <x v="56"/>
    <x v="1"/>
    <x v="4"/>
    <x v="1"/>
    <x v="3"/>
    <x v="1"/>
    <x v="7"/>
    <x v="1"/>
  </r>
  <r>
    <x v="1337"/>
    <x v="6"/>
    <x v="2"/>
    <n v="84"/>
    <n v="252"/>
    <x v="50"/>
    <x v="47"/>
    <x v="1"/>
    <x v="1"/>
    <x v="4"/>
    <x v="16"/>
    <x v="3"/>
    <x v="7"/>
    <x v="1"/>
  </r>
  <r>
    <x v="1338"/>
    <x v="15"/>
    <x v="8"/>
    <n v="23.1"/>
    <n v="184.8"/>
    <x v="50"/>
    <x v="51"/>
    <x v="1"/>
    <x v="0"/>
    <x v="2"/>
    <x v="23"/>
    <x v="0"/>
    <x v="7"/>
    <x v="1"/>
  </r>
  <r>
    <x v="1339"/>
    <x v="7"/>
    <x v="1"/>
    <n v="62.4"/>
    <n v="124.8"/>
    <x v="50"/>
    <x v="47"/>
    <x v="2"/>
    <x v="0"/>
    <x v="1"/>
    <x v="6"/>
    <x v="3"/>
    <x v="7"/>
    <x v="2"/>
  </r>
  <r>
    <x v="1340"/>
    <x v="6"/>
    <x v="4"/>
    <n v="40.700000000000003"/>
    <n v="488.4"/>
    <x v="50"/>
    <x v="56"/>
    <x v="1"/>
    <x v="1"/>
    <x v="2"/>
    <x v="6"/>
    <x v="1"/>
    <x v="7"/>
    <x v="1"/>
  </r>
  <r>
    <x v="1341"/>
    <x v="6"/>
    <x v="0"/>
    <n v="49.6"/>
    <n v="49.6"/>
    <x v="50"/>
    <x v="55"/>
    <x v="1"/>
    <x v="2"/>
    <x v="0"/>
    <x v="7"/>
    <x v="2"/>
    <x v="7"/>
    <x v="1"/>
  </r>
  <r>
    <x v="1342"/>
    <x v="7"/>
    <x v="41"/>
    <n v="66.599999999999994"/>
    <n v="2997"/>
    <x v="50"/>
    <x v="55"/>
    <x v="1"/>
    <x v="2"/>
    <x v="0"/>
    <x v="8"/>
    <x v="2"/>
    <x v="7"/>
    <x v="1"/>
  </r>
  <r>
    <x v="1343"/>
    <x v="8"/>
    <x v="2"/>
    <n v="26.4"/>
    <n v="79.199999999999989"/>
    <x v="50"/>
    <x v="47"/>
    <x v="2"/>
    <x v="1"/>
    <x v="1"/>
    <x v="8"/>
    <x v="3"/>
    <x v="7"/>
    <x v="2"/>
  </r>
  <r>
    <x v="1344"/>
    <x v="0"/>
    <x v="1"/>
    <n v="17.2"/>
    <n v="34.4"/>
    <x v="50"/>
    <x v="55"/>
    <x v="1"/>
    <x v="2"/>
    <x v="1"/>
    <x v="8"/>
    <x v="2"/>
    <x v="7"/>
    <x v="1"/>
  </r>
  <r>
    <x v="1345"/>
    <x v="5"/>
    <x v="8"/>
    <n v="58.1"/>
    <n v="464.8"/>
    <x v="50"/>
    <x v="55"/>
    <x v="2"/>
    <x v="4"/>
    <x v="0"/>
    <x v="8"/>
    <x v="2"/>
    <x v="7"/>
    <x v="2"/>
  </r>
  <r>
    <x v="1346"/>
    <x v="15"/>
    <x v="12"/>
    <n v="31.5"/>
    <n v="126"/>
    <x v="50"/>
    <x v="55"/>
    <x v="2"/>
    <x v="4"/>
    <x v="4"/>
    <x v="8"/>
    <x v="2"/>
    <x v="7"/>
    <x v="2"/>
  </r>
  <r>
    <x v="1347"/>
    <x v="0"/>
    <x v="0"/>
    <n v="27.1"/>
    <n v="27.1"/>
    <x v="50"/>
    <x v="56"/>
    <x v="2"/>
    <x v="0"/>
    <x v="1"/>
    <x v="17"/>
    <x v="1"/>
    <x v="7"/>
    <x v="2"/>
  </r>
  <r>
    <x v="1348"/>
    <x v="18"/>
    <x v="12"/>
    <n v="28.5"/>
    <n v="114"/>
    <x v="50"/>
    <x v="56"/>
    <x v="1"/>
    <x v="1"/>
    <x v="2"/>
    <x v="9"/>
    <x v="1"/>
    <x v="7"/>
    <x v="1"/>
  </r>
  <r>
    <x v="1349"/>
    <x v="10"/>
    <x v="0"/>
    <n v="40.5"/>
    <n v="40.5"/>
    <x v="51"/>
    <x v="55"/>
    <x v="3"/>
    <x v="2"/>
    <x v="0"/>
    <x v="9"/>
    <x v="1"/>
    <x v="7"/>
    <x v="3"/>
  </r>
  <r>
    <x v="1350"/>
    <x v="2"/>
    <x v="2"/>
    <n v="77.900000000000006"/>
    <n v="233.7"/>
    <x v="51"/>
    <x v="51"/>
    <x v="2"/>
    <x v="1"/>
    <x v="2"/>
    <x v="19"/>
    <x v="5"/>
    <x v="7"/>
    <x v="2"/>
  </r>
  <r>
    <x v="1351"/>
    <x v="18"/>
    <x v="12"/>
    <n v="37.1"/>
    <n v="148.4"/>
    <x v="51"/>
    <x v="55"/>
    <x v="1"/>
    <x v="4"/>
    <x v="2"/>
    <x v="19"/>
    <x v="1"/>
    <x v="7"/>
    <x v="1"/>
  </r>
  <r>
    <x v="1352"/>
    <x v="16"/>
    <x v="2"/>
    <n v="51.6"/>
    <n v="154.80000000000001"/>
    <x v="51"/>
    <x v="59"/>
    <x v="2"/>
    <x v="0"/>
    <x v="4"/>
    <x v="19"/>
    <x v="9"/>
    <x v="7"/>
    <x v="2"/>
  </r>
  <r>
    <x v="1353"/>
    <x v="7"/>
    <x v="2"/>
    <n v="98"/>
    <n v="294"/>
    <x v="51"/>
    <x v="56"/>
    <x v="1"/>
    <x v="1"/>
    <x v="1"/>
    <x v="19"/>
    <x v="3"/>
    <x v="7"/>
    <x v="1"/>
  </r>
  <r>
    <x v="1354"/>
    <x v="6"/>
    <x v="3"/>
    <n v="41.4"/>
    <n v="289.8"/>
    <x v="51"/>
    <x v="56"/>
    <x v="1"/>
    <x v="1"/>
    <x v="0"/>
    <x v="20"/>
    <x v="3"/>
    <x v="7"/>
    <x v="1"/>
  </r>
  <r>
    <x v="1355"/>
    <x v="11"/>
    <x v="8"/>
    <n v="34"/>
    <n v="272"/>
    <x v="51"/>
    <x v="52"/>
    <x v="2"/>
    <x v="0"/>
    <x v="2"/>
    <x v="28"/>
    <x v="0"/>
    <x v="7"/>
    <x v="2"/>
  </r>
  <r>
    <x v="1356"/>
    <x v="6"/>
    <x v="0"/>
    <n v="66.3"/>
    <n v="66.3"/>
    <x v="51"/>
    <x v="56"/>
    <x v="2"/>
    <x v="1"/>
    <x v="0"/>
    <x v="13"/>
    <x v="3"/>
    <x v="7"/>
    <x v="2"/>
  </r>
  <r>
    <x v="1357"/>
    <x v="7"/>
    <x v="0"/>
    <n v="33.5"/>
    <n v="33.5"/>
    <x v="51"/>
    <x v="51"/>
    <x v="1"/>
    <x v="2"/>
    <x v="0"/>
    <x v="13"/>
    <x v="5"/>
    <x v="7"/>
    <x v="1"/>
  </r>
  <r>
    <x v="1358"/>
    <x v="12"/>
    <x v="1"/>
    <n v="70.8"/>
    <n v="141.6"/>
    <x v="51"/>
    <x v="56"/>
    <x v="0"/>
    <x v="0"/>
    <x v="0"/>
    <x v="28"/>
    <x v="3"/>
    <x v="7"/>
    <x v="0"/>
  </r>
  <r>
    <x v="1359"/>
    <x v="6"/>
    <x v="1"/>
    <n v="127.6"/>
    <n v="255.2"/>
    <x v="51"/>
    <x v="56"/>
    <x v="1"/>
    <x v="0"/>
    <x v="0"/>
    <x v="21"/>
    <x v="3"/>
    <x v="7"/>
    <x v="1"/>
  </r>
  <r>
    <x v="1360"/>
    <x v="6"/>
    <x v="2"/>
    <n v="95.9"/>
    <n v="287.7"/>
    <x v="51"/>
    <x v="56"/>
    <x v="2"/>
    <x v="1"/>
    <x v="1"/>
    <x v="21"/>
    <x v="3"/>
    <x v="7"/>
    <x v="2"/>
  </r>
  <r>
    <x v="1361"/>
    <x v="2"/>
    <x v="1"/>
    <n v="78.099999999999994"/>
    <n v="156.19999999999999"/>
    <x v="51"/>
    <x v="56"/>
    <x v="1"/>
    <x v="0"/>
    <x v="0"/>
    <x v="1"/>
    <x v="3"/>
    <x v="7"/>
    <x v="1"/>
  </r>
  <r>
    <x v="1362"/>
    <x v="13"/>
    <x v="1"/>
    <n v="43.2"/>
    <n v="86.4"/>
    <x v="51"/>
    <x v="56"/>
    <x v="0"/>
    <x v="1"/>
    <x v="1"/>
    <x v="1"/>
    <x v="3"/>
    <x v="7"/>
    <x v="0"/>
  </r>
  <r>
    <x v="1363"/>
    <x v="8"/>
    <x v="12"/>
    <n v="28.4"/>
    <n v="113.6"/>
    <x v="51"/>
    <x v="53"/>
    <x v="1"/>
    <x v="2"/>
    <x v="0"/>
    <x v="3"/>
    <x v="4"/>
    <x v="7"/>
    <x v="1"/>
  </r>
  <r>
    <x v="1364"/>
    <x v="2"/>
    <x v="1"/>
    <n v="81.7"/>
    <n v="163.4"/>
    <x v="51"/>
    <x v="47"/>
    <x v="1"/>
    <x v="0"/>
    <x v="0"/>
    <x v="3"/>
    <x v="7"/>
    <x v="7"/>
    <x v="1"/>
  </r>
  <r>
    <x v="1365"/>
    <x v="18"/>
    <x v="1"/>
    <n v="56.7"/>
    <n v="113.4"/>
    <x v="51"/>
    <x v="55"/>
    <x v="0"/>
    <x v="0"/>
    <x v="2"/>
    <x v="3"/>
    <x v="1"/>
    <x v="7"/>
    <x v="0"/>
  </r>
  <r>
    <x v="1366"/>
    <x v="3"/>
    <x v="12"/>
    <n v="66.5"/>
    <n v="266"/>
    <x v="51"/>
    <x v="47"/>
    <x v="2"/>
    <x v="0"/>
    <x v="2"/>
    <x v="3"/>
    <x v="7"/>
    <x v="7"/>
    <x v="2"/>
  </r>
  <r>
    <x v="1367"/>
    <x v="1"/>
    <x v="1"/>
    <n v="105.3"/>
    <n v="210.6"/>
    <x v="51"/>
    <x v="51"/>
    <x v="1"/>
    <x v="0"/>
    <x v="1"/>
    <x v="3"/>
    <x v="5"/>
    <x v="7"/>
    <x v="1"/>
  </r>
  <r>
    <x v="1368"/>
    <x v="10"/>
    <x v="9"/>
    <n v="33.799999999999997"/>
    <n v="169"/>
    <x v="51"/>
    <x v="52"/>
    <x v="1"/>
    <x v="0"/>
    <x v="0"/>
    <x v="3"/>
    <x v="0"/>
    <x v="7"/>
    <x v="1"/>
  </r>
  <r>
    <x v="1369"/>
    <x v="6"/>
    <x v="2"/>
    <n v="63.4"/>
    <n v="190.2"/>
    <x v="51"/>
    <x v="52"/>
    <x v="1"/>
    <x v="3"/>
    <x v="1"/>
    <x v="24"/>
    <x v="0"/>
    <x v="7"/>
    <x v="1"/>
  </r>
  <r>
    <x v="1370"/>
    <x v="6"/>
    <x v="2"/>
    <n v="49"/>
    <n v="147"/>
    <x v="51"/>
    <x v="51"/>
    <x v="1"/>
    <x v="3"/>
    <x v="0"/>
    <x v="25"/>
    <x v="5"/>
    <x v="7"/>
    <x v="1"/>
  </r>
  <r>
    <x v="1371"/>
    <x v="1"/>
    <x v="1"/>
    <n v="40"/>
    <n v="80"/>
    <x v="51"/>
    <x v="56"/>
    <x v="2"/>
    <x v="4"/>
    <x v="1"/>
    <x v="23"/>
    <x v="3"/>
    <x v="7"/>
    <x v="2"/>
  </r>
  <r>
    <x v="1372"/>
    <x v="6"/>
    <x v="12"/>
    <n v="86.3"/>
    <n v="345.2"/>
    <x v="51"/>
    <x v="56"/>
    <x v="3"/>
    <x v="0"/>
    <x v="0"/>
    <x v="6"/>
    <x v="3"/>
    <x v="7"/>
    <x v="3"/>
  </r>
  <r>
    <x v="1373"/>
    <x v="6"/>
    <x v="0"/>
    <n v="51.6"/>
    <n v="51.6"/>
    <x v="51"/>
    <x v="55"/>
    <x v="2"/>
    <x v="2"/>
    <x v="2"/>
    <x v="6"/>
    <x v="1"/>
    <x v="7"/>
    <x v="2"/>
  </r>
  <r>
    <x v="1374"/>
    <x v="10"/>
    <x v="2"/>
    <n v="26.7"/>
    <n v="80.099999999999994"/>
    <x v="51"/>
    <x v="52"/>
    <x v="2"/>
    <x v="2"/>
    <x v="1"/>
    <x v="6"/>
    <x v="0"/>
    <x v="7"/>
    <x v="2"/>
  </r>
  <r>
    <x v="1375"/>
    <x v="18"/>
    <x v="1"/>
    <n v="68.099999999999994"/>
    <n v="136.19999999999999"/>
    <x v="51"/>
    <x v="56"/>
    <x v="1"/>
    <x v="0"/>
    <x v="1"/>
    <x v="6"/>
    <x v="3"/>
    <x v="7"/>
    <x v="1"/>
  </r>
  <r>
    <x v="1376"/>
    <x v="1"/>
    <x v="0"/>
    <n v="81.7"/>
    <n v="81.7"/>
    <x v="51"/>
    <x v="56"/>
    <x v="1"/>
    <x v="0"/>
    <x v="0"/>
    <x v="7"/>
    <x v="3"/>
    <x v="7"/>
    <x v="1"/>
  </r>
  <r>
    <x v="1377"/>
    <x v="18"/>
    <x v="7"/>
    <n v="25.1"/>
    <n v="251"/>
    <x v="51"/>
    <x v="54"/>
    <x v="1"/>
    <x v="3"/>
    <x v="1"/>
    <x v="8"/>
    <x v="2"/>
    <x v="7"/>
    <x v="1"/>
  </r>
  <r>
    <x v="1378"/>
    <x v="8"/>
    <x v="0"/>
    <n v="20.2"/>
    <n v="20.2"/>
    <x v="51"/>
    <x v="51"/>
    <x v="2"/>
    <x v="0"/>
    <x v="0"/>
    <x v="8"/>
    <x v="5"/>
    <x v="7"/>
    <x v="2"/>
  </r>
  <r>
    <x v="1379"/>
    <x v="8"/>
    <x v="2"/>
    <n v="15.4"/>
    <n v="46.2"/>
    <x v="51"/>
    <x v="56"/>
    <x v="1"/>
    <x v="1"/>
    <x v="2"/>
    <x v="8"/>
    <x v="3"/>
    <x v="7"/>
    <x v="1"/>
  </r>
  <r>
    <x v="1380"/>
    <x v="10"/>
    <x v="0"/>
    <n v="59.2"/>
    <n v="59.2"/>
    <x v="51"/>
    <x v="56"/>
    <x v="1"/>
    <x v="2"/>
    <x v="2"/>
    <x v="17"/>
    <x v="3"/>
    <x v="7"/>
    <x v="1"/>
  </r>
  <r>
    <x v="1381"/>
    <x v="0"/>
    <x v="0"/>
    <n v="46.7"/>
    <n v="46.7"/>
    <x v="51"/>
    <x v="52"/>
    <x v="1"/>
    <x v="0"/>
    <x v="0"/>
    <x v="17"/>
    <x v="0"/>
    <x v="7"/>
    <x v="1"/>
  </r>
  <r>
    <x v="1382"/>
    <x v="6"/>
    <x v="20"/>
    <n v="41.6"/>
    <n v="624"/>
    <x v="51"/>
    <x v="55"/>
    <x v="1"/>
    <x v="1"/>
    <x v="0"/>
    <x v="26"/>
    <x v="1"/>
    <x v="7"/>
    <x v="1"/>
  </r>
  <r>
    <x v="1383"/>
    <x v="8"/>
    <x v="1"/>
    <n v="19.2"/>
    <n v="38.4"/>
    <x v="51"/>
    <x v="54"/>
    <x v="1"/>
    <x v="4"/>
    <x v="2"/>
    <x v="9"/>
    <x v="2"/>
    <x v="7"/>
    <x v="1"/>
  </r>
  <r>
    <x v="1384"/>
    <x v="17"/>
    <x v="3"/>
    <n v="41.8"/>
    <n v="292.60000000000002"/>
    <x v="51"/>
    <x v="55"/>
    <x v="2"/>
    <x v="2"/>
    <x v="0"/>
    <x v="11"/>
    <x v="1"/>
    <x v="7"/>
    <x v="2"/>
  </r>
  <r>
    <x v="1385"/>
    <x v="8"/>
    <x v="13"/>
    <n v="37.4"/>
    <n v="224.4"/>
    <x v="51"/>
    <x v="55"/>
    <x v="1"/>
    <x v="0"/>
    <x v="2"/>
    <x v="11"/>
    <x v="1"/>
    <x v="7"/>
    <x v="1"/>
  </r>
  <r>
    <x v="1386"/>
    <x v="10"/>
    <x v="2"/>
    <n v="60.2"/>
    <n v="180.6"/>
    <x v="51"/>
    <x v="54"/>
    <x v="1"/>
    <x v="4"/>
    <x v="1"/>
    <x v="12"/>
    <x v="2"/>
    <x v="7"/>
    <x v="1"/>
  </r>
  <r>
    <x v="1387"/>
    <x v="9"/>
    <x v="1"/>
    <n v="91.5"/>
    <n v="183"/>
    <x v="52"/>
    <x v="55"/>
    <x v="1"/>
    <x v="0"/>
    <x v="0"/>
    <x v="13"/>
    <x v="3"/>
    <x v="7"/>
    <x v="1"/>
  </r>
  <r>
    <x v="1388"/>
    <x v="3"/>
    <x v="9"/>
    <n v="55.7"/>
    <n v="278.5"/>
    <x v="52"/>
    <x v="54"/>
    <x v="0"/>
    <x v="1"/>
    <x v="2"/>
    <x v="21"/>
    <x v="1"/>
    <x v="7"/>
    <x v="0"/>
  </r>
  <r>
    <x v="1389"/>
    <x v="7"/>
    <x v="1"/>
    <n v="76.7"/>
    <n v="153.4"/>
    <x v="52"/>
    <x v="54"/>
    <x v="1"/>
    <x v="0"/>
    <x v="1"/>
    <x v="21"/>
    <x v="1"/>
    <x v="7"/>
    <x v="1"/>
  </r>
  <r>
    <x v="1390"/>
    <x v="8"/>
    <x v="38"/>
    <n v="28.2"/>
    <n v="592.19999999999993"/>
    <x v="52"/>
    <x v="53"/>
    <x v="1"/>
    <x v="2"/>
    <x v="0"/>
    <x v="1"/>
    <x v="0"/>
    <x v="7"/>
    <x v="1"/>
  </r>
  <r>
    <x v="1391"/>
    <x v="7"/>
    <x v="9"/>
    <n v="93.2"/>
    <n v="466"/>
    <x v="52"/>
    <x v="54"/>
    <x v="2"/>
    <x v="4"/>
    <x v="2"/>
    <x v="1"/>
    <x v="1"/>
    <x v="7"/>
    <x v="2"/>
  </r>
  <r>
    <x v="1392"/>
    <x v="17"/>
    <x v="0"/>
    <n v="33.299999999999997"/>
    <n v="33.299999999999997"/>
    <x v="52"/>
    <x v="55"/>
    <x v="1"/>
    <x v="4"/>
    <x v="0"/>
    <x v="2"/>
    <x v="3"/>
    <x v="7"/>
    <x v="1"/>
  </r>
  <r>
    <x v="1393"/>
    <x v="10"/>
    <x v="1"/>
    <n v="39.1"/>
    <n v="78.2"/>
    <x v="52"/>
    <x v="51"/>
    <x v="1"/>
    <x v="0"/>
    <x v="0"/>
    <x v="20"/>
    <x v="2"/>
    <x v="7"/>
    <x v="1"/>
  </r>
  <r>
    <x v="1394"/>
    <x v="7"/>
    <x v="4"/>
    <n v="45.3"/>
    <n v="543.59999999999991"/>
    <x v="52"/>
    <x v="55"/>
    <x v="1"/>
    <x v="2"/>
    <x v="0"/>
    <x v="33"/>
    <x v="3"/>
    <x v="7"/>
    <x v="1"/>
  </r>
  <r>
    <x v="1395"/>
    <x v="9"/>
    <x v="3"/>
    <n v="33.9"/>
    <n v="237.3"/>
    <x v="52"/>
    <x v="55"/>
    <x v="1"/>
    <x v="4"/>
    <x v="0"/>
    <x v="33"/>
    <x v="3"/>
    <x v="7"/>
    <x v="1"/>
  </r>
  <r>
    <x v="1396"/>
    <x v="8"/>
    <x v="2"/>
    <n v="19"/>
    <n v="57"/>
    <x v="52"/>
    <x v="55"/>
    <x v="1"/>
    <x v="0"/>
    <x v="2"/>
    <x v="15"/>
    <x v="3"/>
    <x v="7"/>
    <x v="1"/>
  </r>
  <r>
    <x v="1397"/>
    <x v="4"/>
    <x v="0"/>
    <n v="41.9"/>
    <n v="41.9"/>
    <x v="52"/>
    <x v="51"/>
    <x v="2"/>
    <x v="2"/>
    <x v="0"/>
    <x v="22"/>
    <x v="2"/>
    <x v="7"/>
    <x v="2"/>
  </r>
  <r>
    <x v="1398"/>
    <x v="1"/>
    <x v="12"/>
    <n v="37.5"/>
    <n v="150"/>
    <x v="52"/>
    <x v="56"/>
    <x v="2"/>
    <x v="0"/>
    <x v="0"/>
    <x v="3"/>
    <x v="7"/>
    <x v="7"/>
    <x v="2"/>
  </r>
  <r>
    <x v="1399"/>
    <x v="0"/>
    <x v="1"/>
    <n v="40.799999999999997"/>
    <n v="81.599999999999994"/>
    <x v="52"/>
    <x v="51"/>
    <x v="1"/>
    <x v="0"/>
    <x v="0"/>
    <x v="3"/>
    <x v="2"/>
    <x v="7"/>
    <x v="1"/>
  </r>
  <r>
    <x v="1400"/>
    <x v="0"/>
    <x v="12"/>
    <n v="23.1"/>
    <n v="92.4"/>
    <x v="52"/>
    <x v="55"/>
    <x v="2"/>
    <x v="4"/>
    <x v="0"/>
    <x v="3"/>
    <x v="3"/>
    <x v="7"/>
    <x v="2"/>
  </r>
  <r>
    <x v="1401"/>
    <x v="8"/>
    <x v="9"/>
    <n v="39.299999999999997"/>
    <n v="196.5"/>
    <x v="52"/>
    <x v="55"/>
    <x v="2"/>
    <x v="0"/>
    <x v="0"/>
    <x v="3"/>
    <x v="3"/>
    <x v="7"/>
    <x v="2"/>
  </r>
  <r>
    <x v="1402"/>
    <x v="2"/>
    <x v="12"/>
    <n v="85.2"/>
    <n v="340.8"/>
    <x v="52"/>
    <x v="53"/>
    <x v="1"/>
    <x v="2"/>
    <x v="0"/>
    <x v="3"/>
    <x v="0"/>
    <x v="7"/>
    <x v="1"/>
  </r>
  <r>
    <x v="1403"/>
    <x v="8"/>
    <x v="13"/>
    <n v="16"/>
    <n v="96"/>
    <x v="52"/>
    <x v="51"/>
    <x v="1"/>
    <x v="1"/>
    <x v="0"/>
    <x v="3"/>
    <x v="2"/>
    <x v="7"/>
    <x v="1"/>
  </r>
  <r>
    <x v="1404"/>
    <x v="1"/>
    <x v="1"/>
    <n v="33.799999999999997"/>
    <n v="67.599999999999994"/>
    <x v="52"/>
    <x v="52"/>
    <x v="2"/>
    <x v="1"/>
    <x v="0"/>
    <x v="3"/>
    <x v="5"/>
    <x v="7"/>
    <x v="2"/>
  </r>
  <r>
    <x v="1405"/>
    <x v="3"/>
    <x v="0"/>
    <n v="70"/>
    <n v="70"/>
    <x v="52"/>
    <x v="55"/>
    <x v="2"/>
    <x v="0"/>
    <x v="0"/>
    <x v="3"/>
    <x v="3"/>
    <x v="7"/>
    <x v="2"/>
  </r>
  <r>
    <x v="1406"/>
    <x v="9"/>
    <x v="0"/>
    <n v="88"/>
    <n v="88"/>
    <x v="52"/>
    <x v="53"/>
    <x v="2"/>
    <x v="3"/>
    <x v="0"/>
    <x v="3"/>
    <x v="0"/>
    <x v="7"/>
    <x v="2"/>
  </r>
  <r>
    <x v="1407"/>
    <x v="2"/>
    <x v="2"/>
    <n v="74.099999999999994"/>
    <n v="222.3"/>
    <x v="52"/>
    <x v="56"/>
    <x v="1"/>
    <x v="4"/>
    <x v="1"/>
    <x v="3"/>
    <x v="7"/>
    <x v="7"/>
    <x v="1"/>
  </r>
  <r>
    <x v="1408"/>
    <x v="2"/>
    <x v="0"/>
    <n v="161.9"/>
    <n v="161.9"/>
    <x v="52"/>
    <x v="54"/>
    <x v="1"/>
    <x v="2"/>
    <x v="0"/>
    <x v="3"/>
    <x v="1"/>
    <x v="7"/>
    <x v="1"/>
  </r>
  <r>
    <x v="1409"/>
    <x v="4"/>
    <x v="1"/>
    <n v="44"/>
    <n v="88"/>
    <x v="52"/>
    <x v="55"/>
    <x v="3"/>
    <x v="4"/>
    <x v="1"/>
    <x v="3"/>
    <x v="3"/>
    <x v="7"/>
    <x v="3"/>
  </r>
  <r>
    <x v="1410"/>
    <x v="11"/>
    <x v="0"/>
    <n v="32.1"/>
    <n v="32.1"/>
    <x v="52"/>
    <x v="56"/>
    <x v="2"/>
    <x v="3"/>
    <x v="3"/>
    <x v="3"/>
    <x v="7"/>
    <x v="7"/>
    <x v="2"/>
  </r>
  <r>
    <x v="1411"/>
    <x v="2"/>
    <x v="12"/>
    <n v="104.8"/>
    <n v="419.2"/>
    <x v="53"/>
    <x v="51"/>
    <x v="3"/>
    <x v="0"/>
    <x v="0"/>
    <x v="3"/>
    <x v="1"/>
    <x v="8"/>
    <x v="3"/>
  </r>
  <r>
    <x v="1412"/>
    <x v="9"/>
    <x v="13"/>
    <n v="67.400000000000006"/>
    <n v="404.4"/>
    <x v="53"/>
    <x v="54"/>
    <x v="2"/>
    <x v="3"/>
    <x v="0"/>
    <x v="3"/>
    <x v="3"/>
    <x v="8"/>
    <x v="2"/>
  </r>
  <r>
    <x v="1413"/>
    <x v="6"/>
    <x v="1"/>
    <n v="115.2"/>
    <n v="230.4"/>
    <x v="53"/>
    <x v="54"/>
    <x v="2"/>
    <x v="1"/>
    <x v="0"/>
    <x v="4"/>
    <x v="3"/>
    <x v="8"/>
    <x v="2"/>
  </r>
  <r>
    <x v="1414"/>
    <x v="8"/>
    <x v="19"/>
    <n v="15.5"/>
    <n v="449.5"/>
    <x v="53"/>
    <x v="51"/>
    <x v="2"/>
    <x v="0"/>
    <x v="1"/>
    <x v="23"/>
    <x v="1"/>
    <x v="8"/>
    <x v="2"/>
  </r>
  <r>
    <x v="1415"/>
    <x v="6"/>
    <x v="5"/>
    <n v="66.400000000000006"/>
    <n v="730.40000000000009"/>
    <x v="53"/>
    <x v="51"/>
    <x v="2"/>
    <x v="0"/>
    <x v="0"/>
    <x v="6"/>
    <x v="1"/>
    <x v="8"/>
    <x v="2"/>
  </r>
  <r>
    <x v="1416"/>
    <x v="9"/>
    <x v="4"/>
    <n v="68.099999999999994"/>
    <n v="817.19999999999993"/>
    <x v="53"/>
    <x v="54"/>
    <x v="2"/>
    <x v="2"/>
    <x v="0"/>
    <x v="8"/>
    <x v="3"/>
    <x v="8"/>
    <x v="2"/>
  </r>
  <r>
    <x v="1417"/>
    <x v="8"/>
    <x v="9"/>
    <n v="32.5"/>
    <n v="162.5"/>
    <x v="53"/>
    <x v="53"/>
    <x v="1"/>
    <x v="2"/>
    <x v="1"/>
    <x v="8"/>
    <x v="5"/>
    <x v="8"/>
    <x v="1"/>
  </r>
  <r>
    <x v="1418"/>
    <x v="15"/>
    <x v="2"/>
    <n v="61.2"/>
    <n v="183.6"/>
    <x v="53"/>
    <x v="51"/>
    <x v="2"/>
    <x v="1"/>
    <x v="1"/>
    <x v="8"/>
    <x v="1"/>
    <x v="8"/>
    <x v="2"/>
  </r>
  <r>
    <x v="1419"/>
    <x v="9"/>
    <x v="1"/>
    <n v="54.2"/>
    <n v="108.4"/>
    <x v="53"/>
    <x v="54"/>
    <x v="2"/>
    <x v="1"/>
    <x v="0"/>
    <x v="8"/>
    <x v="3"/>
    <x v="8"/>
    <x v="2"/>
  </r>
  <r>
    <x v="1420"/>
    <x v="11"/>
    <x v="8"/>
    <n v="28.7"/>
    <n v="229.6"/>
    <x v="53"/>
    <x v="51"/>
    <x v="1"/>
    <x v="1"/>
    <x v="0"/>
    <x v="9"/>
    <x v="1"/>
    <x v="8"/>
    <x v="1"/>
  </r>
  <r>
    <x v="1421"/>
    <x v="12"/>
    <x v="13"/>
    <n v="38.200000000000003"/>
    <n v="229.2"/>
    <x v="53"/>
    <x v="53"/>
    <x v="2"/>
    <x v="0"/>
    <x v="1"/>
    <x v="9"/>
    <x v="5"/>
    <x v="8"/>
    <x v="2"/>
  </r>
  <r>
    <x v="1422"/>
    <x v="8"/>
    <x v="4"/>
    <n v="17.600000000000001"/>
    <n v="211.2"/>
    <x v="53"/>
    <x v="54"/>
    <x v="2"/>
    <x v="2"/>
    <x v="1"/>
    <x v="9"/>
    <x v="3"/>
    <x v="8"/>
    <x v="2"/>
  </r>
  <r>
    <x v="1423"/>
    <x v="10"/>
    <x v="2"/>
    <n v="74.599999999999994"/>
    <n v="223.8"/>
    <x v="53"/>
    <x v="55"/>
    <x v="2"/>
    <x v="2"/>
    <x v="0"/>
    <x v="11"/>
    <x v="7"/>
    <x v="8"/>
    <x v="2"/>
  </r>
  <r>
    <x v="1424"/>
    <x v="16"/>
    <x v="20"/>
    <n v="72.599999999999994"/>
    <n v="1089"/>
    <x v="53"/>
    <x v="55"/>
    <x v="0"/>
    <x v="1"/>
    <x v="1"/>
    <x v="11"/>
    <x v="7"/>
    <x v="8"/>
    <x v="0"/>
  </r>
  <r>
    <x v="1425"/>
    <x v="7"/>
    <x v="0"/>
    <n v="62.3"/>
    <n v="62.3"/>
    <x v="53"/>
    <x v="54"/>
    <x v="2"/>
    <x v="1"/>
    <x v="0"/>
    <x v="11"/>
    <x v="3"/>
    <x v="8"/>
    <x v="2"/>
  </r>
  <r>
    <x v="1426"/>
    <x v="3"/>
    <x v="2"/>
    <n v="33.799999999999997"/>
    <n v="101.4"/>
    <x v="53"/>
    <x v="51"/>
    <x v="1"/>
    <x v="0"/>
    <x v="2"/>
    <x v="20"/>
    <x v="1"/>
    <x v="8"/>
    <x v="1"/>
  </r>
  <r>
    <x v="1427"/>
    <x v="9"/>
    <x v="0"/>
    <n v="85.7"/>
    <n v="85.7"/>
    <x v="53"/>
    <x v="52"/>
    <x v="1"/>
    <x v="3"/>
    <x v="1"/>
    <x v="21"/>
    <x v="2"/>
    <x v="8"/>
    <x v="1"/>
  </r>
  <r>
    <x v="1428"/>
    <x v="6"/>
    <x v="1"/>
    <n v="92.1"/>
    <n v="184.2"/>
    <x v="53"/>
    <x v="51"/>
    <x v="1"/>
    <x v="1"/>
    <x v="0"/>
    <x v="21"/>
    <x v="1"/>
    <x v="8"/>
    <x v="1"/>
  </r>
  <r>
    <x v="1429"/>
    <x v="16"/>
    <x v="2"/>
    <n v="65.099999999999994"/>
    <n v="195.3"/>
    <x v="53"/>
    <x v="52"/>
    <x v="1"/>
    <x v="0"/>
    <x v="0"/>
    <x v="1"/>
    <x v="2"/>
    <x v="8"/>
    <x v="1"/>
  </r>
  <r>
    <x v="1430"/>
    <x v="9"/>
    <x v="3"/>
    <n v="20.3"/>
    <n v="142.1"/>
    <x v="53"/>
    <x v="54"/>
    <x v="2"/>
    <x v="2"/>
    <x v="2"/>
    <x v="2"/>
    <x v="3"/>
    <x v="8"/>
    <x v="2"/>
  </r>
  <r>
    <x v="1431"/>
    <x v="19"/>
    <x v="1"/>
    <n v="29.8"/>
    <n v="59.6"/>
    <x v="53"/>
    <x v="51"/>
    <x v="2"/>
    <x v="1"/>
    <x v="2"/>
    <x v="0"/>
    <x v="1"/>
    <x v="8"/>
    <x v="2"/>
  </r>
  <r>
    <x v="1432"/>
    <x v="0"/>
    <x v="1"/>
    <n v="24.2"/>
    <n v="48.4"/>
    <x v="53"/>
    <x v="51"/>
    <x v="2"/>
    <x v="3"/>
    <x v="2"/>
    <x v="3"/>
    <x v="1"/>
    <x v="8"/>
    <x v="2"/>
  </r>
  <r>
    <x v="1433"/>
    <x v="3"/>
    <x v="0"/>
    <n v="57.3"/>
    <n v="57.3"/>
    <x v="53"/>
    <x v="51"/>
    <x v="1"/>
    <x v="0"/>
    <x v="0"/>
    <x v="3"/>
    <x v="1"/>
    <x v="8"/>
    <x v="1"/>
  </r>
  <r>
    <x v="1434"/>
    <x v="2"/>
    <x v="0"/>
    <n v="108.9"/>
    <n v="108.9"/>
    <x v="53"/>
    <x v="51"/>
    <x v="2"/>
    <x v="1"/>
    <x v="0"/>
    <x v="3"/>
    <x v="1"/>
    <x v="8"/>
    <x v="2"/>
  </r>
  <r>
    <x v="1435"/>
    <x v="7"/>
    <x v="9"/>
    <n v="50.7"/>
    <n v="253.5"/>
    <x v="53"/>
    <x v="54"/>
    <x v="2"/>
    <x v="0"/>
    <x v="0"/>
    <x v="3"/>
    <x v="3"/>
    <x v="8"/>
    <x v="2"/>
  </r>
  <r>
    <x v="1436"/>
    <x v="7"/>
    <x v="11"/>
    <n v="66.099999999999994"/>
    <n v="594.9"/>
    <x v="53"/>
    <x v="60"/>
    <x v="2"/>
    <x v="1"/>
    <x v="0"/>
    <x v="3"/>
    <x v="12"/>
    <x v="8"/>
    <x v="2"/>
  </r>
  <r>
    <x v="1437"/>
    <x v="12"/>
    <x v="9"/>
    <n v="36.700000000000003"/>
    <n v="183.5"/>
    <x v="53"/>
    <x v="53"/>
    <x v="2"/>
    <x v="4"/>
    <x v="0"/>
    <x v="3"/>
    <x v="5"/>
    <x v="8"/>
    <x v="2"/>
  </r>
  <r>
    <x v="1438"/>
    <x v="8"/>
    <x v="14"/>
    <n v="19.3"/>
    <n v="328.1"/>
    <x v="53"/>
    <x v="51"/>
    <x v="1"/>
    <x v="0"/>
    <x v="0"/>
    <x v="19"/>
    <x v="1"/>
    <x v="8"/>
    <x v="1"/>
  </r>
  <r>
    <x v="1439"/>
    <x v="8"/>
    <x v="12"/>
    <n v="20.7"/>
    <n v="82.8"/>
    <x v="53"/>
    <x v="54"/>
    <x v="1"/>
    <x v="1"/>
    <x v="2"/>
    <x v="6"/>
    <x v="3"/>
    <x v="8"/>
    <x v="1"/>
  </r>
  <r>
    <x v="1440"/>
    <x v="5"/>
    <x v="2"/>
    <n v="54.7"/>
    <n v="164.1"/>
    <x v="53"/>
    <x v="55"/>
    <x v="3"/>
    <x v="1"/>
    <x v="4"/>
    <x v="6"/>
    <x v="7"/>
    <x v="8"/>
    <x v="3"/>
  </r>
  <r>
    <x v="1441"/>
    <x v="4"/>
    <x v="1"/>
    <n v="19.8"/>
    <n v="39.6"/>
    <x v="53"/>
    <x v="53"/>
    <x v="2"/>
    <x v="4"/>
    <x v="1"/>
    <x v="8"/>
    <x v="5"/>
    <x v="8"/>
    <x v="2"/>
  </r>
  <r>
    <x v="1442"/>
    <x v="7"/>
    <x v="0"/>
    <n v="41.1"/>
    <n v="41.1"/>
    <x v="53"/>
    <x v="51"/>
    <x v="2"/>
    <x v="0"/>
    <x v="2"/>
    <x v="8"/>
    <x v="1"/>
    <x v="8"/>
    <x v="2"/>
  </r>
  <r>
    <x v="1443"/>
    <x v="11"/>
    <x v="8"/>
    <n v="43.5"/>
    <n v="348"/>
    <x v="53"/>
    <x v="53"/>
    <x v="2"/>
    <x v="3"/>
    <x v="0"/>
    <x v="8"/>
    <x v="5"/>
    <x v="8"/>
    <x v="2"/>
  </r>
  <r>
    <x v="1444"/>
    <x v="8"/>
    <x v="21"/>
    <n v="19"/>
    <n v="266"/>
    <x v="53"/>
    <x v="54"/>
    <x v="1"/>
    <x v="0"/>
    <x v="0"/>
    <x v="26"/>
    <x v="3"/>
    <x v="8"/>
    <x v="1"/>
  </r>
  <r>
    <x v="1445"/>
    <x v="2"/>
    <x v="12"/>
    <n v="51.4"/>
    <n v="205.6"/>
    <x v="53"/>
    <x v="55"/>
    <x v="2"/>
    <x v="0"/>
    <x v="0"/>
    <x v="26"/>
    <x v="7"/>
    <x v="8"/>
    <x v="2"/>
  </r>
  <r>
    <x v="1446"/>
    <x v="10"/>
    <x v="1"/>
    <n v="39.799999999999997"/>
    <n v="79.599999999999994"/>
    <x v="53"/>
    <x v="52"/>
    <x v="1"/>
    <x v="3"/>
    <x v="1"/>
    <x v="13"/>
    <x v="2"/>
    <x v="8"/>
    <x v="1"/>
  </r>
  <r>
    <x v="1447"/>
    <x v="6"/>
    <x v="9"/>
    <n v="61"/>
    <n v="305"/>
    <x v="53"/>
    <x v="54"/>
    <x v="0"/>
    <x v="0"/>
    <x v="2"/>
    <x v="21"/>
    <x v="3"/>
    <x v="8"/>
    <x v="0"/>
  </r>
  <r>
    <x v="1448"/>
    <x v="8"/>
    <x v="5"/>
    <n v="15.1"/>
    <n v="166.1"/>
    <x v="54"/>
    <x v="59"/>
    <x v="1"/>
    <x v="3"/>
    <x v="2"/>
    <x v="2"/>
    <x v="0"/>
    <x v="8"/>
    <x v="1"/>
  </r>
  <r>
    <x v="1449"/>
    <x v="1"/>
    <x v="3"/>
    <n v="71.3"/>
    <n v="499.1"/>
    <x v="54"/>
    <x v="51"/>
    <x v="1"/>
    <x v="4"/>
    <x v="0"/>
    <x v="3"/>
    <x v="3"/>
    <x v="8"/>
    <x v="1"/>
  </r>
  <r>
    <x v="1450"/>
    <x v="10"/>
    <x v="0"/>
    <n v="25.8"/>
    <n v="25.8"/>
    <x v="54"/>
    <x v="52"/>
    <x v="2"/>
    <x v="0"/>
    <x v="2"/>
    <x v="3"/>
    <x v="1"/>
    <x v="8"/>
    <x v="2"/>
  </r>
  <r>
    <x v="1451"/>
    <x v="8"/>
    <x v="9"/>
    <n v="39.6"/>
    <n v="198"/>
    <x v="54"/>
    <x v="52"/>
    <x v="1"/>
    <x v="1"/>
    <x v="2"/>
    <x v="3"/>
    <x v="1"/>
    <x v="8"/>
    <x v="1"/>
  </r>
  <r>
    <x v="1452"/>
    <x v="5"/>
    <x v="1"/>
    <n v="64"/>
    <n v="128"/>
    <x v="54"/>
    <x v="54"/>
    <x v="1"/>
    <x v="1"/>
    <x v="1"/>
    <x v="3"/>
    <x v="7"/>
    <x v="8"/>
    <x v="1"/>
  </r>
  <r>
    <x v="1453"/>
    <x v="8"/>
    <x v="1"/>
    <n v="30.6"/>
    <n v="61.2"/>
    <x v="54"/>
    <x v="53"/>
    <x v="1"/>
    <x v="0"/>
    <x v="2"/>
    <x v="3"/>
    <x v="2"/>
    <x v="8"/>
    <x v="1"/>
  </r>
  <r>
    <x v="1454"/>
    <x v="8"/>
    <x v="1"/>
    <n v="21.3"/>
    <n v="42.6"/>
    <x v="54"/>
    <x v="51"/>
    <x v="1"/>
    <x v="0"/>
    <x v="1"/>
    <x v="3"/>
    <x v="3"/>
    <x v="8"/>
    <x v="1"/>
  </r>
  <r>
    <x v="1455"/>
    <x v="7"/>
    <x v="0"/>
    <n v="40.799999999999997"/>
    <n v="40.799999999999997"/>
    <x v="54"/>
    <x v="52"/>
    <x v="2"/>
    <x v="4"/>
    <x v="0"/>
    <x v="3"/>
    <x v="1"/>
    <x v="8"/>
    <x v="2"/>
  </r>
  <r>
    <x v="1456"/>
    <x v="9"/>
    <x v="12"/>
    <n v="27.7"/>
    <n v="110.8"/>
    <x v="54"/>
    <x v="51"/>
    <x v="2"/>
    <x v="0"/>
    <x v="1"/>
    <x v="3"/>
    <x v="3"/>
    <x v="8"/>
    <x v="2"/>
  </r>
  <r>
    <x v="1457"/>
    <x v="6"/>
    <x v="1"/>
    <n v="64.599999999999994"/>
    <n v="129.19999999999999"/>
    <x v="54"/>
    <x v="51"/>
    <x v="1"/>
    <x v="0"/>
    <x v="1"/>
    <x v="3"/>
    <x v="3"/>
    <x v="8"/>
    <x v="1"/>
  </r>
  <r>
    <x v="1458"/>
    <x v="6"/>
    <x v="27"/>
    <n v="91.1"/>
    <n v="1457.6"/>
    <x v="54"/>
    <x v="51"/>
    <x v="2"/>
    <x v="1"/>
    <x v="2"/>
    <x v="3"/>
    <x v="3"/>
    <x v="8"/>
    <x v="2"/>
  </r>
  <r>
    <x v="1459"/>
    <x v="1"/>
    <x v="0"/>
    <n v="39.5"/>
    <n v="39.5"/>
    <x v="54"/>
    <x v="61"/>
    <x v="2"/>
    <x v="0"/>
    <x v="0"/>
    <x v="3"/>
    <x v="9"/>
    <x v="8"/>
    <x v="2"/>
  </r>
  <r>
    <x v="1460"/>
    <x v="9"/>
    <x v="1"/>
    <n v="21.8"/>
    <n v="43.6"/>
    <x v="54"/>
    <x v="58"/>
    <x v="1"/>
    <x v="4"/>
    <x v="2"/>
    <x v="3"/>
    <x v="5"/>
    <x v="8"/>
    <x v="1"/>
  </r>
  <r>
    <x v="1461"/>
    <x v="8"/>
    <x v="1"/>
    <n v="51"/>
    <n v="102"/>
    <x v="54"/>
    <x v="53"/>
    <x v="1"/>
    <x v="3"/>
    <x v="2"/>
    <x v="3"/>
    <x v="2"/>
    <x v="8"/>
    <x v="1"/>
  </r>
  <r>
    <x v="1462"/>
    <x v="2"/>
    <x v="0"/>
    <n v="92.6"/>
    <n v="92.6"/>
    <x v="54"/>
    <x v="53"/>
    <x v="2"/>
    <x v="0"/>
    <x v="2"/>
    <x v="4"/>
    <x v="2"/>
    <x v="8"/>
    <x v="2"/>
  </r>
  <r>
    <x v="1463"/>
    <x v="9"/>
    <x v="1"/>
    <n v="31.1"/>
    <n v="62.2"/>
    <x v="54"/>
    <x v="59"/>
    <x v="0"/>
    <x v="1"/>
    <x v="3"/>
    <x v="23"/>
    <x v="0"/>
    <x v="8"/>
    <x v="0"/>
  </r>
  <r>
    <x v="1464"/>
    <x v="5"/>
    <x v="2"/>
    <n v="56.4"/>
    <n v="169.2"/>
    <x v="54"/>
    <x v="51"/>
    <x v="0"/>
    <x v="1"/>
    <x v="0"/>
    <x v="6"/>
    <x v="3"/>
    <x v="8"/>
    <x v="0"/>
  </r>
  <r>
    <x v="1465"/>
    <x v="9"/>
    <x v="0"/>
    <n v="41.9"/>
    <n v="41.9"/>
    <x v="54"/>
    <x v="54"/>
    <x v="1"/>
    <x v="1"/>
    <x v="0"/>
    <x v="6"/>
    <x v="7"/>
    <x v="8"/>
    <x v="1"/>
  </r>
  <r>
    <x v="1466"/>
    <x v="10"/>
    <x v="3"/>
    <n v="45.9"/>
    <n v="321.3"/>
    <x v="54"/>
    <x v="51"/>
    <x v="1"/>
    <x v="3"/>
    <x v="2"/>
    <x v="8"/>
    <x v="3"/>
    <x v="8"/>
    <x v="1"/>
  </r>
  <r>
    <x v="1467"/>
    <x v="14"/>
    <x v="11"/>
    <n v="24.4"/>
    <n v="219.6"/>
    <x v="54"/>
    <x v="58"/>
    <x v="1"/>
    <x v="3"/>
    <x v="2"/>
    <x v="8"/>
    <x v="5"/>
    <x v="8"/>
    <x v="1"/>
  </r>
  <r>
    <x v="1468"/>
    <x v="8"/>
    <x v="0"/>
    <n v="18.2"/>
    <n v="18.2"/>
    <x v="54"/>
    <x v="51"/>
    <x v="2"/>
    <x v="2"/>
    <x v="2"/>
    <x v="8"/>
    <x v="3"/>
    <x v="8"/>
    <x v="2"/>
  </r>
  <r>
    <x v="1469"/>
    <x v="8"/>
    <x v="12"/>
    <n v="51.2"/>
    <n v="204.8"/>
    <x v="54"/>
    <x v="51"/>
    <x v="2"/>
    <x v="0"/>
    <x v="0"/>
    <x v="8"/>
    <x v="3"/>
    <x v="8"/>
    <x v="2"/>
  </r>
  <r>
    <x v="1470"/>
    <x v="6"/>
    <x v="0"/>
    <n v="59.7"/>
    <n v="59.7"/>
    <x v="54"/>
    <x v="53"/>
    <x v="1"/>
    <x v="0"/>
    <x v="2"/>
    <x v="8"/>
    <x v="2"/>
    <x v="8"/>
    <x v="1"/>
  </r>
  <r>
    <x v="1471"/>
    <x v="4"/>
    <x v="1"/>
    <n v="33.6"/>
    <n v="67.2"/>
    <x v="54"/>
    <x v="52"/>
    <x v="2"/>
    <x v="0"/>
    <x v="0"/>
    <x v="17"/>
    <x v="1"/>
    <x v="8"/>
    <x v="2"/>
  </r>
  <r>
    <x v="1472"/>
    <x v="12"/>
    <x v="0"/>
    <n v="90.4"/>
    <n v="90.4"/>
    <x v="54"/>
    <x v="58"/>
    <x v="1"/>
    <x v="1"/>
    <x v="2"/>
    <x v="10"/>
    <x v="5"/>
    <x v="8"/>
    <x v="1"/>
  </r>
  <r>
    <x v="1473"/>
    <x v="11"/>
    <x v="2"/>
    <n v="70.3"/>
    <n v="210.9"/>
    <x v="54"/>
    <x v="54"/>
    <x v="1"/>
    <x v="1"/>
    <x v="2"/>
    <x v="11"/>
    <x v="7"/>
    <x v="8"/>
    <x v="1"/>
  </r>
  <r>
    <x v="1474"/>
    <x v="4"/>
    <x v="1"/>
    <n v="20.5"/>
    <n v="41"/>
    <x v="54"/>
    <x v="53"/>
    <x v="2"/>
    <x v="0"/>
    <x v="1"/>
    <x v="11"/>
    <x v="2"/>
    <x v="8"/>
    <x v="2"/>
  </r>
  <r>
    <x v="1475"/>
    <x v="5"/>
    <x v="5"/>
    <n v="37.6"/>
    <n v="413.6"/>
    <x v="54"/>
    <x v="51"/>
    <x v="1"/>
    <x v="0"/>
    <x v="0"/>
    <x v="12"/>
    <x v="3"/>
    <x v="8"/>
    <x v="1"/>
  </r>
  <r>
    <x v="1476"/>
    <x v="5"/>
    <x v="12"/>
    <n v="61.5"/>
    <n v="246"/>
    <x v="54"/>
    <x v="62"/>
    <x v="2"/>
    <x v="1"/>
    <x v="4"/>
    <x v="13"/>
    <x v="6"/>
    <x v="8"/>
    <x v="2"/>
  </r>
  <r>
    <x v="1477"/>
    <x v="9"/>
    <x v="0"/>
    <n v="33.5"/>
    <n v="33.5"/>
    <x v="55"/>
    <x v="59"/>
    <x v="1"/>
    <x v="4"/>
    <x v="1"/>
    <x v="21"/>
    <x v="5"/>
    <x v="8"/>
    <x v="1"/>
  </r>
  <r>
    <x v="1478"/>
    <x v="4"/>
    <x v="2"/>
    <n v="29.3"/>
    <n v="87.9"/>
    <x v="55"/>
    <x v="53"/>
    <x v="2"/>
    <x v="1"/>
    <x v="2"/>
    <x v="1"/>
    <x v="1"/>
    <x v="8"/>
    <x v="2"/>
  </r>
  <r>
    <x v="1479"/>
    <x v="2"/>
    <x v="1"/>
    <n v="125.9"/>
    <n v="251.8"/>
    <x v="55"/>
    <x v="57"/>
    <x v="2"/>
    <x v="4"/>
    <x v="1"/>
    <x v="1"/>
    <x v="0"/>
    <x v="8"/>
    <x v="2"/>
  </r>
  <r>
    <x v="1480"/>
    <x v="5"/>
    <x v="9"/>
    <n v="29.3"/>
    <n v="146.5"/>
    <x v="55"/>
    <x v="51"/>
    <x v="1"/>
    <x v="2"/>
    <x v="0"/>
    <x v="20"/>
    <x v="7"/>
    <x v="8"/>
    <x v="1"/>
  </r>
  <r>
    <x v="1481"/>
    <x v="9"/>
    <x v="0"/>
    <n v="37.799999999999997"/>
    <n v="37.799999999999997"/>
    <x v="55"/>
    <x v="58"/>
    <x v="2"/>
    <x v="0"/>
    <x v="2"/>
    <x v="3"/>
    <x v="2"/>
    <x v="8"/>
    <x v="2"/>
  </r>
  <r>
    <x v="1482"/>
    <x v="0"/>
    <x v="12"/>
    <n v="31.7"/>
    <n v="126.8"/>
    <x v="55"/>
    <x v="52"/>
    <x v="1"/>
    <x v="2"/>
    <x v="2"/>
    <x v="3"/>
    <x v="3"/>
    <x v="8"/>
    <x v="1"/>
  </r>
  <r>
    <x v="1483"/>
    <x v="8"/>
    <x v="9"/>
    <n v="26.3"/>
    <n v="131.5"/>
    <x v="55"/>
    <x v="52"/>
    <x v="2"/>
    <x v="3"/>
    <x v="2"/>
    <x v="3"/>
    <x v="3"/>
    <x v="8"/>
    <x v="2"/>
  </r>
  <r>
    <x v="1484"/>
    <x v="8"/>
    <x v="2"/>
    <n v="23.1"/>
    <n v="69.300000000000011"/>
    <x v="55"/>
    <x v="52"/>
    <x v="3"/>
    <x v="2"/>
    <x v="1"/>
    <x v="3"/>
    <x v="3"/>
    <x v="8"/>
    <x v="3"/>
  </r>
  <r>
    <x v="1485"/>
    <x v="4"/>
    <x v="0"/>
    <n v="22.3"/>
    <n v="22.3"/>
    <x v="55"/>
    <x v="53"/>
    <x v="2"/>
    <x v="2"/>
    <x v="0"/>
    <x v="3"/>
    <x v="1"/>
    <x v="8"/>
    <x v="2"/>
  </r>
  <r>
    <x v="1486"/>
    <x v="12"/>
    <x v="1"/>
    <n v="99.5"/>
    <n v="199"/>
    <x v="55"/>
    <x v="53"/>
    <x v="2"/>
    <x v="2"/>
    <x v="0"/>
    <x v="3"/>
    <x v="1"/>
    <x v="8"/>
    <x v="2"/>
  </r>
  <r>
    <x v="1487"/>
    <x v="12"/>
    <x v="12"/>
    <n v="47.4"/>
    <n v="189.6"/>
    <x v="55"/>
    <x v="58"/>
    <x v="2"/>
    <x v="1"/>
    <x v="0"/>
    <x v="3"/>
    <x v="2"/>
    <x v="8"/>
    <x v="2"/>
  </r>
  <r>
    <x v="1488"/>
    <x v="0"/>
    <x v="5"/>
    <n v="37.5"/>
    <n v="412.5"/>
    <x v="55"/>
    <x v="53"/>
    <x v="2"/>
    <x v="0"/>
    <x v="3"/>
    <x v="3"/>
    <x v="1"/>
    <x v="8"/>
    <x v="2"/>
  </r>
  <r>
    <x v="1489"/>
    <x v="10"/>
    <x v="0"/>
    <n v="45.1"/>
    <n v="45.1"/>
    <x v="55"/>
    <x v="57"/>
    <x v="1"/>
    <x v="3"/>
    <x v="2"/>
    <x v="24"/>
    <x v="0"/>
    <x v="8"/>
    <x v="1"/>
  </r>
  <r>
    <x v="1490"/>
    <x v="5"/>
    <x v="7"/>
    <n v="34.4"/>
    <n v="344"/>
    <x v="55"/>
    <x v="58"/>
    <x v="1"/>
    <x v="2"/>
    <x v="0"/>
    <x v="16"/>
    <x v="2"/>
    <x v="8"/>
    <x v="1"/>
  </r>
  <r>
    <x v="1491"/>
    <x v="4"/>
    <x v="1"/>
    <n v="38"/>
    <n v="76"/>
    <x v="55"/>
    <x v="53"/>
    <x v="2"/>
    <x v="1"/>
    <x v="0"/>
    <x v="5"/>
    <x v="1"/>
    <x v="8"/>
    <x v="2"/>
  </r>
  <r>
    <x v="1492"/>
    <x v="3"/>
    <x v="21"/>
    <n v="32.4"/>
    <n v="453.6"/>
    <x v="55"/>
    <x v="58"/>
    <x v="1"/>
    <x v="4"/>
    <x v="0"/>
    <x v="6"/>
    <x v="2"/>
    <x v="8"/>
    <x v="1"/>
  </r>
  <r>
    <x v="1493"/>
    <x v="6"/>
    <x v="2"/>
    <n v="40.9"/>
    <n v="122.7"/>
    <x v="55"/>
    <x v="51"/>
    <x v="0"/>
    <x v="1"/>
    <x v="0"/>
    <x v="8"/>
    <x v="7"/>
    <x v="8"/>
    <x v="0"/>
  </r>
  <r>
    <x v="1494"/>
    <x v="7"/>
    <x v="3"/>
    <n v="76.2"/>
    <n v="533.4"/>
    <x v="55"/>
    <x v="53"/>
    <x v="2"/>
    <x v="2"/>
    <x v="1"/>
    <x v="8"/>
    <x v="1"/>
    <x v="8"/>
    <x v="2"/>
  </r>
  <r>
    <x v="1495"/>
    <x v="2"/>
    <x v="0"/>
    <n v="85.6"/>
    <n v="85.6"/>
    <x v="55"/>
    <x v="53"/>
    <x v="1"/>
    <x v="2"/>
    <x v="0"/>
    <x v="8"/>
    <x v="1"/>
    <x v="8"/>
    <x v="1"/>
  </r>
  <r>
    <x v="1496"/>
    <x v="4"/>
    <x v="12"/>
    <n v="25"/>
    <n v="100"/>
    <x v="55"/>
    <x v="53"/>
    <x v="2"/>
    <x v="2"/>
    <x v="2"/>
    <x v="8"/>
    <x v="1"/>
    <x v="8"/>
    <x v="2"/>
  </r>
  <r>
    <x v="1497"/>
    <x v="2"/>
    <x v="9"/>
    <n v="150.69999999999999"/>
    <n v="753.5"/>
    <x v="55"/>
    <x v="52"/>
    <x v="0"/>
    <x v="0"/>
    <x v="2"/>
    <x v="8"/>
    <x v="3"/>
    <x v="8"/>
    <x v="0"/>
  </r>
  <r>
    <x v="1498"/>
    <x v="8"/>
    <x v="0"/>
    <n v="19.600000000000001"/>
    <n v="19.600000000000001"/>
    <x v="55"/>
    <x v="52"/>
    <x v="1"/>
    <x v="1"/>
    <x v="4"/>
    <x v="8"/>
    <x v="3"/>
    <x v="8"/>
    <x v="1"/>
  </r>
  <r>
    <x v="1499"/>
    <x v="13"/>
    <x v="1"/>
    <n v="37.5"/>
    <n v="75"/>
    <x v="55"/>
    <x v="58"/>
    <x v="2"/>
    <x v="1"/>
    <x v="2"/>
    <x v="17"/>
    <x v="2"/>
    <x v="8"/>
    <x v="2"/>
  </r>
  <r>
    <x v="1500"/>
    <x v="9"/>
    <x v="2"/>
    <n v="51.9"/>
    <n v="155.69999999999999"/>
    <x v="55"/>
    <x v="62"/>
    <x v="2"/>
    <x v="0"/>
    <x v="4"/>
    <x v="11"/>
    <x v="4"/>
    <x v="8"/>
    <x v="2"/>
  </r>
  <r>
    <x v="1501"/>
    <x v="1"/>
    <x v="1"/>
    <n v="30.9"/>
    <n v="61.8"/>
    <x v="55"/>
    <x v="53"/>
    <x v="2"/>
    <x v="1"/>
    <x v="0"/>
    <x v="18"/>
    <x v="1"/>
    <x v="8"/>
    <x v="2"/>
  </r>
  <r>
    <x v="1502"/>
    <x v="4"/>
    <x v="2"/>
    <n v="21.2"/>
    <n v="63.599999999999987"/>
    <x v="55"/>
    <x v="58"/>
    <x v="2"/>
    <x v="1"/>
    <x v="0"/>
    <x v="19"/>
    <x v="2"/>
    <x v="8"/>
    <x v="2"/>
  </r>
  <r>
    <x v="1503"/>
    <x v="13"/>
    <x v="14"/>
    <n v="17.5"/>
    <n v="297.5"/>
    <x v="55"/>
    <x v="52"/>
    <x v="1"/>
    <x v="1"/>
    <x v="1"/>
    <x v="13"/>
    <x v="3"/>
    <x v="8"/>
    <x v="1"/>
  </r>
  <r>
    <x v="1504"/>
    <x v="12"/>
    <x v="1"/>
    <n v="53.8"/>
    <n v="107.6"/>
    <x v="55"/>
    <x v="57"/>
    <x v="2"/>
    <x v="0"/>
    <x v="2"/>
    <x v="21"/>
    <x v="0"/>
    <x v="8"/>
    <x v="2"/>
  </r>
  <r>
    <x v="1505"/>
    <x v="19"/>
    <x v="1"/>
    <n v="17"/>
    <n v="34"/>
    <x v="55"/>
    <x v="52"/>
    <x v="1"/>
    <x v="3"/>
    <x v="0"/>
    <x v="21"/>
    <x v="3"/>
    <x v="8"/>
    <x v="1"/>
  </r>
  <r>
    <x v="1506"/>
    <x v="6"/>
    <x v="0"/>
    <n v="103.2"/>
    <n v="103.2"/>
    <x v="55"/>
    <x v="63"/>
    <x v="1"/>
    <x v="2"/>
    <x v="1"/>
    <x v="1"/>
    <x v="9"/>
    <x v="8"/>
    <x v="1"/>
  </r>
  <r>
    <x v="1507"/>
    <x v="6"/>
    <x v="12"/>
    <n v="70.3"/>
    <n v="281.2"/>
    <x v="55"/>
    <x v="52"/>
    <x v="1"/>
    <x v="0"/>
    <x v="0"/>
    <x v="3"/>
    <x v="3"/>
    <x v="8"/>
    <x v="1"/>
  </r>
  <r>
    <x v="1508"/>
    <x v="2"/>
    <x v="1"/>
    <n v="73.8"/>
    <n v="147.6"/>
    <x v="55"/>
    <x v="51"/>
    <x v="1"/>
    <x v="3"/>
    <x v="2"/>
    <x v="3"/>
    <x v="7"/>
    <x v="8"/>
    <x v="1"/>
  </r>
  <r>
    <x v="1509"/>
    <x v="1"/>
    <x v="4"/>
    <n v="67.7"/>
    <n v="812.40000000000009"/>
    <x v="55"/>
    <x v="59"/>
    <x v="1"/>
    <x v="1"/>
    <x v="1"/>
    <x v="3"/>
    <x v="5"/>
    <x v="8"/>
    <x v="1"/>
  </r>
  <r>
    <x v="1510"/>
    <x v="13"/>
    <x v="3"/>
    <n v="43.8"/>
    <n v="306.60000000000002"/>
    <x v="55"/>
    <x v="53"/>
    <x v="1"/>
    <x v="1"/>
    <x v="0"/>
    <x v="3"/>
    <x v="1"/>
    <x v="8"/>
    <x v="1"/>
  </r>
  <r>
    <x v="1511"/>
    <x v="17"/>
    <x v="13"/>
    <n v="71.900000000000006"/>
    <n v="431.4"/>
    <x v="55"/>
    <x v="52"/>
    <x v="2"/>
    <x v="2"/>
    <x v="0"/>
    <x v="3"/>
    <x v="3"/>
    <x v="8"/>
    <x v="2"/>
  </r>
  <r>
    <x v="1512"/>
    <x v="8"/>
    <x v="1"/>
    <n v="26.3"/>
    <n v="52.6"/>
    <x v="56"/>
    <x v="58"/>
    <x v="2"/>
    <x v="0"/>
    <x v="1"/>
    <x v="3"/>
    <x v="1"/>
    <x v="8"/>
    <x v="2"/>
  </r>
  <r>
    <x v="1513"/>
    <x v="6"/>
    <x v="12"/>
    <n v="52.6"/>
    <n v="210.4"/>
    <x v="56"/>
    <x v="58"/>
    <x v="2"/>
    <x v="2"/>
    <x v="1"/>
    <x v="3"/>
    <x v="1"/>
    <x v="8"/>
    <x v="2"/>
  </r>
  <r>
    <x v="1514"/>
    <x v="10"/>
    <x v="0"/>
    <n v="32.700000000000003"/>
    <n v="32.700000000000003"/>
    <x v="56"/>
    <x v="63"/>
    <x v="2"/>
    <x v="0"/>
    <x v="2"/>
    <x v="3"/>
    <x v="6"/>
    <x v="8"/>
    <x v="2"/>
  </r>
  <r>
    <x v="1515"/>
    <x v="5"/>
    <x v="12"/>
    <n v="38.9"/>
    <n v="155.6"/>
    <x v="56"/>
    <x v="53"/>
    <x v="2"/>
    <x v="0"/>
    <x v="0"/>
    <x v="3"/>
    <x v="3"/>
    <x v="8"/>
    <x v="2"/>
  </r>
  <r>
    <x v="1516"/>
    <x v="9"/>
    <x v="9"/>
    <n v="35"/>
    <n v="175"/>
    <x v="56"/>
    <x v="58"/>
    <x v="1"/>
    <x v="0"/>
    <x v="0"/>
    <x v="3"/>
    <x v="1"/>
    <x v="8"/>
    <x v="1"/>
  </r>
  <r>
    <x v="1517"/>
    <x v="2"/>
    <x v="1"/>
    <n v="121"/>
    <n v="242"/>
    <x v="56"/>
    <x v="53"/>
    <x v="2"/>
    <x v="1"/>
    <x v="1"/>
    <x v="3"/>
    <x v="3"/>
    <x v="8"/>
    <x v="2"/>
  </r>
  <r>
    <x v="1518"/>
    <x v="6"/>
    <x v="2"/>
    <n v="65.099999999999994"/>
    <n v="195.3"/>
    <x v="56"/>
    <x v="57"/>
    <x v="1"/>
    <x v="2"/>
    <x v="0"/>
    <x v="5"/>
    <x v="5"/>
    <x v="8"/>
    <x v="1"/>
  </r>
  <r>
    <x v="1519"/>
    <x v="1"/>
    <x v="38"/>
    <n v="63.8"/>
    <n v="1339.8"/>
    <x v="56"/>
    <x v="58"/>
    <x v="2"/>
    <x v="0"/>
    <x v="0"/>
    <x v="8"/>
    <x v="1"/>
    <x v="8"/>
    <x v="2"/>
  </r>
  <r>
    <x v="1520"/>
    <x v="7"/>
    <x v="0"/>
    <n v="77.7"/>
    <n v="77.7"/>
    <x v="56"/>
    <x v="58"/>
    <x v="1"/>
    <x v="0"/>
    <x v="0"/>
    <x v="8"/>
    <x v="1"/>
    <x v="8"/>
    <x v="1"/>
  </r>
  <r>
    <x v="1521"/>
    <x v="5"/>
    <x v="12"/>
    <n v="60.3"/>
    <n v="241.2"/>
    <x v="56"/>
    <x v="52"/>
    <x v="1"/>
    <x v="0"/>
    <x v="2"/>
    <x v="8"/>
    <x v="7"/>
    <x v="8"/>
    <x v="1"/>
  </r>
  <r>
    <x v="1522"/>
    <x v="5"/>
    <x v="1"/>
    <n v="124.1"/>
    <n v="248.2"/>
    <x v="56"/>
    <x v="59"/>
    <x v="2"/>
    <x v="0"/>
    <x v="2"/>
    <x v="8"/>
    <x v="2"/>
    <x v="8"/>
    <x v="2"/>
  </r>
  <r>
    <x v="1523"/>
    <x v="16"/>
    <x v="3"/>
    <n v="66"/>
    <n v="462"/>
    <x v="56"/>
    <x v="52"/>
    <x v="0"/>
    <x v="3"/>
    <x v="0"/>
    <x v="17"/>
    <x v="7"/>
    <x v="8"/>
    <x v="0"/>
  </r>
  <r>
    <x v="1524"/>
    <x v="2"/>
    <x v="42"/>
    <n v="118.2"/>
    <n v="7446.6"/>
    <x v="56"/>
    <x v="62"/>
    <x v="0"/>
    <x v="0"/>
    <x v="0"/>
    <x v="17"/>
    <x v="0"/>
    <x v="8"/>
    <x v="0"/>
  </r>
  <r>
    <x v="1525"/>
    <x v="5"/>
    <x v="9"/>
    <n v="64.3"/>
    <n v="321.5"/>
    <x v="56"/>
    <x v="53"/>
    <x v="1"/>
    <x v="4"/>
    <x v="4"/>
    <x v="26"/>
    <x v="3"/>
    <x v="8"/>
    <x v="1"/>
  </r>
  <r>
    <x v="1526"/>
    <x v="1"/>
    <x v="1"/>
    <n v="54.8"/>
    <n v="109.6"/>
    <x v="56"/>
    <x v="52"/>
    <x v="1"/>
    <x v="0"/>
    <x v="1"/>
    <x v="26"/>
    <x v="7"/>
    <x v="8"/>
    <x v="1"/>
  </r>
  <r>
    <x v="1527"/>
    <x v="7"/>
    <x v="1"/>
    <n v="78.599999999999994"/>
    <n v="157.19999999999999"/>
    <x v="56"/>
    <x v="53"/>
    <x v="1"/>
    <x v="0"/>
    <x v="2"/>
    <x v="9"/>
    <x v="3"/>
    <x v="8"/>
    <x v="1"/>
  </r>
  <r>
    <x v="1528"/>
    <x v="2"/>
    <x v="9"/>
    <n v="158.5"/>
    <n v="792.5"/>
    <x v="56"/>
    <x v="58"/>
    <x v="0"/>
    <x v="2"/>
    <x v="2"/>
    <x v="9"/>
    <x v="1"/>
    <x v="8"/>
    <x v="0"/>
  </r>
  <r>
    <x v="1529"/>
    <x v="4"/>
    <x v="7"/>
    <n v="23.5"/>
    <n v="235"/>
    <x v="56"/>
    <x v="59"/>
    <x v="1"/>
    <x v="0"/>
    <x v="4"/>
    <x v="10"/>
    <x v="2"/>
    <x v="8"/>
    <x v="1"/>
  </r>
  <r>
    <x v="1530"/>
    <x v="5"/>
    <x v="1"/>
    <n v="32.1"/>
    <n v="64.2"/>
    <x v="56"/>
    <x v="58"/>
    <x v="0"/>
    <x v="3"/>
    <x v="0"/>
    <x v="10"/>
    <x v="1"/>
    <x v="8"/>
    <x v="0"/>
  </r>
  <r>
    <x v="1531"/>
    <x v="17"/>
    <x v="12"/>
    <n v="71.900000000000006"/>
    <n v="287.60000000000002"/>
    <x v="56"/>
    <x v="52"/>
    <x v="1"/>
    <x v="2"/>
    <x v="0"/>
    <x v="19"/>
    <x v="7"/>
    <x v="8"/>
    <x v="1"/>
  </r>
  <r>
    <x v="1532"/>
    <x v="4"/>
    <x v="13"/>
    <n v="22.3"/>
    <n v="133.80000000000001"/>
    <x v="56"/>
    <x v="53"/>
    <x v="0"/>
    <x v="3"/>
    <x v="2"/>
    <x v="13"/>
    <x v="3"/>
    <x v="8"/>
    <x v="0"/>
  </r>
  <r>
    <x v="1533"/>
    <x v="11"/>
    <x v="1"/>
    <n v="29.5"/>
    <n v="59"/>
    <x v="56"/>
    <x v="53"/>
    <x v="2"/>
    <x v="0"/>
    <x v="2"/>
    <x v="13"/>
    <x v="3"/>
    <x v="8"/>
    <x v="2"/>
  </r>
  <r>
    <x v="1534"/>
    <x v="6"/>
    <x v="12"/>
    <n v="41.9"/>
    <n v="167.6"/>
    <x v="56"/>
    <x v="57"/>
    <x v="2"/>
    <x v="0"/>
    <x v="1"/>
    <x v="21"/>
    <x v="5"/>
    <x v="8"/>
    <x v="2"/>
  </r>
  <r>
    <x v="1535"/>
    <x v="6"/>
    <x v="2"/>
    <n v="107.8"/>
    <n v="323.39999999999998"/>
    <x v="56"/>
    <x v="53"/>
    <x v="1"/>
    <x v="1"/>
    <x v="2"/>
    <x v="22"/>
    <x v="3"/>
    <x v="8"/>
    <x v="1"/>
  </r>
  <r>
    <x v="1536"/>
    <x v="4"/>
    <x v="9"/>
    <n v="18.100000000000001"/>
    <n v="90.5"/>
    <x v="56"/>
    <x v="59"/>
    <x v="1"/>
    <x v="0"/>
    <x v="2"/>
    <x v="2"/>
    <x v="2"/>
    <x v="8"/>
    <x v="1"/>
  </r>
  <r>
    <x v="1537"/>
    <x v="12"/>
    <x v="11"/>
    <n v="79.8"/>
    <n v="718.19999999999993"/>
    <x v="56"/>
    <x v="53"/>
    <x v="2"/>
    <x v="1"/>
    <x v="1"/>
    <x v="22"/>
    <x v="3"/>
    <x v="8"/>
    <x v="2"/>
  </r>
  <r>
    <x v="1538"/>
    <x v="0"/>
    <x v="2"/>
    <n v="22.3"/>
    <n v="66.900000000000006"/>
    <x v="56"/>
    <x v="59"/>
    <x v="2"/>
    <x v="0"/>
    <x v="2"/>
    <x v="22"/>
    <x v="2"/>
    <x v="8"/>
    <x v="2"/>
  </r>
  <r>
    <x v="1539"/>
    <x v="8"/>
    <x v="0"/>
    <n v="22.9"/>
    <n v="22.9"/>
    <x v="56"/>
    <x v="52"/>
    <x v="2"/>
    <x v="1"/>
    <x v="0"/>
    <x v="22"/>
    <x v="7"/>
    <x v="8"/>
    <x v="2"/>
  </r>
  <r>
    <x v="1540"/>
    <x v="0"/>
    <x v="2"/>
    <n v="16.2"/>
    <n v="48.599999999999987"/>
    <x v="57"/>
    <x v="53"/>
    <x v="1"/>
    <x v="4"/>
    <x v="2"/>
    <x v="3"/>
    <x v="7"/>
    <x v="8"/>
    <x v="1"/>
  </r>
  <r>
    <x v="1541"/>
    <x v="10"/>
    <x v="12"/>
    <n v="59.5"/>
    <n v="238"/>
    <x v="57"/>
    <x v="58"/>
    <x v="1"/>
    <x v="1"/>
    <x v="2"/>
    <x v="3"/>
    <x v="3"/>
    <x v="8"/>
    <x v="1"/>
  </r>
  <r>
    <x v="1542"/>
    <x v="18"/>
    <x v="9"/>
    <n v="26.2"/>
    <n v="131"/>
    <x v="57"/>
    <x v="57"/>
    <x v="1"/>
    <x v="3"/>
    <x v="4"/>
    <x v="3"/>
    <x v="2"/>
    <x v="8"/>
    <x v="1"/>
  </r>
  <r>
    <x v="1543"/>
    <x v="3"/>
    <x v="0"/>
    <n v="44.2"/>
    <n v="44.2"/>
    <x v="57"/>
    <x v="57"/>
    <x v="2"/>
    <x v="1"/>
    <x v="0"/>
    <x v="3"/>
    <x v="2"/>
    <x v="8"/>
    <x v="2"/>
  </r>
  <r>
    <x v="1544"/>
    <x v="9"/>
    <x v="1"/>
    <n v="59.2"/>
    <n v="118.4"/>
    <x v="57"/>
    <x v="53"/>
    <x v="2"/>
    <x v="1"/>
    <x v="4"/>
    <x v="3"/>
    <x v="7"/>
    <x v="8"/>
    <x v="2"/>
  </r>
  <r>
    <x v="1545"/>
    <x v="15"/>
    <x v="12"/>
    <n v="41.5"/>
    <n v="166"/>
    <x v="57"/>
    <x v="59"/>
    <x v="2"/>
    <x v="0"/>
    <x v="0"/>
    <x v="16"/>
    <x v="1"/>
    <x v="8"/>
    <x v="2"/>
  </r>
  <r>
    <x v="1546"/>
    <x v="6"/>
    <x v="4"/>
    <n v="67.099999999999994"/>
    <n v="805.19999999999993"/>
    <x v="57"/>
    <x v="64"/>
    <x v="2"/>
    <x v="0"/>
    <x v="2"/>
    <x v="23"/>
    <x v="12"/>
    <x v="8"/>
    <x v="2"/>
  </r>
  <r>
    <x v="1547"/>
    <x v="8"/>
    <x v="1"/>
    <n v="28.7"/>
    <n v="57.4"/>
    <x v="57"/>
    <x v="62"/>
    <x v="2"/>
    <x v="1"/>
    <x v="0"/>
    <x v="6"/>
    <x v="5"/>
    <x v="8"/>
    <x v="2"/>
  </r>
  <r>
    <x v="1548"/>
    <x v="2"/>
    <x v="12"/>
    <n v="132.1"/>
    <n v="528.4"/>
    <x v="57"/>
    <x v="58"/>
    <x v="2"/>
    <x v="0"/>
    <x v="1"/>
    <x v="6"/>
    <x v="3"/>
    <x v="8"/>
    <x v="2"/>
  </r>
  <r>
    <x v="1549"/>
    <x v="18"/>
    <x v="1"/>
    <n v="47"/>
    <n v="94"/>
    <x v="57"/>
    <x v="59"/>
    <x v="1"/>
    <x v="4"/>
    <x v="0"/>
    <x v="8"/>
    <x v="1"/>
    <x v="8"/>
    <x v="1"/>
  </r>
  <r>
    <x v="1550"/>
    <x v="8"/>
    <x v="1"/>
    <n v="41.6"/>
    <n v="83.2"/>
    <x v="57"/>
    <x v="62"/>
    <x v="1"/>
    <x v="1"/>
    <x v="2"/>
    <x v="8"/>
    <x v="5"/>
    <x v="8"/>
    <x v="1"/>
  </r>
  <r>
    <x v="1551"/>
    <x v="8"/>
    <x v="43"/>
    <n v="17.3"/>
    <n v="657.4"/>
    <x v="57"/>
    <x v="59"/>
    <x v="1"/>
    <x v="2"/>
    <x v="2"/>
    <x v="8"/>
    <x v="1"/>
    <x v="8"/>
    <x v="1"/>
  </r>
  <r>
    <x v="1552"/>
    <x v="13"/>
    <x v="2"/>
    <n v="41.8"/>
    <n v="125.4"/>
    <x v="57"/>
    <x v="57"/>
    <x v="1"/>
    <x v="0"/>
    <x v="2"/>
    <x v="8"/>
    <x v="2"/>
    <x v="8"/>
    <x v="1"/>
  </r>
  <r>
    <x v="1553"/>
    <x v="10"/>
    <x v="0"/>
    <n v="24"/>
    <n v="24"/>
    <x v="57"/>
    <x v="58"/>
    <x v="2"/>
    <x v="0"/>
    <x v="0"/>
    <x v="17"/>
    <x v="3"/>
    <x v="8"/>
    <x v="2"/>
  </r>
  <r>
    <x v="1554"/>
    <x v="14"/>
    <x v="11"/>
    <n v="18.5"/>
    <n v="166.5"/>
    <x v="57"/>
    <x v="59"/>
    <x v="2"/>
    <x v="0"/>
    <x v="0"/>
    <x v="9"/>
    <x v="1"/>
    <x v="8"/>
    <x v="2"/>
  </r>
  <r>
    <x v="1555"/>
    <x v="3"/>
    <x v="4"/>
    <n v="66.7"/>
    <n v="800.40000000000009"/>
    <x v="57"/>
    <x v="57"/>
    <x v="0"/>
    <x v="0"/>
    <x v="2"/>
    <x v="11"/>
    <x v="2"/>
    <x v="8"/>
    <x v="0"/>
  </r>
  <r>
    <x v="1556"/>
    <x v="1"/>
    <x v="12"/>
    <n v="33.1"/>
    <n v="132.4"/>
    <x v="57"/>
    <x v="61"/>
    <x v="1"/>
    <x v="3"/>
    <x v="0"/>
    <x v="11"/>
    <x v="0"/>
    <x v="8"/>
    <x v="1"/>
  </r>
  <r>
    <x v="1557"/>
    <x v="19"/>
    <x v="11"/>
    <n v="42.1"/>
    <n v="378.9"/>
    <x v="57"/>
    <x v="65"/>
    <x v="1"/>
    <x v="1"/>
    <x v="0"/>
    <x v="18"/>
    <x v="11"/>
    <x v="8"/>
    <x v="1"/>
  </r>
  <r>
    <x v="1558"/>
    <x v="18"/>
    <x v="3"/>
    <n v="58.7"/>
    <n v="410.9"/>
    <x v="57"/>
    <x v="53"/>
    <x v="3"/>
    <x v="3"/>
    <x v="0"/>
    <x v="31"/>
    <x v="7"/>
    <x v="8"/>
    <x v="3"/>
  </r>
  <r>
    <x v="1559"/>
    <x v="6"/>
    <x v="12"/>
    <n v="54"/>
    <n v="216"/>
    <x v="57"/>
    <x v="59"/>
    <x v="2"/>
    <x v="1"/>
    <x v="0"/>
    <x v="1"/>
    <x v="1"/>
    <x v="8"/>
    <x v="2"/>
  </r>
  <r>
    <x v="1560"/>
    <x v="8"/>
    <x v="0"/>
    <n v="52.1"/>
    <n v="52.1"/>
    <x v="57"/>
    <x v="58"/>
    <x v="2"/>
    <x v="2"/>
    <x v="2"/>
    <x v="2"/>
    <x v="3"/>
    <x v="8"/>
    <x v="2"/>
  </r>
  <r>
    <x v="1561"/>
    <x v="19"/>
    <x v="1"/>
    <n v="27"/>
    <n v="54"/>
    <x v="57"/>
    <x v="57"/>
    <x v="3"/>
    <x v="2"/>
    <x v="0"/>
    <x v="22"/>
    <x v="2"/>
    <x v="8"/>
    <x v="3"/>
  </r>
  <r>
    <x v="1562"/>
    <x v="12"/>
    <x v="7"/>
    <n v="31"/>
    <n v="310"/>
    <x v="58"/>
    <x v="59"/>
    <x v="2"/>
    <x v="3"/>
    <x v="2"/>
    <x v="22"/>
    <x v="3"/>
    <x v="8"/>
    <x v="2"/>
  </r>
  <r>
    <x v="1563"/>
    <x v="10"/>
    <x v="1"/>
    <n v="46.7"/>
    <n v="93.4"/>
    <x v="58"/>
    <x v="58"/>
    <x v="2"/>
    <x v="0"/>
    <x v="0"/>
    <x v="0"/>
    <x v="7"/>
    <x v="8"/>
    <x v="2"/>
  </r>
  <r>
    <x v="1564"/>
    <x v="6"/>
    <x v="0"/>
    <n v="144.69999999999999"/>
    <n v="144.69999999999999"/>
    <x v="58"/>
    <x v="62"/>
    <x v="1"/>
    <x v="0"/>
    <x v="2"/>
    <x v="3"/>
    <x v="2"/>
    <x v="8"/>
    <x v="1"/>
  </r>
  <r>
    <x v="1565"/>
    <x v="2"/>
    <x v="11"/>
    <n v="90.9"/>
    <n v="818.1"/>
    <x v="58"/>
    <x v="59"/>
    <x v="1"/>
    <x v="0"/>
    <x v="2"/>
    <x v="3"/>
    <x v="3"/>
    <x v="8"/>
    <x v="1"/>
  </r>
  <r>
    <x v="1566"/>
    <x v="1"/>
    <x v="1"/>
    <n v="75.8"/>
    <n v="151.6"/>
    <x v="58"/>
    <x v="59"/>
    <x v="2"/>
    <x v="2"/>
    <x v="1"/>
    <x v="3"/>
    <x v="3"/>
    <x v="8"/>
    <x v="2"/>
  </r>
  <r>
    <x v="1567"/>
    <x v="7"/>
    <x v="9"/>
    <n v="57.9"/>
    <n v="289.5"/>
    <x v="58"/>
    <x v="57"/>
    <x v="1"/>
    <x v="2"/>
    <x v="2"/>
    <x v="3"/>
    <x v="1"/>
    <x v="8"/>
    <x v="1"/>
  </r>
  <r>
    <x v="1568"/>
    <x v="8"/>
    <x v="9"/>
    <n v="44.8"/>
    <n v="224"/>
    <x v="58"/>
    <x v="59"/>
    <x v="2"/>
    <x v="3"/>
    <x v="2"/>
    <x v="3"/>
    <x v="3"/>
    <x v="8"/>
    <x v="2"/>
  </r>
  <r>
    <x v="1569"/>
    <x v="9"/>
    <x v="2"/>
    <n v="44.2"/>
    <n v="132.6"/>
    <x v="58"/>
    <x v="61"/>
    <x v="1"/>
    <x v="2"/>
    <x v="2"/>
    <x v="3"/>
    <x v="5"/>
    <x v="8"/>
    <x v="1"/>
  </r>
  <r>
    <x v="1570"/>
    <x v="5"/>
    <x v="9"/>
    <n v="53.5"/>
    <n v="267.5"/>
    <x v="58"/>
    <x v="57"/>
    <x v="1"/>
    <x v="0"/>
    <x v="0"/>
    <x v="10"/>
    <x v="1"/>
    <x v="8"/>
    <x v="1"/>
  </r>
  <r>
    <x v="1571"/>
    <x v="6"/>
    <x v="1"/>
    <n v="72.2"/>
    <n v="144.4"/>
    <x v="58"/>
    <x v="59"/>
    <x v="1"/>
    <x v="0"/>
    <x v="2"/>
    <x v="25"/>
    <x v="3"/>
    <x v="8"/>
    <x v="1"/>
  </r>
  <r>
    <x v="1572"/>
    <x v="6"/>
    <x v="12"/>
    <n v="62.4"/>
    <n v="249.6"/>
    <x v="58"/>
    <x v="62"/>
    <x v="2"/>
    <x v="0"/>
    <x v="1"/>
    <x v="23"/>
    <x v="2"/>
    <x v="8"/>
    <x v="2"/>
  </r>
  <r>
    <x v="1573"/>
    <x v="10"/>
    <x v="9"/>
    <n v="24.7"/>
    <n v="123.5"/>
    <x v="58"/>
    <x v="59"/>
    <x v="2"/>
    <x v="0"/>
    <x v="0"/>
    <x v="6"/>
    <x v="3"/>
    <x v="8"/>
    <x v="2"/>
  </r>
  <r>
    <x v="1574"/>
    <x v="1"/>
    <x v="9"/>
    <n v="61.7"/>
    <n v="308.5"/>
    <x v="58"/>
    <x v="57"/>
    <x v="2"/>
    <x v="2"/>
    <x v="0"/>
    <x v="8"/>
    <x v="1"/>
    <x v="8"/>
    <x v="2"/>
  </r>
  <r>
    <x v="1575"/>
    <x v="8"/>
    <x v="9"/>
    <n v="18.2"/>
    <n v="91"/>
    <x v="58"/>
    <x v="57"/>
    <x v="2"/>
    <x v="3"/>
    <x v="0"/>
    <x v="8"/>
    <x v="1"/>
    <x v="8"/>
    <x v="2"/>
  </r>
  <r>
    <x v="1576"/>
    <x v="10"/>
    <x v="12"/>
    <n v="37.200000000000003"/>
    <n v="148.80000000000001"/>
    <x v="58"/>
    <x v="66"/>
    <x v="2"/>
    <x v="0"/>
    <x v="0"/>
    <x v="8"/>
    <x v="4"/>
    <x v="8"/>
    <x v="2"/>
  </r>
  <r>
    <x v="1577"/>
    <x v="9"/>
    <x v="2"/>
    <n v="53.5"/>
    <n v="160.5"/>
    <x v="58"/>
    <x v="57"/>
    <x v="2"/>
    <x v="1"/>
    <x v="2"/>
    <x v="9"/>
    <x v="1"/>
    <x v="8"/>
    <x v="2"/>
  </r>
  <r>
    <x v="1578"/>
    <x v="8"/>
    <x v="2"/>
    <n v="43.6"/>
    <n v="130.80000000000001"/>
    <x v="58"/>
    <x v="58"/>
    <x v="2"/>
    <x v="0"/>
    <x v="0"/>
    <x v="9"/>
    <x v="7"/>
    <x v="8"/>
    <x v="2"/>
  </r>
  <r>
    <x v="1579"/>
    <x v="1"/>
    <x v="7"/>
    <n v="135"/>
    <n v="1350"/>
    <x v="58"/>
    <x v="57"/>
    <x v="2"/>
    <x v="0"/>
    <x v="2"/>
    <x v="9"/>
    <x v="1"/>
    <x v="8"/>
    <x v="2"/>
  </r>
  <r>
    <x v="1580"/>
    <x v="8"/>
    <x v="9"/>
    <n v="38.5"/>
    <n v="192.5"/>
    <x v="58"/>
    <x v="58"/>
    <x v="1"/>
    <x v="4"/>
    <x v="2"/>
    <x v="10"/>
    <x v="7"/>
    <x v="8"/>
    <x v="1"/>
  </r>
  <r>
    <x v="1581"/>
    <x v="9"/>
    <x v="1"/>
    <n v="24"/>
    <n v="48"/>
    <x v="58"/>
    <x v="63"/>
    <x v="2"/>
    <x v="0"/>
    <x v="0"/>
    <x v="11"/>
    <x v="0"/>
    <x v="8"/>
    <x v="2"/>
  </r>
  <r>
    <x v="1582"/>
    <x v="4"/>
    <x v="2"/>
    <n v="28.2"/>
    <n v="84.6"/>
    <x v="58"/>
    <x v="57"/>
    <x v="1"/>
    <x v="0"/>
    <x v="3"/>
    <x v="18"/>
    <x v="1"/>
    <x v="8"/>
    <x v="1"/>
  </r>
  <r>
    <x v="1583"/>
    <x v="7"/>
    <x v="2"/>
    <n v="37.4"/>
    <n v="112.2"/>
    <x v="58"/>
    <x v="59"/>
    <x v="2"/>
    <x v="3"/>
    <x v="0"/>
    <x v="1"/>
    <x v="3"/>
    <x v="8"/>
    <x v="2"/>
  </r>
  <r>
    <x v="1584"/>
    <x v="6"/>
    <x v="2"/>
    <n v="53.5"/>
    <n v="160.5"/>
    <x v="58"/>
    <x v="62"/>
    <x v="0"/>
    <x v="4"/>
    <x v="4"/>
    <x v="1"/>
    <x v="2"/>
    <x v="8"/>
    <x v="0"/>
  </r>
  <r>
    <x v="1585"/>
    <x v="11"/>
    <x v="9"/>
    <n v="36.200000000000003"/>
    <n v="181"/>
    <x v="58"/>
    <x v="59"/>
    <x v="1"/>
    <x v="1"/>
    <x v="2"/>
    <x v="33"/>
    <x v="3"/>
    <x v="8"/>
    <x v="1"/>
  </r>
  <r>
    <x v="1586"/>
    <x v="0"/>
    <x v="8"/>
    <n v="31.9"/>
    <n v="255.2"/>
    <x v="58"/>
    <x v="59"/>
    <x v="2"/>
    <x v="4"/>
    <x v="0"/>
    <x v="3"/>
    <x v="3"/>
    <x v="8"/>
    <x v="2"/>
  </r>
  <r>
    <x v="1587"/>
    <x v="8"/>
    <x v="2"/>
    <n v="21.3"/>
    <n v="63.900000000000013"/>
    <x v="58"/>
    <x v="59"/>
    <x v="1"/>
    <x v="0"/>
    <x v="2"/>
    <x v="3"/>
    <x v="3"/>
    <x v="8"/>
    <x v="1"/>
  </r>
  <r>
    <x v="1588"/>
    <x v="8"/>
    <x v="0"/>
    <n v="36.299999999999997"/>
    <n v="36.299999999999997"/>
    <x v="58"/>
    <x v="57"/>
    <x v="3"/>
    <x v="4"/>
    <x v="0"/>
    <x v="3"/>
    <x v="1"/>
    <x v="8"/>
    <x v="3"/>
  </r>
  <r>
    <x v="1589"/>
    <x v="6"/>
    <x v="2"/>
    <n v="110.5"/>
    <n v="331.5"/>
    <x v="58"/>
    <x v="59"/>
    <x v="2"/>
    <x v="0"/>
    <x v="3"/>
    <x v="3"/>
    <x v="3"/>
    <x v="8"/>
    <x v="2"/>
  </r>
  <r>
    <x v="1590"/>
    <x v="10"/>
    <x v="3"/>
    <n v="32.6"/>
    <n v="228.2"/>
    <x v="58"/>
    <x v="57"/>
    <x v="2"/>
    <x v="0"/>
    <x v="1"/>
    <x v="3"/>
    <x v="1"/>
    <x v="8"/>
    <x v="2"/>
  </r>
  <r>
    <x v="1591"/>
    <x v="5"/>
    <x v="2"/>
    <n v="55.6"/>
    <n v="166.8"/>
    <x v="59"/>
    <x v="67"/>
    <x v="2"/>
    <x v="0"/>
    <x v="0"/>
    <x v="3"/>
    <x v="10"/>
    <x v="8"/>
    <x v="2"/>
  </r>
  <r>
    <x v="1592"/>
    <x v="1"/>
    <x v="12"/>
    <n v="38"/>
    <n v="152"/>
    <x v="59"/>
    <x v="57"/>
    <x v="2"/>
    <x v="3"/>
    <x v="2"/>
    <x v="5"/>
    <x v="3"/>
    <x v="8"/>
    <x v="2"/>
  </r>
  <r>
    <x v="1593"/>
    <x v="10"/>
    <x v="1"/>
    <n v="51.8"/>
    <n v="103.6"/>
    <x v="59"/>
    <x v="68"/>
    <x v="1"/>
    <x v="1"/>
    <x v="4"/>
    <x v="6"/>
    <x v="4"/>
    <x v="8"/>
    <x v="1"/>
  </r>
  <r>
    <x v="1594"/>
    <x v="11"/>
    <x v="8"/>
    <n v="28.7"/>
    <n v="229.6"/>
    <x v="59"/>
    <x v="66"/>
    <x v="2"/>
    <x v="0"/>
    <x v="0"/>
    <x v="6"/>
    <x v="0"/>
    <x v="8"/>
    <x v="2"/>
  </r>
  <r>
    <x v="1595"/>
    <x v="6"/>
    <x v="4"/>
    <n v="52.2"/>
    <n v="626.40000000000009"/>
    <x v="59"/>
    <x v="59"/>
    <x v="1"/>
    <x v="0"/>
    <x v="1"/>
    <x v="6"/>
    <x v="7"/>
    <x v="8"/>
    <x v="1"/>
  </r>
  <r>
    <x v="1596"/>
    <x v="1"/>
    <x v="1"/>
    <n v="68.2"/>
    <n v="136.4"/>
    <x v="59"/>
    <x v="57"/>
    <x v="0"/>
    <x v="2"/>
    <x v="0"/>
    <x v="7"/>
    <x v="3"/>
    <x v="8"/>
    <x v="0"/>
  </r>
  <r>
    <x v="1597"/>
    <x v="0"/>
    <x v="2"/>
    <n v="34"/>
    <n v="102"/>
    <x v="59"/>
    <x v="63"/>
    <x v="2"/>
    <x v="0"/>
    <x v="0"/>
    <x v="8"/>
    <x v="5"/>
    <x v="8"/>
    <x v="2"/>
  </r>
  <r>
    <x v="1598"/>
    <x v="8"/>
    <x v="2"/>
    <n v="19.100000000000001"/>
    <n v="57.3"/>
    <x v="59"/>
    <x v="57"/>
    <x v="2"/>
    <x v="4"/>
    <x v="0"/>
    <x v="8"/>
    <x v="3"/>
    <x v="8"/>
    <x v="2"/>
  </r>
  <r>
    <x v="1599"/>
    <x v="5"/>
    <x v="8"/>
    <n v="34"/>
    <n v="272"/>
    <x v="59"/>
    <x v="60"/>
    <x v="2"/>
    <x v="4"/>
    <x v="0"/>
    <x v="8"/>
    <x v="9"/>
    <x v="8"/>
    <x v="2"/>
  </r>
  <r>
    <x v="1600"/>
    <x v="12"/>
    <x v="1"/>
    <n v="109.1"/>
    <n v="218.2"/>
    <x v="59"/>
    <x v="62"/>
    <x v="1"/>
    <x v="0"/>
    <x v="2"/>
    <x v="8"/>
    <x v="1"/>
    <x v="8"/>
    <x v="1"/>
  </r>
  <r>
    <x v="1601"/>
    <x v="18"/>
    <x v="1"/>
    <n v="64.8"/>
    <n v="129.6"/>
    <x v="59"/>
    <x v="62"/>
    <x v="1"/>
    <x v="0"/>
    <x v="2"/>
    <x v="8"/>
    <x v="1"/>
    <x v="8"/>
    <x v="1"/>
  </r>
  <r>
    <x v="1602"/>
    <x v="10"/>
    <x v="1"/>
    <n v="21.1"/>
    <n v="42.2"/>
    <x v="59"/>
    <x v="59"/>
    <x v="2"/>
    <x v="1"/>
    <x v="0"/>
    <x v="11"/>
    <x v="7"/>
    <x v="8"/>
    <x v="2"/>
  </r>
  <r>
    <x v="1603"/>
    <x v="0"/>
    <x v="8"/>
    <n v="21.3"/>
    <n v="170.4"/>
    <x v="59"/>
    <x v="62"/>
    <x v="1"/>
    <x v="3"/>
    <x v="1"/>
    <x v="18"/>
    <x v="1"/>
    <x v="8"/>
    <x v="1"/>
  </r>
  <r>
    <x v="1604"/>
    <x v="9"/>
    <x v="2"/>
    <n v="24.3"/>
    <n v="72.900000000000006"/>
    <x v="59"/>
    <x v="57"/>
    <x v="1"/>
    <x v="1"/>
    <x v="0"/>
    <x v="19"/>
    <x v="3"/>
    <x v="8"/>
    <x v="1"/>
  </r>
  <r>
    <x v="1605"/>
    <x v="8"/>
    <x v="0"/>
    <n v="43.3"/>
    <n v="43.3"/>
    <x v="59"/>
    <x v="63"/>
    <x v="1"/>
    <x v="1"/>
    <x v="1"/>
    <x v="13"/>
    <x v="5"/>
    <x v="8"/>
    <x v="1"/>
  </r>
  <r>
    <x v="1606"/>
    <x v="9"/>
    <x v="2"/>
    <n v="41"/>
    <n v="123"/>
    <x v="59"/>
    <x v="57"/>
    <x v="2"/>
    <x v="3"/>
    <x v="4"/>
    <x v="21"/>
    <x v="3"/>
    <x v="8"/>
    <x v="2"/>
  </r>
  <r>
    <x v="1607"/>
    <x v="16"/>
    <x v="2"/>
    <n v="54.1"/>
    <n v="162.30000000000001"/>
    <x v="59"/>
    <x v="62"/>
    <x v="2"/>
    <x v="4"/>
    <x v="0"/>
    <x v="21"/>
    <x v="1"/>
    <x v="8"/>
    <x v="2"/>
  </r>
  <r>
    <x v="1608"/>
    <x v="11"/>
    <x v="1"/>
    <n v="39"/>
    <n v="78"/>
    <x v="59"/>
    <x v="57"/>
    <x v="1"/>
    <x v="1"/>
    <x v="2"/>
    <x v="1"/>
    <x v="3"/>
    <x v="8"/>
    <x v="1"/>
  </r>
  <r>
    <x v="1609"/>
    <x v="8"/>
    <x v="1"/>
    <n v="40.299999999999997"/>
    <n v="80.599999999999994"/>
    <x v="59"/>
    <x v="62"/>
    <x v="1"/>
    <x v="3"/>
    <x v="0"/>
    <x v="27"/>
    <x v="1"/>
    <x v="8"/>
    <x v="1"/>
  </r>
  <r>
    <x v="1610"/>
    <x v="8"/>
    <x v="2"/>
    <n v="24.1"/>
    <n v="72.300000000000011"/>
    <x v="59"/>
    <x v="57"/>
    <x v="1"/>
    <x v="0"/>
    <x v="2"/>
    <x v="0"/>
    <x v="3"/>
    <x v="8"/>
    <x v="1"/>
  </r>
  <r>
    <x v="1611"/>
    <x v="6"/>
    <x v="9"/>
    <n v="52.3"/>
    <n v="261.5"/>
    <x v="59"/>
    <x v="57"/>
    <x v="1"/>
    <x v="2"/>
    <x v="0"/>
    <x v="3"/>
    <x v="3"/>
    <x v="8"/>
    <x v="1"/>
  </r>
  <r>
    <x v="1612"/>
    <x v="12"/>
    <x v="12"/>
    <n v="68.8"/>
    <n v="275.2"/>
    <x v="59"/>
    <x v="63"/>
    <x v="2"/>
    <x v="4"/>
    <x v="2"/>
    <x v="3"/>
    <x v="5"/>
    <x v="8"/>
    <x v="2"/>
  </r>
  <r>
    <x v="1613"/>
    <x v="2"/>
    <x v="1"/>
    <n v="128.80000000000001"/>
    <n v="257.60000000000002"/>
    <x v="60"/>
    <x v="63"/>
    <x v="2"/>
    <x v="1"/>
    <x v="1"/>
    <x v="3"/>
    <x v="2"/>
    <x v="9"/>
    <x v="2"/>
  </r>
  <r>
    <x v="1614"/>
    <x v="15"/>
    <x v="9"/>
    <n v="48.2"/>
    <n v="241"/>
    <x v="60"/>
    <x v="61"/>
    <x v="2"/>
    <x v="3"/>
    <x v="0"/>
    <x v="3"/>
    <x v="1"/>
    <x v="9"/>
    <x v="2"/>
  </r>
  <r>
    <x v="1615"/>
    <x v="10"/>
    <x v="0"/>
    <n v="39.700000000000003"/>
    <n v="39.700000000000003"/>
    <x v="60"/>
    <x v="61"/>
    <x v="2"/>
    <x v="0"/>
    <x v="1"/>
    <x v="3"/>
    <x v="1"/>
    <x v="9"/>
    <x v="2"/>
  </r>
  <r>
    <x v="1616"/>
    <x v="9"/>
    <x v="0"/>
    <n v="59.7"/>
    <n v="59.7"/>
    <x v="60"/>
    <x v="63"/>
    <x v="2"/>
    <x v="4"/>
    <x v="0"/>
    <x v="3"/>
    <x v="2"/>
    <x v="9"/>
    <x v="2"/>
  </r>
  <r>
    <x v="1617"/>
    <x v="6"/>
    <x v="0"/>
    <n v="48.3"/>
    <n v="48.3"/>
    <x v="60"/>
    <x v="69"/>
    <x v="3"/>
    <x v="0"/>
    <x v="2"/>
    <x v="3"/>
    <x v="12"/>
    <x v="9"/>
    <x v="3"/>
  </r>
  <r>
    <x v="1618"/>
    <x v="8"/>
    <x v="2"/>
    <n v="45.5"/>
    <n v="136.5"/>
    <x v="60"/>
    <x v="61"/>
    <x v="1"/>
    <x v="2"/>
    <x v="1"/>
    <x v="3"/>
    <x v="1"/>
    <x v="9"/>
    <x v="1"/>
  </r>
  <r>
    <x v="1619"/>
    <x v="9"/>
    <x v="6"/>
    <n v="51"/>
    <n v="1377"/>
    <x v="60"/>
    <x v="57"/>
    <x v="2"/>
    <x v="2"/>
    <x v="0"/>
    <x v="3"/>
    <x v="7"/>
    <x v="9"/>
    <x v="2"/>
  </r>
  <r>
    <x v="1620"/>
    <x v="4"/>
    <x v="13"/>
    <n v="20.399999999999999"/>
    <n v="122.4"/>
    <x v="60"/>
    <x v="62"/>
    <x v="1"/>
    <x v="2"/>
    <x v="0"/>
    <x v="3"/>
    <x v="3"/>
    <x v="9"/>
    <x v="1"/>
  </r>
  <r>
    <x v="1621"/>
    <x v="10"/>
    <x v="1"/>
    <n v="30.4"/>
    <n v="60.8"/>
    <x v="60"/>
    <x v="61"/>
    <x v="1"/>
    <x v="2"/>
    <x v="0"/>
    <x v="3"/>
    <x v="1"/>
    <x v="9"/>
    <x v="1"/>
  </r>
  <r>
    <x v="1622"/>
    <x v="7"/>
    <x v="1"/>
    <n v="71.5"/>
    <n v="143"/>
    <x v="60"/>
    <x v="66"/>
    <x v="2"/>
    <x v="0"/>
    <x v="0"/>
    <x v="3"/>
    <x v="5"/>
    <x v="9"/>
    <x v="2"/>
  </r>
  <r>
    <x v="1623"/>
    <x v="8"/>
    <x v="13"/>
    <n v="18"/>
    <n v="108"/>
    <x v="60"/>
    <x v="62"/>
    <x v="3"/>
    <x v="1"/>
    <x v="2"/>
    <x v="6"/>
    <x v="3"/>
    <x v="9"/>
    <x v="3"/>
  </r>
  <r>
    <x v="1624"/>
    <x v="15"/>
    <x v="5"/>
    <n v="45.6"/>
    <n v="501.6"/>
    <x v="60"/>
    <x v="62"/>
    <x v="3"/>
    <x v="1"/>
    <x v="1"/>
    <x v="7"/>
    <x v="3"/>
    <x v="9"/>
    <x v="3"/>
  </r>
  <r>
    <x v="1625"/>
    <x v="9"/>
    <x v="0"/>
    <n v="31.8"/>
    <n v="31.8"/>
    <x v="60"/>
    <x v="66"/>
    <x v="2"/>
    <x v="0"/>
    <x v="2"/>
    <x v="7"/>
    <x v="5"/>
    <x v="9"/>
    <x v="2"/>
  </r>
  <r>
    <x v="1626"/>
    <x v="8"/>
    <x v="9"/>
    <n v="19.899999999999999"/>
    <n v="99.5"/>
    <x v="60"/>
    <x v="62"/>
    <x v="2"/>
    <x v="1"/>
    <x v="0"/>
    <x v="7"/>
    <x v="3"/>
    <x v="9"/>
    <x v="2"/>
  </r>
  <r>
    <x v="1627"/>
    <x v="12"/>
    <x v="11"/>
    <n v="52.1"/>
    <n v="468.9"/>
    <x v="60"/>
    <x v="61"/>
    <x v="1"/>
    <x v="0"/>
    <x v="0"/>
    <x v="8"/>
    <x v="1"/>
    <x v="9"/>
    <x v="1"/>
  </r>
  <r>
    <x v="1628"/>
    <x v="1"/>
    <x v="3"/>
    <n v="45.9"/>
    <n v="321.3"/>
    <x v="60"/>
    <x v="62"/>
    <x v="1"/>
    <x v="0"/>
    <x v="1"/>
    <x v="8"/>
    <x v="3"/>
    <x v="9"/>
    <x v="1"/>
  </r>
  <r>
    <x v="1629"/>
    <x v="1"/>
    <x v="7"/>
    <n v="115.9"/>
    <n v="1159"/>
    <x v="60"/>
    <x v="63"/>
    <x v="2"/>
    <x v="1"/>
    <x v="0"/>
    <x v="8"/>
    <x v="2"/>
    <x v="9"/>
    <x v="2"/>
  </r>
  <r>
    <x v="1630"/>
    <x v="6"/>
    <x v="11"/>
    <n v="86"/>
    <n v="774"/>
    <x v="60"/>
    <x v="68"/>
    <x v="2"/>
    <x v="0"/>
    <x v="1"/>
    <x v="8"/>
    <x v="0"/>
    <x v="9"/>
    <x v="2"/>
  </r>
  <r>
    <x v="1631"/>
    <x v="7"/>
    <x v="3"/>
    <n v="73.599999999999994"/>
    <n v="515.19999999999993"/>
    <x v="60"/>
    <x v="61"/>
    <x v="2"/>
    <x v="0"/>
    <x v="0"/>
    <x v="17"/>
    <x v="1"/>
    <x v="9"/>
    <x v="2"/>
  </r>
  <r>
    <x v="1632"/>
    <x v="10"/>
    <x v="2"/>
    <n v="26.7"/>
    <n v="80.099999999999994"/>
    <x v="60"/>
    <x v="66"/>
    <x v="2"/>
    <x v="0"/>
    <x v="0"/>
    <x v="11"/>
    <x v="5"/>
    <x v="9"/>
    <x v="2"/>
  </r>
  <r>
    <x v="1633"/>
    <x v="8"/>
    <x v="3"/>
    <n v="46.6"/>
    <n v="326.2"/>
    <x v="60"/>
    <x v="61"/>
    <x v="0"/>
    <x v="3"/>
    <x v="0"/>
    <x v="11"/>
    <x v="1"/>
    <x v="9"/>
    <x v="0"/>
  </r>
  <r>
    <x v="1634"/>
    <x v="3"/>
    <x v="2"/>
    <n v="84.6"/>
    <n v="253.8"/>
    <x v="60"/>
    <x v="61"/>
    <x v="1"/>
    <x v="4"/>
    <x v="0"/>
    <x v="11"/>
    <x v="1"/>
    <x v="9"/>
    <x v="1"/>
  </r>
  <r>
    <x v="1635"/>
    <x v="7"/>
    <x v="21"/>
    <n v="41.5"/>
    <n v="581"/>
    <x v="60"/>
    <x v="69"/>
    <x v="1"/>
    <x v="1"/>
    <x v="0"/>
    <x v="29"/>
    <x v="12"/>
    <x v="9"/>
    <x v="1"/>
  </r>
  <r>
    <x v="1636"/>
    <x v="8"/>
    <x v="0"/>
    <n v="32.799999999999997"/>
    <n v="32.799999999999997"/>
    <x v="60"/>
    <x v="63"/>
    <x v="1"/>
    <x v="0"/>
    <x v="2"/>
    <x v="30"/>
    <x v="2"/>
    <x v="9"/>
    <x v="1"/>
  </r>
  <r>
    <x v="1637"/>
    <x v="4"/>
    <x v="3"/>
    <n v="46.7"/>
    <n v="326.89999999999998"/>
    <x v="60"/>
    <x v="61"/>
    <x v="3"/>
    <x v="0"/>
    <x v="2"/>
    <x v="18"/>
    <x v="1"/>
    <x v="9"/>
    <x v="3"/>
  </r>
  <r>
    <x v="1638"/>
    <x v="15"/>
    <x v="3"/>
    <n v="21"/>
    <n v="147"/>
    <x v="60"/>
    <x v="63"/>
    <x v="1"/>
    <x v="2"/>
    <x v="1"/>
    <x v="21"/>
    <x v="2"/>
    <x v="9"/>
    <x v="1"/>
  </r>
  <r>
    <x v="1639"/>
    <x v="5"/>
    <x v="3"/>
    <n v="29.4"/>
    <n v="205.8"/>
    <x v="60"/>
    <x v="57"/>
    <x v="1"/>
    <x v="3"/>
    <x v="2"/>
    <x v="21"/>
    <x v="7"/>
    <x v="9"/>
    <x v="1"/>
  </r>
  <r>
    <x v="1640"/>
    <x v="15"/>
    <x v="1"/>
    <n v="32.299999999999997"/>
    <n v="64.599999999999994"/>
    <x v="60"/>
    <x v="62"/>
    <x v="1"/>
    <x v="0"/>
    <x v="2"/>
    <x v="21"/>
    <x v="3"/>
    <x v="9"/>
    <x v="1"/>
  </r>
  <r>
    <x v="1641"/>
    <x v="6"/>
    <x v="0"/>
    <n v="42.2"/>
    <n v="42.2"/>
    <x v="61"/>
    <x v="63"/>
    <x v="2"/>
    <x v="0"/>
    <x v="2"/>
    <x v="21"/>
    <x v="1"/>
    <x v="9"/>
    <x v="2"/>
  </r>
  <r>
    <x v="1642"/>
    <x v="6"/>
    <x v="0"/>
    <n v="53.7"/>
    <n v="53.7"/>
    <x v="61"/>
    <x v="63"/>
    <x v="1"/>
    <x v="1"/>
    <x v="1"/>
    <x v="1"/>
    <x v="1"/>
    <x v="9"/>
    <x v="1"/>
  </r>
  <r>
    <x v="1643"/>
    <x v="2"/>
    <x v="1"/>
    <n v="123.9"/>
    <n v="247.8"/>
    <x v="61"/>
    <x v="66"/>
    <x v="1"/>
    <x v="2"/>
    <x v="0"/>
    <x v="1"/>
    <x v="2"/>
    <x v="9"/>
    <x v="1"/>
  </r>
  <r>
    <x v="1644"/>
    <x v="4"/>
    <x v="2"/>
    <n v="35.9"/>
    <n v="107.7"/>
    <x v="61"/>
    <x v="63"/>
    <x v="1"/>
    <x v="2"/>
    <x v="0"/>
    <x v="22"/>
    <x v="1"/>
    <x v="9"/>
    <x v="1"/>
  </r>
  <r>
    <x v="1645"/>
    <x v="4"/>
    <x v="1"/>
    <n v="23.6"/>
    <n v="47.2"/>
    <x v="61"/>
    <x v="66"/>
    <x v="1"/>
    <x v="0"/>
    <x v="2"/>
    <x v="3"/>
    <x v="2"/>
    <x v="9"/>
    <x v="1"/>
  </r>
  <r>
    <x v="1646"/>
    <x v="15"/>
    <x v="36"/>
    <n v="45.7"/>
    <n v="1599.5"/>
    <x v="61"/>
    <x v="61"/>
    <x v="1"/>
    <x v="0"/>
    <x v="1"/>
    <x v="3"/>
    <x v="3"/>
    <x v="9"/>
    <x v="1"/>
  </r>
  <r>
    <x v="1647"/>
    <x v="6"/>
    <x v="5"/>
    <n v="118.3"/>
    <n v="1301.3"/>
    <x v="61"/>
    <x v="63"/>
    <x v="1"/>
    <x v="4"/>
    <x v="2"/>
    <x v="3"/>
    <x v="1"/>
    <x v="9"/>
    <x v="1"/>
  </r>
  <r>
    <x v="1648"/>
    <x v="19"/>
    <x v="0"/>
    <n v="36"/>
    <n v="36"/>
    <x v="61"/>
    <x v="61"/>
    <x v="2"/>
    <x v="0"/>
    <x v="1"/>
    <x v="3"/>
    <x v="3"/>
    <x v="9"/>
    <x v="2"/>
  </r>
  <r>
    <x v="1649"/>
    <x v="8"/>
    <x v="1"/>
    <n v="37.1"/>
    <n v="74.2"/>
    <x v="61"/>
    <x v="66"/>
    <x v="2"/>
    <x v="2"/>
    <x v="0"/>
    <x v="3"/>
    <x v="2"/>
    <x v="9"/>
    <x v="2"/>
  </r>
  <r>
    <x v="1650"/>
    <x v="18"/>
    <x v="2"/>
    <n v="45.1"/>
    <n v="135.30000000000001"/>
    <x v="61"/>
    <x v="63"/>
    <x v="2"/>
    <x v="1"/>
    <x v="2"/>
    <x v="3"/>
    <x v="1"/>
    <x v="9"/>
    <x v="2"/>
  </r>
  <r>
    <x v="1651"/>
    <x v="5"/>
    <x v="27"/>
    <n v="37.9"/>
    <n v="606.4"/>
    <x v="61"/>
    <x v="61"/>
    <x v="2"/>
    <x v="3"/>
    <x v="2"/>
    <x v="3"/>
    <x v="3"/>
    <x v="9"/>
    <x v="2"/>
  </r>
  <r>
    <x v="1652"/>
    <x v="2"/>
    <x v="1"/>
    <n v="121.6"/>
    <n v="243.2"/>
    <x v="61"/>
    <x v="66"/>
    <x v="1"/>
    <x v="3"/>
    <x v="2"/>
    <x v="3"/>
    <x v="2"/>
    <x v="9"/>
    <x v="1"/>
  </r>
  <r>
    <x v="1653"/>
    <x v="5"/>
    <x v="3"/>
    <n v="38.200000000000003"/>
    <n v="267.39999999999998"/>
    <x v="61"/>
    <x v="66"/>
    <x v="2"/>
    <x v="0"/>
    <x v="0"/>
    <x v="3"/>
    <x v="2"/>
    <x v="9"/>
    <x v="2"/>
  </r>
  <r>
    <x v="1654"/>
    <x v="17"/>
    <x v="1"/>
    <n v="37.200000000000003"/>
    <n v="74.400000000000006"/>
    <x v="61"/>
    <x v="66"/>
    <x v="1"/>
    <x v="4"/>
    <x v="0"/>
    <x v="3"/>
    <x v="2"/>
    <x v="9"/>
    <x v="1"/>
  </r>
  <r>
    <x v="1655"/>
    <x v="2"/>
    <x v="12"/>
    <n v="115.7"/>
    <n v="462.8"/>
    <x v="61"/>
    <x v="66"/>
    <x v="2"/>
    <x v="1"/>
    <x v="0"/>
    <x v="3"/>
    <x v="2"/>
    <x v="9"/>
    <x v="2"/>
  </r>
  <r>
    <x v="1656"/>
    <x v="2"/>
    <x v="13"/>
    <n v="99.4"/>
    <n v="596.40000000000009"/>
    <x v="61"/>
    <x v="66"/>
    <x v="1"/>
    <x v="0"/>
    <x v="2"/>
    <x v="3"/>
    <x v="2"/>
    <x v="9"/>
    <x v="1"/>
  </r>
  <r>
    <x v="1657"/>
    <x v="11"/>
    <x v="0"/>
    <n v="38.700000000000003"/>
    <n v="38.700000000000003"/>
    <x v="61"/>
    <x v="61"/>
    <x v="2"/>
    <x v="2"/>
    <x v="0"/>
    <x v="25"/>
    <x v="3"/>
    <x v="9"/>
    <x v="2"/>
  </r>
  <r>
    <x v="1658"/>
    <x v="4"/>
    <x v="1"/>
    <n v="35.5"/>
    <n v="71"/>
    <x v="61"/>
    <x v="66"/>
    <x v="1"/>
    <x v="0"/>
    <x v="2"/>
    <x v="25"/>
    <x v="2"/>
    <x v="9"/>
    <x v="1"/>
  </r>
  <r>
    <x v="1659"/>
    <x v="2"/>
    <x v="12"/>
    <n v="93.3"/>
    <n v="373.2"/>
    <x v="61"/>
    <x v="66"/>
    <x v="2"/>
    <x v="0"/>
    <x v="2"/>
    <x v="6"/>
    <x v="2"/>
    <x v="9"/>
    <x v="2"/>
  </r>
  <r>
    <x v="1660"/>
    <x v="16"/>
    <x v="0"/>
    <n v="31.4"/>
    <n v="31.4"/>
    <x v="61"/>
    <x v="70"/>
    <x v="2"/>
    <x v="2"/>
    <x v="2"/>
    <x v="6"/>
    <x v="0"/>
    <x v="9"/>
    <x v="2"/>
  </r>
  <r>
    <x v="1661"/>
    <x v="1"/>
    <x v="0"/>
    <n v="85.9"/>
    <n v="85.9"/>
    <x v="61"/>
    <x v="66"/>
    <x v="1"/>
    <x v="1"/>
    <x v="0"/>
    <x v="6"/>
    <x v="2"/>
    <x v="9"/>
    <x v="1"/>
  </r>
  <r>
    <x v="1662"/>
    <x v="6"/>
    <x v="8"/>
    <n v="41.7"/>
    <n v="333.6"/>
    <x v="61"/>
    <x v="71"/>
    <x v="1"/>
    <x v="0"/>
    <x v="2"/>
    <x v="7"/>
    <x v="9"/>
    <x v="9"/>
    <x v="1"/>
  </r>
  <r>
    <x v="1663"/>
    <x v="8"/>
    <x v="12"/>
    <n v="31.5"/>
    <n v="126"/>
    <x v="61"/>
    <x v="61"/>
    <x v="2"/>
    <x v="0"/>
    <x v="0"/>
    <x v="7"/>
    <x v="3"/>
    <x v="9"/>
    <x v="2"/>
  </r>
  <r>
    <x v="1664"/>
    <x v="8"/>
    <x v="1"/>
    <n v="36.299999999999997"/>
    <n v="72.599999999999994"/>
    <x v="61"/>
    <x v="61"/>
    <x v="2"/>
    <x v="0"/>
    <x v="4"/>
    <x v="8"/>
    <x v="3"/>
    <x v="9"/>
    <x v="2"/>
  </r>
  <r>
    <x v="1665"/>
    <x v="8"/>
    <x v="2"/>
    <n v="33.4"/>
    <n v="100.2"/>
    <x v="61"/>
    <x v="61"/>
    <x v="2"/>
    <x v="3"/>
    <x v="0"/>
    <x v="17"/>
    <x v="3"/>
    <x v="9"/>
    <x v="2"/>
  </r>
  <r>
    <x v="1666"/>
    <x v="2"/>
    <x v="2"/>
    <n v="65.2"/>
    <n v="195.6"/>
    <x v="61"/>
    <x v="61"/>
    <x v="2"/>
    <x v="2"/>
    <x v="2"/>
    <x v="26"/>
    <x v="3"/>
    <x v="9"/>
    <x v="2"/>
  </r>
  <r>
    <x v="1667"/>
    <x v="8"/>
    <x v="11"/>
    <n v="65.5"/>
    <n v="589.5"/>
    <x v="61"/>
    <x v="66"/>
    <x v="2"/>
    <x v="0"/>
    <x v="2"/>
    <x v="9"/>
    <x v="2"/>
    <x v="9"/>
    <x v="2"/>
  </r>
  <r>
    <x v="1668"/>
    <x v="6"/>
    <x v="2"/>
    <n v="52.8"/>
    <n v="158.4"/>
    <x v="61"/>
    <x v="66"/>
    <x v="1"/>
    <x v="2"/>
    <x v="0"/>
    <x v="9"/>
    <x v="2"/>
    <x v="9"/>
    <x v="1"/>
  </r>
  <r>
    <x v="1669"/>
    <x v="9"/>
    <x v="9"/>
    <n v="24"/>
    <n v="120"/>
    <x v="61"/>
    <x v="68"/>
    <x v="1"/>
    <x v="0"/>
    <x v="1"/>
    <x v="11"/>
    <x v="5"/>
    <x v="9"/>
    <x v="1"/>
  </r>
  <r>
    <x v="1670"/>
    <x v="3"/>
    <x v="2"/>
    <n v="51.2"/>
    <n v="153.6"/>
    <x v="61"/>
    <x v="61"/>
    <x v="2"/>
    <x v="0"/>
    <x v="0"/>
    <x v="32"/>
    <x v="3"/>
    <x v="9"/>
    <x v="2"/>
  </r>
  <r>
    <x v="1671"/>
    <x v="5"/>
    <x v="2"/>
    <n v="28.3"/>
    <n v="84.9"/>
    <x v="61"/>
    <x v="63"/>
    <x v="1"/>
    <x v="4"/>
    <x v="0"/>
    <x v="19"/>
    <x v="1"/>
    <x v="9"/>
    <x v="1"/>
  </r>
  <r>
    <x v="1672"/>
    <x v="6"/>
    <x v="2"/>
    <n v="42.3"/>
    <n v="126.9"/>
    <x v="61"/>
    <x v="62"/>
    <x v="2"/>
    <x v="2"/>
    <x v="1"/>
    <x v="19"/>
    <x v="7"/>
    <x v="9"/>
    <x v="2"/>
  </r>
  <r>
    <x v="1673"/>
    <x v="2"/>
    <x v="8"/>
    <n v="163.30000000000001"/>
    <n v="1306.4000000000001"/>
    <x v="62"/>
    <x v="63"/>
    <x v="2"/>
    <x v="1"/>
    <x v="0"/>
    <x v="13"/>
    <x v="3"/>
    <x v="9"/>
    <x v="2"/>
  </r>
  <r>
    <x v="1674"/>
    <x v="6"/>
    <x v="3"/>
    <n v="47.3"/>
    <n v="331.1"/>
    <x v="62"/>
    <x v="68"/>
    <x v="2"/>
    <x v="4"/>
    <x v="1"/>
    <x v="21"/>
    <x v="2"/>
    <x v="9"/>
    <x v="2"/>
  </r>
  <r>
    <x v="1675"/>
    <x v="8"/>
    <x v="27"/>
    <n v="27.3"/>
    <n v="436.8"/>
    <x v="62"/>
    <x v="63"/>
    <x v="2"/>
    <x v="2"/>
    <x v="0"/>
    <x v="21"/>
    <x v="3"/>
    <x v="9"/>
    <x v="2"/>
  </r>
  <r>
    <x v="1676"/>
    <x v="10"/>
    <x v="13"/>
    <n v="34.9"/>
    <n v="209.4"/>
    <x v="62"/>
    <x v="72"/>
    <x v="2"/>
    <x v="0"/>
    <x v="0"/>
    <x v="21"/>
    <x v="11"/>
    <x v="9"/>
    <x v="2"/>
  </r>
  <r>
    <x v="1677"/>
    <x v="6"/>
    <x v="1"/>
    <n v="53.9"/>
    <n v="107.8"/>
    <x v="62"/>
    <x v="68"/>
    <x v="3"/>
    <x v="0"/>
    <x v="4"/>
    <x v="1"/>
    <x v="2"/>
    <x v="9"/>
    <x v="3"/>
  </r>
  <r>
    <x v="1678"/>
    <x v="2"/>
    <x v="1"/>
    <n v="87.2"/>
    <n v="174.4"/>
    <x v="62"/>
    <x v="63"/>
    <x v="2"/>
    <x v="0"/>
    <x v="1"/>
    <x v="1"/>
    <x v="3"/>
    <x v="9"/>
    <x v="2"/>
  </r>
  <r>
    <x v="1679"/>
    <x v="15"/>
    <x v="0"/>
    <n v="58.8"/>
    <n v="58.8"/>
    <x v="62"/>
    <x v="66"/>
    <x v="2"/>
    <x v="2"/>
    <x v="0"/>
    <x v="20"/>
    <x v="1"/>
    <x v="9"/>
    <x v="2"/>
  </r>
  <r>
    <x v="1680"/>
    <x v="2"/>
    <x v="3"/>
    <n v="125.5"/>
    <n v="878.5"/>
    <x v="62"/>
    <x v="63"/>
    <x v="1"/>
    <x v="2"/>
    <x v="4"/>
    <x v="22"/>
    <x v="3"/>
    <x v="9"/>
    <x v="1"/>
  </r>
  <r>
    <x v="1681"/>
    <x v="1"/>
    <x v="12"/>
    <n v="124.6"/>
    <n v="498.4"/>
    <x v="62"/>
    <x v="66"/>
    <x v="2"/>
    <x v="0"/>
    <x v="1"/>
    <x v="22"/>
    <x v="1"/>
    <x v="9"/>
    <x v="2"/>
  </r>
  <r>
    <x v="1682"/>
    <x v="1"/>
    <x v="3"/>
    <n v="39.9"/>
    <n v="279.3"/>
    <x v="62"/>
    <x v="63"/>
    <x v="1"/>
    <x v="2"/>
    <x v="1"/>
    <x v="3"/>
    <x v="3"/>
    <x v="9"/>
    <x v="1"/>
  </r>
  <r>
    <x v="1683"/>
    <x v="6"/>
    <x v="0"/>
    <n v="94.6"/>
    <n v="94.6"/>
    <x v="62"/>
    <x v="73"/>
    <x v="2"/>
    <x v="0"/>
    <x v="1"/>
    <x v="3"/>
    <x v="12"/>
    <x v="9"/>
    <x v="2"/>
  </r>
  <r>
    <x v="1684"/>
    <x v="2"/>
    <x v="1"/>
    <n v="149.6"/>
    <n v="299.2"/>
    <x v="62"/>
    <x v="63"/>
    <x v="2"/>
    <x v="0"/>
    <x v="0"/>
    <x v="3"/>
    <x v="3"/>
    <x v="9"/>
    <x v="2"/>
  </r>
  <r>
    <x v="1685"/>
    <x v="8"/>
    <x v="0"/>
    <n v="52.2"/>
    <n v="52.2"/>
    <x v="62"/>
    <x v="63"/>
    <x v="0"/>
    <x v="1"/>
    <x v="0"/>
    <x v="3"/>
    <x v="3"/>
    <x v="9"/>
    <x v="0"/>
  </r>
  <r>
    <x v="1686"/>
    <x v="6"/>
    <x v="1"/>
    <n v="96.5"/>
    <n v="193"/>
    <x v="62"/>
    <x v="63"/>
    <x v="2"/>
    <x v="1"/>
    <x v="1"/>
    <x v="3"/>
    <x v="3"/>
    <x v="9"/>
    <x v="2"/>
  </r>
  <r>
    <x v="1687"/>
    <x v="8"/>
    <x v="1"/>
    <n v="79.8"/>
    <n v="159.6"/>
    <x v="62"/>
    <x v="66"/>
    <x v="2"/>
    <x v="0"/>
    <x v="1"/>
    <x v="3"/>
    <x v="1"/>
    <x v="9"/>
    <x v="2"/>
  </r>
  <r>
    <x v="1688"/>
    <x v="8"/>
    <x v="2"/>
    <n v="35.6"/>
    <n v="106.8"/>
    <x v="62"/>
    <x v="63"/>
    <x v="2"/>
    <x v="2"/>
    <x v="0"/>
    <x v="3"/>
    <x v="3"/>
    <x v="9"/>
    <x v="2"/>
  </r>
  <r>
    <x v="1689"/>
    <x v="16"/>
    <x v="0"/>
    <n v="50.2"/>
    <n v="50.2"/>
    <x v="62"/>
    <x v="63"/>
    <x v="2"/>
    <x v="1"/>
    <x v="2"/>
    <x v="3"/>
    <x v="3"/>
    <x v="9"/>
    <x v="2"/>
  </r>
  <r>
    <x v="1690"/>
    <x v="1"/>
    <x v="2"/>
    <n v="55.3"/>
    <n v="165.9"/>
    <x v="62"/>
    <x v="68"/>
    <x v="2"/>
    <x v="0"/>
    <x v="4"/>
    <x v="15"/>
    <x v="2"/>
    <x v="9"/>
    <x v="2"/>
  </r>
  <r>
    <x v="1691"/>
    <x v="6"/>
    <x v="3"/>
    <n v="104.5"/>
    <n v="731.5"/>
    <x v="62"/>
    <x v="70"/>
    <x v="2"/>
    <x v="1"/>
    <x v="0"/>
    <x v="7"/>
    <x v="5"/>
    <x v="9"/>
    <x v="2"/>
  </r>
  <r>
    <x v="1692"/>
    <x v="6"/>
    <x v="12"/>
    <n v="66.5"/>
    <n v="266"/>
    <x v="62"/>
    <x v="66"/>
    <x v="1"/>
    <x v="1"/>
    <x v="0"/>
    <x v="7"/>
    <x v="1"/>
    <x v="9"/>
    <x v="1"/>
  </r>
  <r>
    <x v="1693"/>
    <x v="10"/>
    <x v="8"/>
    <n v="38.299999999999997"/>
    <n v="306.39999999999998"/>
    <x v="62"/>
    <x v="63"/>
    <x v="2"/>
    <x v="0"/>
    <x v="0"/>
    <x v="7"/>
    <x v="3"/>
    <x v="9"/>
    <x v="2"/>
  </r>
  <r>
    <x v="1694"/>
    <x v="6"/>
    <x v="2"/>
    <n v="63.8"/>
    <n v="191.4"/>
    <x v="62"/>
    <x v="68"/>
    <x v="2"/>
    <x v="1"/>
    <x v="0"/>
    <x v="8"/>
    <x v="2"/>
    <x v="9"/>
    <x v="2"/>
  </r>
  <r>
    <x v="1695"/>
    <x v="15"/>
    <x v="0"/>
    <n v="21.4"/>
    <n v="21.4"/>
    <x v="62"/>
    <x v="61"/>
    <x v="1"/>
    <x v="4"/>
    <x v="0"/>
    <x v="8"/>
    <x v="7"/>
    <x v="9"/>
    <x v="1"/>
  </r>
  <r>
    <x v="1696"/>
    <x v="8"/>
    <x v="12"/>
    <n v="44.1"/>
    <n v="176.4"/>
    <x v="62"/>
    <x v="66"/>
    <x v="2"/>
    <x v="2"/>
    <x v="0"/>
    <x v="8"/>
    <x v="1"/>
    <x v="9"/>
    <x v="2"/>
  </r>
  <r>
    <x v="1697"/>
    <x v="5"/>
    <x v="8"/>
    <n v="57.6"/>
    <n v="460.8"/>
    <x v="62"/>
    <x v="66"/>
    <x v="1"/>
    <x v="1"/>
    <x v="2"/>
    <x v="8"/>
    <x v="1"/>
    <x v="9"/>
    <x v="1"/>
  </r>
  <r>
    <x v="1698"/>
    <x v="9"/>
    <x v="1"/>
    <n v="20.3"/>
    <n v="40.6"/>
    <x v="62"/>
    <x v="65"/>
    <x v="2"/>
    <x v="3"/>
    <x v="0"/>
    <x v="8"/>
    <x v="4"/>
    <x v="9"/>
    <x v="2"/>
  </r>
  <r>
    <x v="1699"/>
    <x v="8"/>
    <x v="0"/>
    <n v="22.9"/>
    <n v="22.9"/>
    <x v="62"/>
    <x v="66"/>
    <x v="2"/>
    <x v="2"/>
    <x v="2"/>
    <x v="8"/>
    <x v="1"/>
    <x v="9"/>
    <x v="2"/>
  </r>
  <r>
    <x v="1700"/>
    <x v="6"/>
    <x v="12"/>
    <n v="105.9"/>
    <n v="423.6"/>
    <x v="62"/>
    <x v="63"/>
    <x v="2"/>
    <x v="1"/>
    <x v="2"/>
    <x v="17"/>
    <x v="3"/>
    <x v="9"/>
    <x v="2"/>
  </r>
  <r>
    <x v="1701"/>
    <x v="1"/>
    <x v="11"/>
    <n v="37.4"/>
    <n v="336.6"/>
    <x v="62"/>
    <x v="70"/>
    <x v="1"/>
    <x v="1"/>
    <x v="0"/>
    <x v="11"/>
    <x v="5"/>
    <x v="9"/>
    <x v="1"/>
  </r>
  <r>
    <x v="1702"/>
    <x v="18"/>
    <x v="1"/>
    <n v="79"/>
    <n v="158"/>
    <x v="62"/>
    <x v="63"/>
    <x v="1"/>
    <x v="2"/>
    <x v="0"/>
    <x v="28"/>
    <x v="3"/>
    <x v="9"/>
    <x v="1"/>
  </r>
  <r>
    <x v="1703"/>
    <x v="0"/>
    <x v="2"/>
    <n v="19.3"/>
    <n v="57.900000000000013"/>
    <x v="62"/>
    <x v="63"/>
    <x v="2"/>
    <x v="4"/>
    <x v="0"/>
    <x v="21"/>
    <x v="3"/>
    <x v="9"/>
    <x v="2"/>
  </r>
  <r>
    <x v="1704"/>
    <x v="0"/>
    <x v="0"/>
    <n v="24"/>
    <n v="24"/>
    <x v="62"/>
    <x v="63"/>
    <x v="2"/>
    <x v="1"/>
    <x v="0"/>
    <x v="1"/>
    <x v="3"/>
    <x v="9"/>
    <x v="2"/>
  </r>
  <r>
    <x v="1705"/>
    <x v="6"/>
    <x v="9"/>
    <n v="71.3"/>
    <n v="356.5"/>
    <x v="62"/>
    <x v="68"/>
    <x v="2"/>
    <x v="2"/>
    <x v="0"/>
    <x v="2"/>
    <x v="2"/>
    <x v="9"/>
    <x v="2"/>
  </r>
  <r>
    <x v="1706"/>
    <x v="5"/>
    <x v="1"/>
    <n v="166.2"/>
    <n v="332.4"/>
    <x v="62"/>
    <x v="63"/>
    <x v="1"/>
    <x v="0"/>
    <x v="2"/>
    <x v="26"/>
    <x v="3"/>
    <x v="9"/>
    <x v="1"/>
  </r>
  <r>
    <x v="1707"/>
    <x v="6"/>
    <x v="0"/>
    <n v="81"/>
    <n v="81"/>
    <x v="62"/>
    <x v="63"/>
    <x v="2"/>
    <x v="2"/>
    <x v="1"/>
    <x v="3"/>
    <x v="3"/>
    <x v="9"/>
    <x v="2"/>
  </r>
  <r>
    <x v="1708"/>
    <x v="10"/>
    <x v="13"/>
    <n v="38.5"/>
    <n v="231"/>
    <x v="62"/>
    <x v="70"/>
    <x v="2"/>
    <x v="0"/>
    <x v="0"/>
    <x v="3"/>
    <x v="5"/>
    <x v="9"/>
    <x v="2"/>
  </r>
  <r>
    <x v="1709"/>
    <x v="6"/>
    <x v="0"/>
    <n v="86.1"/>
    <n v="86.1"/>
    <x v="62"/>
    <x v="66"/>
    <x v="2"/>
    <x v="3"/>
    <x v="0"/>
    <x v="3"/>
    <x v="1"/>
    <x v="9"/>
    <x v="2"/>
  </r>
  <r>
    <x v="1710"/>
    <x v="2"/>
    <x v="9"/>
    <n v="51"/>
    <n v="255"/>
    <x v="62"/>
    <x v="63"/>
    <x v="1"/>
    <x v="0"/>
    <x v="1"/>
    <x v="3"/>
    <x v="3"/>
    <x v="9"/>
    <x v="1"/>
  </r>
  <r>
    <x v="1711"/>
    <x v="3"/>
    <x v="9"/>
    <n v="115.4"/>
    <n v="577"/>
    <x v="62"/>
    <x v="63"/>
    <x v="1"/>
    <x v="0"/>
    <x v="0"/>
    <x v="3"/>
    <x v="3"/>
    <x v="9"/>
    <x v="1"/>
  </r>
  <r>
    <x v="1712"/>
    <x v="6"/>
    <x v="12"/>
    <n v="176.5"/>
    <n v="706"/>
    <x v="62"/>
    <x v="63"/>
    <x v="2"/>
    <x v="2"/>
    <x v="2"/>
    <x v="3"/>
    <x v="3"/>
    <x v="9"/>
    <x v="2"/>
  </r>
  <r>
    <x v="1713"/>
    <x v="7"/>
    <x v="2"/>
    <n v="48.9"/>
    <n v="146.69999999999999"/>
    <x v="62"/>
    <x v="63"/>
    <x v="1"/>
    <x v="4"/>
    <x v="0"/>
    <x v="3"/>
    <x v="3"/>
    <x v="9"/>
    <x v="1"/>
  </r>
  <r>
    <x v="1714"/>
    <x v="8"/>
    <x v="2"/>
    <n v="18.100000000000001"/>
    <n v="54.3"/>
    <x v="62"/>
    <x v="71"/>
    <x v="2"/>
    <x v="1"/>
    <x v="2"/>
    <x v="29"/>
    <x v="6"/>
    <x v="9"/>
    <x v="2"/>
  </r>
  <r>
    <x v="1715"/>
    <x v="2"/>
    <x v="1"/>
    <n v="118.5"/>
    <n v="237"/>
    <x v="62"/>
    <x v="68"/>
    <x v="1"/>
    <x v="1"/>
    <x v="2"/>
    <x v="16"/>
    <x v="2"/>
    <x v="9"/>
    <x v="1"/>
  </r>
  <r>
    <x v="1716"/>
    <x v="15"/>
    <x v="3"/>
    <n v="59.1"/>
    <n v="413.7"/>
    <x v="62"/>
    <x v="63"/>
    <x v="2"/>
    <x v="3"/>
    <x v="0"/>
    <x v="25"/>
    <x v="3"/>
    <x v="9"/>
    <x v="2"/>
  </r>
  <r>
    <x v="1717"/>
    <x v="4"/>
    <x v="0"/>
    <n v="21.2"/>
    <n v="21.2"/>
    <x v="62"/>
    <x v="63"/>
    <x v="2"/>
    <x v="0"/>
    <x v="1"/>
    <x v="6"/>
    <x v="3"/>
    <x v="9"/>
    <x v="2"/>
  </r>
  <r>
    <x v="1718"/>
    <x v="6"/>
    <x v="1"/>
    <n v="68.8"/>
    <n v="137.6"/>
    <x v="62"/>
    <x v="60"/>
    <x v="2"/>
    <x v="3"/>
    <x v="2"/>
    <x v="6"/>
    <x v="0"/>
    <x v="9"/>
    <x v="2"/>
  </r>
  <r>
    <x v="1719"/>
    <x v="6"/>
    <x v="1"/>
    <n v="65.400000000000006"/>
    <n v="130.80000000000001"/>
    <x v="62"/>
    <x v="70"/>
    <x v="2"/>
    <x v="0"/>
    <x v="0"/>
    <x v="6"/>
    <x v="5"/>
    <x v="9"/>
    <x v="2"/>
  </r>
  <r>
    <x v="1720"/>
    <x v="12"/>
    <x v="9"/>
    <n v="66.3"/>
    <n v="331.5"/>
    <x v="63"/>
    <x v="70"/>
    <x v="2"/>
    <x v="4"/>
    <x v="0"/>
    <x v="6"/>
    <x v="2"/>
    <x v="9"/>
    <x v="2"/>
  </r>
  <r>
    <x v="1721"/>
    <x v="6"/>
    <x v="2"/>
    <n v="97.5"/>
    <n v="292.5"/>
    <x v="63"/>
    <x v="63"/>
    <x v="1"/>
    <x v="3"/>
    <x v="0"/>
    <x v="8"/>
    <x v="7"/>
    <x v="9"/>
    <x v="1"/>
  </r>
  <r>
    <x v="1722"/>
    <x v="1"/>
    <x v="1"/>
    <n v="44"/>
    <n v="88"/>
    <x v="63"/>
    <x v="70"/>
    <x v="2"/>
    <x v="1"/>
    <x v="2"/>
    <x v="8"/>
    <x v="2"/>
    <x v="9"/>
    <x v="2"/>
  </r>
  <r>
    <x v="1723"/>
    <x v="0"/>
    <x v="0"/>
    <n v="21.9"/>
    <n v="21.9"/>
    <x v="63"/>
    <x v="66"/>
    <x v="1"/>
    <x v="0"/>
    <x v="0"/>
    <x v="8"/>
    <x v="3"/>
    <x v="9"/>
    <x v="1"/>
  </r>
  <r>
    <x v="1724"/>
    <x v="4"/>
    <x v="3"/>
    <n v="21.5"/>
    <n v="150.5"/>
    <x v="63"/>
    <x v="68"/>
    <x v="2"/>
    <x v="1"/>
    <x v="2"/>
    <x v="9"/>
    <x v="1"/>
    <x v="9"/>
    <x v="2"/>
  </r>
  <r>
    <x v="1725"/>
    <x v="12"/>
    <x v="13"/>
    <n v="133"/>
    <n v="798"/>
    <x v="63"/>
    <x v="66"/>
    <x v="3"/>
    <x v="0"/>
    <x v="2"/>
    <x v="10"/>
    <x v="3"/>
    <x v="9"/>
    <x v="3"/>
  </r>
  <r>
    <x v="1726"/>
    <x v="8"/>
    <x v="1"/>
    <n v="47.7"/>
    <n v="95.4"/>
    <x v="63"/>
    <x v="60"/>
    <x v="1"/>
    <x v="0"/>
    <x v="2"/>
    <x v="10"/>
    <x v="5"/>
    <x v="9"/>
    <x v="1"/>
  </r>
  <r>
    <x v="1727"/>
    <x v="16"/>
    <x v="2"/>
    <n v="58.1"/>
    <n v="174.3"/>
    <x v="63"/>
    <x v="66"/>
    <x v="2"/>
    <x v="0"/>
    <x v="0"/>
    <x v="11"/>
    <x v="3"/>
    <x v="9"/>
    <x v="2"/>
  </r>
  <r>
    <x v="1728"/>
    <x v="12"/>
    <x v="12"/>
    <n v="66.599999999999994"/>
    <n v="266.39999999999998"/>
    <x v="63"/>
    <x v="66"/>
    <x v="0"/>
    <x v="0"/>
    <x v="0"/>
    <x v="11"/>
    <x v="3"/>
    <x v="9"/>
    <x v="0"/>
  </r>
  <r>
    <x v="1729"/>
    <x v="9"/>
    <x v="0"/>
    <n v="24.1"/>
    <n v="24.1"/>
    <x v="63"/>
    <x v="70"/>
    <x v="1"/>
    <x v="2"/>
    <x v="1"/>
    <x v="19"/>
    <x v="2"/>
    <x v="9"/>
    <x v="1"/>
  </r>
  <r>
    <x v="1730"/>
    <x v="10"/>
    <x v="9"/>
    <n v="51.5"/>
    <n v="257.5"/>
    <x v="63"/>
    <x v="65"/>
    <x v="2"/>
    <x v="0"/>
    <x v="0"/>
    <x v="13"/>
    <x v="0"/>
    <x v="9"/>
    <x v="2"/>
  </r>
  <r>
    <x v="1731"/>
    <x v="0"/>
    <x v="5"/>
    <n v="25.8"/>
    <n v="283.8"/>
    <x v="63"/>
    <x v="60"/>
    <x v="2"/>
    <x v="3"/>
    <x v="4"/>
    <x v="21"/>
    <x v="5"/>
    <x v="9"/>
    <x v="2"/>
  </r>
  <r>
    <x v="1732"/>
    <x v="9"/>
    <x v="12"/>
    <n v="47.7"/>
    <n v="190.8"/>
    <x v="63"/>
    <x v="63"/>
    <x v="2"/>
    <x v="0"/>
    <x v="1"/>
    <x v="21"/>
    <x v="7"/>
    <x v="9"/>
    <x v="2"/>
  </r>
  <r>
    <x v="1733"/>
    <x v="7"/>
    <x v="9"/>
    <n v="73.599999999999994"/>
    <n v="368"/>
    <x v="63"/>
    <x v="60"/>
    <x v="1"/>
    <x v="1"/>
    <x v="0"/>
    <x v="21"/>
    <x v="5"/>
    <x v="9"/>
    <x v="1"/>
  </r>
  <r>
    <x v="1734"/>
    <x v="5"/>
    <x v="3"/>
    <n v="91.2"/>
    <n v="638.4"/>
    <x v="63"/>
    <x v="66"/>
    <x v="1"/>
    <x v="1"/>
    <x v="2"/>
    <x v="21"/>
    <x v="3"/>
    <x v="9"/>
    <x v="1"/>
  </r>
  <r>
    <x v="1735"/>
    <x v="1"/>
    <x v="8"/>
    <n v="36.200000000000003"/>
    <n v="289.60000000000002"/>
    <x v="63"/>
    <x v="63"/>
    <x v="1"/>
    <x v="2"/>
    <x v="2"/>
    <x v="1"/>
    <x v="7"/>
    <x v="9"/>
    <x v="1"/>
  </r>
  <r>
    <x v="1736"/>
    <x v="9"/>
    <x v="8"/>
    <n v="98"/>
    <n v="784"/>
    <x v="63"/>
    <x v="60"/>
    <x v="2"/>
    <x v="2"/>
    <x v="0"/>
    <x v="2"/>
    <x v="5"/>
    <x v="9"/>
    <x v="2"/>
  </r>
  <r>
    <x v="1737"/>
    <x v="1"/>
    <x v="8"/>
    <n v="43.6"/>
    <n v="348.8"/>
    <x v="63"/>
    <x v="66"/>
    <x v="2"/>
    <x v="2"/>
    <x v="0"/>
    <x v="22"/>
    <x v="3"/>
    <x v="9"/>
    <x v="2"/>
  </r>
  <r>
    <x v="1738"/>
    <x v="8"/>
    <x v="7"/>
    <n v="37.799999999999997"/>
    <n v="378"/>
    <x v="63"/>
    <x v="63"/>
    <x v="3"/>
    <x v="0"/>
    <x v="0"/>
    <x v="26"/>
    <x v="7"/>
    <x v="9"/>
    <x v="3"/>
  </r>
  <r>
    <x v="1739"/>
    <x v="17"/>
    <x v="9"/>
    <n v="63.7"/>
    <n v="318.5"/>
    <x v="63"/>
    <x v="70"/>
    <x v="2"/>
    <x v="2"/>
    <x v="1"/>
    <x v="3"/>
    <x v="2"/>
    <x v="9"/>
    <x v="2"/>
  </r>
  <r>
    <x v="1740"/>
    <x v="5"/>
    <x v="11"/>
    <n v="62.9"/>
    <n v="566.1"/>
    <x v="63"/>
    <x v="65"/>
    <x v="1"/>
    <x v="3"/>
    <x v="2"/>
    <x v="3"/>
    <x v="0"/>
    <x v="9"/>
    <x v="1"/>
  </r>
  <r>
    <x v="1741"/>
    <x v="6"/>
    <x v="3"/>
    <n v="61.7"/>
    <n v="431.9"/>
    <x v="63"/>
    <x v="70"/>
    <x v="2"/>
    <x v="2"/>
    <x v="2"/>
    <x v="3"/>
    <x v="2"/>
    <x v="9"/>
    <x v="2"/>
  </r>
  <r>
    <x v="1742"/>
    <x v="18"/>
    <x v="21"/>
    <n v="36.5"/>
    <n v="511"/>
    <x v="63"/>
    <x v="66"/>
    <x v="1"/>
    <x v="0"/>
    <x v="2"/>
    <x v="3"/>
    <x v="3"/>
    <x v="9"/>
    <x v="1"/>
  </r>
  <r>
    <x v="1743"/>
    <x v="11"/>
    <x v="2"/>
    <n v="98.6"/>
    <n v="295.8"/>
    <x v="63"/>
    <x v="70"/>
    <x v="3"/>
    <x v="0"/>
    <x v="4"/>
    <x v="3"/>
    <x v="2"/>
    <x v="9"/>
    <x v="3"/>
  </r>
  <r>
    <x v="1744"/>
    <x v="8"/>
    <x v="1"/>
    <n v="19.2"/>
    <n v="38.4"/>
    <x v="63"/>
    <x v="72"/>
    <x v="1"/>
    <x v="0"/>
    <x v="0"/>
    <x v="3"/>
    <x v="14"/>
    <x v="9"/>
    <x v="1"/>
  </r>
  <r>
    <x v="1745"/>
    <x v="3"/>
    <x v="13"/>
    <n v="55.6"/>
    <n v="333.6"/>
    <x v="63"/>
    <x v="60"/>
    <x v="2"/>
    <x v="0"/>
    <x v="2"/>
    <x v="3"/>
    <x v="5"/>
    <x v="9"/>
    <x v="2"/>
  </r>
  <r>
    <x v="1746"/>
    <x v="5"/>
    <x v="13"/>
    <n v="56.4"/>
    <n v="338.4"/>
    <x v="63"/>
    <x v="66"/>
    <x v="2"/>
    <x v="1"/>
    <x v="0"/>
    <x v="3"/>
    <x v="3"/>
    <x v="9"/>
    <x v="2"/>
  </r>
  <r>
    <x v="1747"/>
    <x v="4"/>
    <x v="8"/>
    <n v="43.1"/>
    <n v="344.8"/>
    <x v="63"/>
    <x v="60"/>
    <x v="2"/>
    <x v="4"/>
    <x v="0"/>
    <x v="3"/>
    <x v="5"/>
    <x v="9"/>
    <x v="2"/>
  </r>
  <r>
    <x v="1748"/>
    <x v="1"/>
    <x v="1"/>
    <n v="77.3"/>
    <n v="154.6"/>
    <x v="63"/>
    <x v="68"/>
    <x v="1"/>
    <x v="0"/>
    <x v="0"/>
    <x v="6"/>
    <x v="1"/>
    <x v="9"/>
    <x v="1"/>
  </r>
  <r>
    <x v="1749"/>
    <x v="9"/>
    <x v="8"/>
    <n v="38.299999999999997"/>
    <n v="306.39999999999998"/>
    <x v="63"/>
    <x v="66"/>
    <x v="1"/>
    <x v="0"/>
    <x v="0"/>
    <x v="7"/>
    <x v="3"/>
    <x v="9"/>
    <x v="1"/>
  </r>
  <r>
    <x v="1750"/>
    <x v="0"/>
    <x v="3"/>
    <n v="16.8"/>
    <n v="117.6"/>
    <x v="63"/>
    <x v="70"/>
    <x v="1"/>
    <x v="2"/>
    <x v="1"/>
    <x v="8"/>
    <x v="2"/>
    <x v="9"/>
    <x v="1"/>
  </r>
  <r>
    <x v="1751"/>
    <x v="2"/>
    <x v="2"/>
    <n v="63.2"/>
    <n v="189.6"/>
    <x v="63"/>
    <x v="66"/>
    <x v="2"/>
    <x v="0"/>
    <x v="2"/>
    <x v="8"/>
    <x v="3"/>
    <x v="9"/>
    <x v="2"/>
  </r>
  <r>
    <x v="1752"/>
    <x v="14"/>
    <x v="44"/>
    <n v="39.700000000000003"/>
    <n v="913.1"/>
    <x v="63"/>
    <x v="66"/>
    <x v="1"/>
    <x v="0"/>
    <x v="0"/>
    <x v="8"/>
    <x v="3"/>
    <x v="9"/>
    <x v="1"/>
  </r>
  <r>
    <x v="1753"/>
    <x v="10"/>
    <x v="2"/>
    <n v="45.8"/>
    <n v="137.4"/>
    <x v="63"/>
    <x v="66"/>
    <x v="2"/>
    <x v="1"/>
    <x v="2"/>
    <x v="8"/>
    <x v="3"/>
    <x v="9"/>
    <x v="2"/>
  </r>
  <r>
    <x v="1754"/>
    <x v="0"/>
    <x v="13"/>
    <n v="12.4"/>
    <n v="74.400000000000006"/>
    <x v="63"/>
    <x v="70"/>
    <x v="1"/>
    <x v="0"/>
    <x v="0"/>
    <x v="8"/>
    <x v="2"/>
    <x v="9"/>
    <x v="1"/>
  </r>
  <r>
    <x v="1755"/>
    <x v="14"/>
    <x v="2"/>
    <n v="50.8"/>
    <n v="152.4"/>
    <x v="64"/>
    <x v="66"/>
    <x v="2"/>
    <x v="4"/>
    <x v="0"/>
    <x v="17"/>
    <x v="7"/>
    <x v="9"/>
    <x v="2"/>
  </r>
  <r>
    <x v="1756"/>
    <x v="9"/>
    <x v="0"/>
    <n v="76"/>
    <n v="76"/>
    <x v="64"/>
    <x v="65"/>
    <x v="3"/>
    <x v="2"/>
    <x v="2"/>
    <x v="17"/>
    <x v="5"/>
    <x v="9"/>
    <x v="3"/>
  </r>
  <r>
    <x v="1757"/>
    <x v="1"/>
    <x v="1"/>
    <n v="51.9"/>
    <n v="103.8"/>
    <x v="64"/>
    <x v="68"/>
    <x v="1"/>
    <x v="1"/>
    <x v="2"/>
    <x v="26"/>
    <x v="3"/>
    <x v="9"/>
    <x v="1"/>
  </r>
  <r>
    <x v="1758"/>
    <x v="2"/>
    <x v="1"/>
    <n v="93.4"/>
    <n v="186.8"/>
    <x v="64"/>
    <x v="64"/>
    <x v="1"/>
    <x v="0"/>
    <x v="3"/>
    <x v="11"/>
    <x v="6"/>
    <x v="9"/>
    <x v="1"/>
  </r>
  <r>
    <x v="1759"/>
    <x v="7"/>
    <x v="13"/>
    <n v="30.8"/>
    <n v="184.8"/>
    <x v="64"/>
    <x v="60"/>
    <x v="2"/>
    <x v="1"/>
    <x v="0"/>
    <x v="11"/>
    <x v="2"/>
    <x v="9"/>
    <x v="2"/>
  </r>
  <r>
    <x v="1760"/>
    <x v="2"/>
    <x v="0"/>
    <n v="143.19999999999999"/>
    <n v="143.19999999999999"/>
    <x v="64"/>
    <x v="60"/>
    <x v="1"/>
    <x v="2"/>
    <x v="0"/>
    <x v="11"/>
    <x v="2"/>
    <x v="9"/>
    <x v="1"/>
  </r>
  <r>
    <x v="1761"/>
    <x v="6"/>
    <x v="5"/>
    <n v="40.4"/>
    <n v="444.4"/>
    <x v="64"/>
    <x v="70"/>
    <x v="1"/>
    <x v="2"/>
    <x v="2"/>
    <x v="18"/>
    <x v="1"/>
    <x v="9"/>
    <x v="1"/>
  </r>
  <r>
    <x v="1762"/>
    <x v="2"/>
    <x v="10"/>
    <n v="131.5"/>
    <n v="2498.5"/>
    <x v="64"/>
    <x v="70"/>
    <x v="1"/>
    <x v="1"/>
    <x v="1"/>
    <x v="18"/>
    <x v="1"/>
    <x v="9"/>
    <x v="1"/>
  </r>
  <r>
    <x v="1763"/>
    <x v="18"/>
    <x v="3"/>
    <n v="61.6"/>
    <n v="431.2"/>
    <x v="64"/>
    <x v="68"/>
    <x v="1"/>
    <x v="2"/>
    <x v="0"/>
    <x v="21"/>
    <x v="3"/>
    <x v="9"/>
    <x v="1"/>
  </r>
  <r>
    <x v="1764"/>
    <x v="9"/>
    <x v="9"/>
    <n v="32.700000000000003"/>
    <n v="163.5"/>
    <x v="64"/>
    <x v="70"/>
    <x v="1"/>
    <x v="2"/>
    <x v="0"/>
    <x v="1"/>
    <x v="1"/>
    <x v="9"/>
    <x v="1"/>
  </r>
  <r>
    <x v="1765"/>
    <x v="0"/>
    <x v="7"/>
    <n v="13.7"/>
    <n v="137"/>
    <x v="64"/>
    <x v="68"/>
    <x v="1"/>
    <x v="0"/>
    <x v="2"/>
    <x v="3"/>
    <x v="3"/>
    <x v="9"/>
    <x v="1"/>
  </r>
  <r>
    <x v="1766"/>
    <x v="0"/>
    <x v="12"/>
    <n v="32.1"/>
    <n v="128.4"/>
    <x v="64"/>
    <x v="68"/>
    <x v="1"/>
    <x v="4"/>
    <x v="1"/>
    <x v="3"/>
    <x v="3"/>
    <x v="9"/>
    <x v="1"/>
  </r>
  <r>
    <x v="1767"/>
    <x v="14"/>
    <x v="8"/>
    <n v="12"/>
    <n v="96"/>
    <x v="64"/>
    <x v="68"/>
    <x v="1"/>
    <x v="1"/>
    <x v="0"/>
    <x v="24"/>
    <x v="3"/>
    <x v="9"/>
    <x v="1"/>
  </r>
  <r>
    <x v="1768"/>
    <x v="12"/>
    <x v="0"/>
    <n v="64.3"/>
    <n v="64.3"/>
    <x v="64"/>
    <x v="70"/>
    <x v="2"/>
    <x v="2"/>
    <x v="2"/>
    <x v="6"/>
    <x v="1"/>
    <x v="9"/>
    <x v="2"/>
  </r>
  <r>
    <x v="1769"/>
    <x v="1"/>
    <x v="2"/>
    <n v="58.2"/>
    <n v="174.6"/>
    <x v="64"/>
    <x v="70"/>
    <x v="2"/>
    <x v="1"/>
    <x v="2"/>
    <x v="6"/>
    <x v="1"/>
    <x v="9"/>
    <x v="2"/>
  </r>
  <r>
    <x v="1770"/>
    <x v="6"/>
    <x v="12"/>
    <n v="59.2"/>
    <n v="236.8"/>
    <x v="64"/>
    <x v="66"/>
    <x v="1"/>
    <x v="1"/>
    <x v="2"/>
    <x v="6"/>
    <x v="7"/>
    <x v="9"/>
    <x v="1"/>
  </r>
  <r>
    <x v="1771"/>
    <x v="10"/>
    <x v="5"/>
    <n v="35.6"/>
    <n v="391.6"/>
    <x v="64"/>
    <x v="64"/>
    <x v="1"/>
    <x v="0"/>
    <x v="2"/>
    <x v="8"/>
    <x v="6"/>
    <x v="9"/>
    <x v="1"/>
  </r>
  <r>
    <x v="1772"/>
    <x v="16"/>
    <x v="8"/>
    <n v="37"/>
    <n v="296"/>
    <x v="64"/>
    <x v="65"/>
    <x v="2"/>
    <x v="2"/>
    <x v="1"/>
    <x v="8"/>
    <x v="5"/>
    <x v="9"/>
    <x v="2"/>
  </r>
  <r>
    <x v="1773"/>
    <x v="1"/>
    <x v="15"/>
    <n v="80.8"/>
    <n v="1050.4000000000001"/>
    <x v="64"/>
    <x v="70"/>
    <x v="2"/>
    <x v="0"/>
    <x v="0"/>
    <x v="8"/>
    <x v="1"/>
    <x v="9"/>
    <x v="2"/>
  </r>
  <r>
    <x v="1774"/>
    <x v="8"/>
    <x v="1"/>
    <n v="63.2"/>
    <n v="126.4"/>
    <x v="64"/>
    <x v="68"/>
    <x v="1"/>
    <x v="0"/>
    <x v="1"/>
    <x v="8"/>
    <x v="3"/>
    <x v="9"/>
    <x v="1"/>
  </r>
  <r>
    <x v="1775"/>
    <x v="3"/>
    <x v="1"/>
    <n v="40.799999999999997"/>
    <n v="81.599999999999994"/>
    <x v="64"/>
    <x v="70"/>
    <x v="1"/>
    <x v="0"/>
    <x v="1"/>
    <x v="17"/>
    <x v="1"/>
    <x v="9"/>
    <x v="1"/>
  </r>
  <r>
    <x v="1776"/>
    <x v="13"/>
    <x v="13"/>
    <n v="25.7"/>
    <n v="154.19999999999999"/>
    <x v="64"/>
    <x v="70"/>
    <x v="1"/>
    <x v="4"/>
    <x v="0"/>
    <x v="18"/>
    <x v="1"/>
    <x v="9"/>
    <x v="1"/>
  </r>
  <r>
    <x v="1777"/>
    <x v="16"/>
    <x v="1"/>
    <n v="49.9"/>
    <n v="99.8"/>
    <x v="64"/>
    <x v="60"/>
    <x v="1"/>
    <x v="0"/>
    <x v="0"/>
    <x v="20"/>
    <x v="2"/>
    <x v="9"/>
    <x v="1"/>
  </r>
  <r>
    <x v="1778"/>
    <x v="8"/>
    <x v="1"/>
    <n v="20.2"/>
    <n v="40.4"/>
    <x v="64"/>
    <x v="70"/>
    <x v="2"/>
    <x v="3"/>
    <x v="0"/>
    <x v="21"/>
    <x v="1"/>
    <x v="9"/>
    <x v="2"/>
  </r>
  <r>
    <x v="1779"/>
    <x v="6"/>
    <x v="2"/>
    <n v="48.4"/>
    <n v="145.19999999999999"/>
    <x v="64"/>
    <x v="71"/>
    <x v="2"/>
    <x v="0"/>
    <x v="2"/>
    <x v="21"/>
    <x v="0"/>
    <x v="9"/>
    <x v="2"/>
  </r>
  <r>
    <x v="1780"/>
    <x v="6"/>
    <x v="1"/>
    <n v="81"/>
    <n v="162"/>
    <x v="64"/>
    <x v="68"/>
    <x v="2"/>
    <x v="1"/>
    <x v="2"/>
    <x v="21"/>
    <x v="3"/>
    <x v="9"/>
    <x v="2"/>
  </r>
  <r>
    <x v="1781"/>
    <x v="8"/>
    <x v="13"/>
    <n v="19.899999999999999"/>
    <n v="119.4"/>
    <x v="64"/>
    <x v="60"/>
    <x v="2"/>
    <x v="0"/>
    <x v="1"/>
    <x v="22"/>
    <x v="2"/>
    <x v="9"/>
    <x v="2"/>
  </r>
  <r>
    <x v="1782"/>
    <x v="4"/>
    <x v="12"/>
    <n v="32.200000000000003"/>
    <n v="128.80000000000001"/>
    <x v="64"/>
    <x v="69"/>
    <x v="1"/>
    <x v="0"/>
    <x v="0"/>
    <x v="22"/>
    <x v="14"/>
    <x v="9"/>
    <x v="1"/>
  </r>
  <r>
    <x v="1783"/>
    <x v="5"/>
    <x v="2"/>
    <n v="76.8"/>
    <n v="230.4"/>
    <x v="64"/>
    <x v="68"/>
    <x v="2"/>
    <x v="0"/>
    <x v="1"/>
    <x v="3"/>
    <x v="3"/>
    <x v="9"/>
    <x v="2"/>
  </r>
  <r>
    <x v="1784"/>
    <x v="6"/>
    <x v="1"/>
    <n v="41.9"/>
    <n v="83.8"/>
    <x v="64"/>
    <x v="70"/>
    <x v="2"/>
    <x v="0"/>
    <x v="0"/>
    <x v="3"/>
    <x v="1"/>
    <x v="9"/>
    <x v="2"/>
  </r>
  <r>
    <x v="1785"/>
    <x v="0"/>
    <x v="3"/>
    <n v="34"/>
    <n v="238"/>
    <x v="64"/>
    <x v="70"/>
    <x v="2"/>
    <x v="1"/>
    <x v="2"/>
    <x v="3"/>
    <x v="1"/>
    <x v="9"/>
    <x v="2"/>
  </r>
  <r>
    <x v="1786"/>
    <x v="7"/>
    <x v="3"/>
    <n v="61.3"/>
    <n v="429.1"/>
    <x v="64"/>
    <x v="66"/>
    <x v="2"/>
    <x v="4"/>
    <x v="2"/>
    <x v="3"/>
    <x v="7"/>
    <x v="9"/>
    <x v="2"/>
  </r>
  <r>
    <x v="1787"/>
    <x v="9"/>
    <x v="0"/>
    <n v="54.7"/>
    <n v="54.7"/>
    <x v="65"/>
    <x v="70"/>
    <x v="1"/>
    <x v="0"/>
    <x v="1"/>
    <x v="3"/>
    <x v="3"/>
    <x v="9"/>
    <x v="1"/>
  </r>
  <r>
    <x v="1788"/>
    <x v="6"/>
    <x v="7"/>
    <n v="84.7"/>
    <n v="847"/>
    <x v="65"/>
    <x v="71"/>
    <x v="2"/>
    <x v="0"/>
    <x v="0"/>
    <x v="3"/>
    <x v="5"/>
    <x v="9"/>
    <x v="2"/>
  </r>
  <r>
    <x v="1789"/>
    <x v="1"/>
    <x v="2"/>
    <n v="93.4"/>
    <n v="280.2"/>
    <x v="65"/>
    <x v="71"/>
    <x v="2"/>
    <x v="3"/>
    <x v="0"/>
    <x v="3"/>
    <x v="5"/>
    <x v="9"/>
    <x v="2"/>
  </r>
  <r>
    <x v="1790"/>
    <x v="8"/>
    <x v="9"/>
    <n v="27"/>
    <n v="135"/>
    <x v="65"/>
    <x v="65"/>
    <x v="1"/>
    <x v="0"/>
    <x v="1"/>
    <x v="3"/>
    <x v="2"/>
    <x v="9"/>
    <x v="1"/>
  </r>
  <r>
    <x v="1791"/>
    <x v="0"/>
    <x v="12"/>
    <n v="10.9"/>
    <n v="43.6"/>
    <x v="65"/>
    <x v="70"/>
    <x v="1"/>
    <x v="2"/>
    <x v="0"/>
    <x v="3"/>
    <x v="3"/>
    <x v="9"/>
    <x v="1"/>
  </r>
  <r>
    <x v="1792"/>
    <x v="16"/>
    <x v="2"/>
    <n v="48"/>
    <n v="144"/>
    <x v="65"/>
    <x v="74"/>
    <x v="2"/>
    <x v="4"/>
    <x v="0"/>
    <x v="3"/>
    <x v="0"/>
    <x v="9"/>
    <x v="2"/>
  </r>
  <r>
    <x v="1793"/>
    <x v="5"/>
    <x v="1"/>
    <n v="67.900000000000006"/>
    <n v="135.80000000000001"/>
    <x v="65"/>
    <x v="70"/>
    <x v="1"/>
    <x v="0"/>
    <x v="2"/>
    <x v="23"/>
    <x v="3"/>
    <x v="9"/>
    <x v="1"/>
  </r>
  <r>
    <x v="1794"/>
    <x v="4"/>
    <x v="2"/>
    <n v="36"/>
    <n v="108"/>
    <x v="65"/>
    <x v="70"/>
    <x v="1"/>
    <x v="1"/>
    <x v="0"/>
    <x v="6"/>
    <x v="3"/>
    <x v="9"/>
    <x v="1"/>
  </r>
  <r>
    <x v="1795"/>
    <x v="2"/>
    <x v="0"/>
    <n v="128.80000000000001"/>
    <n v="128.80000000000001"/>
    <x v="65"/>
    <x v="70"/>
    <x v="1"/>
    <x v="4"/>
    <x v="2"/>
    <x v="6"/>
    <x v="3"/>
    <x v="9"/>
    <x v="1"/>
  </r>
  <r>
    <x v="1796"/>
    <x v="18"/>
    <x v="3"/>
    <n v="33.299999999999997"/>
    <n v="233.1"/>
    <x v="65"/>
    <x v="70"/>
    <x v="2"/>
    <x v="3"/>
    <x v="0"/>
    <x v="8"/>
    <x v="3"/>
    <x v="9"/>
    <x v="2"/>
  </r>
  <r>
    <x v="1797"/>
    <x v="10"/>
    <x v="2"/>
    <n v="37.799999999999997"/>
    <n v="113.4"/>
    <x v="65"/>
    <x v="60"/>
    <x v="1"/>
    <x v="1"/>
    <x v="2"/>
    <x v="8"/>
    <x v="1"/>
    <x v="9"/>
    <x v="1"/>
  </r>
  <r>
    <x v="1798"/>
    <x v="5"/>
    <x v="2"/>
    <n v="26"/>
    <n v="78"/>
    <x v="65"/>
    <x v="74"/>
    <x v="2"/>
    <x v="0"/>
    <x v="0"/>
    <x v="8"/>
    <x v="0"/>
    <x v="9"/>
    <x v="2"/>
  </r>
  <r>
    <x v="1799"/>
    <x v="8"/>
    <x v="10"/>
    <n v="28.3"/>
    <n v="537.70000000000005"/>
    <x v="65"/>
    <x v="70"/>
    <x v="2"/>
    <x v="3"/>
    <x v="4"/>
    <x v="8"/>
    <x v="3"/>
    <x v="9"/>
    <x v="2"/>
  </r>
  <r>
    <x v="1800"/>
    <x v="8"/>
    <x v="12"/>
    <n v="31.3"/>
    <n v="125.2"/>
    <x v="65"/>
    <x v="68"/>
    <x v="2"/>
    <x v="0"/>
    <x v="0"/>
    <x v="8"/>
    <x v="7"/>
    <x v="9"/>
    <x v="2"/>
  </r>
  <r>
    <x v="1801"/>
    <x v="7"/>
    <x v="2"/>
    <n v="69.5"/>
    <n v="208.5"/>
    <x v="65"/>
    <x v="70"/>
    <x v="2"/>
    <x v="3"/>
    <x v="2"/>
    <x v="8"/>
    <x v="3"/>
    <x v="9"/>
    <x v="2"/>
  </r>
  <r>
    <x v="1802"/>
    <x v="0"/>
    <x v="1"/>
    <n v="16.7"/>
    <n v="33.4"/>
    <x v="65"/>
    <x v="70"/>
    <x v="2"/>
    <x v="3"/>
    <x v="1"/>
    <x v="8"/>
    <x v="3"/>
    <x v="9"/>
    <x v="2"/>
  </r>
  <r>
    <x v="1803"/>
    <x v="9"/>
    <x v="1"/>
    <n v="62.6"/>
    <n v="125.2"/>
    <x v="65"/>
    <x v="70"/>
    <x v="1"/>
    <x v="2"/>
    <x v="2"/>
    <x v="9"/>
    <x v="3"/>
    <x v="9"/>
    <x v="1"/>
  </r>
  <r>
    <x v="1804"/>
    <x v="7"/>
    <x v="0"/>
    <n v="81.2"/>
    <n v="81.2"/>
    <x v="65"/>
    <x v="64"/>
    <x v="1"/>
    <x v="4"/>
    <x v="4"/>
    <x v="9"/>
    <x v="4"/>
    <x v="9"/>
    <x v="1"/>
  </r>
  <r>
    <x v="1805"/>
    <x v="0"/>
    <x v="7"/>
    <n v="12.7"/>
    <n v="127"/>
    <x v="65"/>
    <x v="70"/>
    <x v="2"/>
    <x v="0"/>
    <x v="2"/>
    <x v="9"/>
    <x v="3"/>
    <x v="9"/>
    <x v="2"/>
  </r>
  <r>
    <x v="1806"/>
    <x v="7"/>
    <x v="12"/>
    <n v="77.7"/>
    <n v="310.8"/>
    <x v="66"/>
    <x v="74"/>
    <x v="1"/>
    <x v="1"/>
    <x v="0"/>
    <x v="11"/>
    <x v="5"/>
    <x v="9"/>
    <x v="1"/>
  </r>
  <r>
    <x v="1807"/>
    <x v="5"/>
    <x v="1"/>
    <n v="37.299999999999997"/>
    <n v="74.599999999999994"/>
    <x v="66"/>
    <x v="60"/>
    <x v="2"/>
    <x v="0"/>
    <x v="2"/>
    <x v="18"/>
    <x v="3"/>
    <x v="9"/>
    <x v="2"/>
  </r>
  <r>
    <x v="1808"/>
    <x v="10"/>
    <x v="12"/>
    <n v="35.6"/>
    <n v="142.4"/>
    <x v="66"/>
    <x v="65"/>
    <x v="2"/>
    <x v="1"/>
    <x v="1"/>
    <x v="19"/>
    <x v="1"/>
    <x v="9"/>
    <x v="2"/>
  </r>
  <r>
    <x v="1809"/>
    <x v="2"/>
    <x v="2"/>
    <n v="95"/>
    <n v="285"/>
    <x v="66"/>
    <x v="74"/>
    <x v="2"/>
    <x v="2"/>
    <x v="2"/>
    <x v="32"/>
    <x v="5"/>
    <x v="9"/>
    <x v="2"/>
  </r>
  <r>
    <x v="1810"/>
    <x v="2"/>
    <x v="12"/>
    <n v="172.1"/>
    <n v="688.4"/>
    <x v="66"/>
    <x v="74"/>
    <x v="3"/>
    <x v="2"/>
    <x v="2"/>
    <x v="21"/>
    <x v="5"/>
    <x v="9"/>
    <x v="3"/>
  </r>
  <r>
    <x v="1811"/>
    <x v="2"/>
    <x v="1"/>
    <n v="233"/>
    <n v="466"/>
    <x v="66"/>
    <x v="71"/>
    <x v="2"/>
    <x v="1"/>
    <x v="0"/>
    <x v="21"/>
    <x v="2"/>
    <x v="9"/>
    <x v="2"/>
  </r>
  <r>
    <x v="1812"/>
    <x v="0"/>
    <x v="0"/>
    <n v="43.5"/>
    <n v="43.5"/>
    <x v="66"/>
    <x v="60"/>
    <x v="2"/>
    <x v="2"/>
    <x v="2"/>
    <x v="21"/>
    <x v="3"/>
    <x v="9"/>
    <x v="2"/>
  </r>
  <r>
    <x v="1813"/>
    <x v="9"/>
    <x v="1"/>
    <n v="47.8"/>
    <n v="95.6"/>
    <x v="66"/>
    <x v="71"/>
    <x v="1"/>
    <x v="4"/>
    <x v="2"/>
    <x v="1"/>
    <x v="2"/>
    <x v="9"/>
    <x v="1"/>
  </r>
  <r>
    <x v="1814"/>
    <x v="12"/>
    <x v="1"/>
    <n v="65.8"/>
    <n v="131.6"/>
    <x v="66"/>
    <x v="65"/>
    <x v="2"/>
    <x v="0"/>
    <x v="3"/>
    <x v="33"/>
    <x v="1"/>
    <x v="9"/>
    <x v="2"/>
  </r>
  <r>
    <x v="1815"/>
    <x v="15"/>
    <x v="5"/>
    <n v="38.700000000000003"/>
    <n v="425.7"/>
    <x v="66"/>
    <x v="70"/>
    <x v="1"/>
    <x v="0"/>
    <x v="0"/>
    <x v="22"/>
    <x v="7"/>
    <x v="9"/>
    <x v="1"/>
  </r>
  <r>
    <x v="1816"/>
    <x v="3"/>
    <x v="12"/>
    <n v="55.7"/>
    <n v="222.8"/>
    <x v="66"/>
    <x v="65"/>
    <x v="3"/>
    <x v="0"/>
    <x v="1"/>
    <x v="22"/>
    <x v="1"/>
    <x v="9"/>
    <x v="3"/>
  </r>
  <r>
    <x v="1817"/>
    <x v="7"/>
    <x v="1"/>
    <n v="102.4"/>
    <n v="204.8"/>
    <x v="66"/>
    <x v="70"/>
    <x v="2"/>
    <x v="1"/>
    <x v="0"/>
    <x v="3"/>
    <x v="7"/>
    <x v="9"/>
    <x v="2"/>
  </r>
  <r>
    <x v="1818"/>
    <x v="1"/>
    <x v="0"/>
    <n v="92"/>
    <n v="92"/>
    <x v="66"/>
    <x v="74"/>
    <x v="0"/>
    <x v="2"/>
    <x v="0"/>
    <x v="3"/>
    <x v="5"/>
    <x v="9"/>
    <x v="0"/>
  </r>
  <r>
    <x v="1819"/>
    <x v="6"/>
    <x v="12"/>
    <n v="75.900000000000006"/>
    <n v="303.60000000000002"/>
    <x v="66"/>
    <x v="65"/>
    <x v="2"/>
    <x v="1"/>
    <x v="0"/>
    <x v="3"/>
    <x v="1"/>
    <x v="9"/>
    <x v="2"/>
  </r>
  <r>
    <x v="1820"/>
    <x v="1"/>
    <x v="12"/>
    <n v="36.200000000000003"/>
    <n v="144.80000000000001"/>
    <x v="66"/>
    <x v="60"/>
    <x v="2"/>
    <x v="1"/>
    <x v="0"/>
    <x v="3"/>
    <x v="3"/>
    <x v="9"/>
    <x v="2"/>
  </r>
  <r>
    <x v="1821"/>
    <x v="6"/>
    <x v="45"/>
    <n v="83.5"/>
    <n v="7264.5"/>
    <x v="66"/>
    <x v="65"/>
    <x v="0"/>
    <x v="3"/>
    <x v="0"/>
    <x v="3"/>
    <x v="1"/>
    <x v="9"/>
    <x v="0"/>
  </r>
  <r>
    <x v="1822"/>
    <x v="19"/>
    <x v="4"/>
    <n v="52.4"/>
    <n v="628.79999999999995"/>
    <x v="66"/>
    <x v="70"/>
    <x v="1"/>
    <x v="2"/>
    <x v="0"/>
    <x v="3"/>
    <x v="7"/>
    <x v="9"/>
    <x v="1"/>
  </r>
  <r>
    <x v="1823"/>
    <x v="12"/>
    <x v="2"/>
    <n v="69.5"/>
    <n v="208.5"/>
    <x v="66"/>
    <x v="60"/>
    <x v="3"/>
    <x v="4"/>
    <x v="0"/>
    <x v="3"/>
    <x v="3"/>
    <x v="9"/>
    <x v="3"/>
  </r>
  <r>
    <x v="1824"/>
    <x v="0"/>
    <x v="0"/>
    <n v="15.5"/>
    <n v="15.5"/>
    <x v="66"/>
    <x v="65"/>
    <x v="1"/>
    <x v="0"/>
    <x v="0"/>
    <x v="3"/>
    <x v="1"/>
    <x v="9"/>
    <x v="1"/>
  </r>
  <r>
    <x v="1825"/>
    <x v="4"/>
    <x v="12"/>
    <n v="35.200000000000003"/>
    <n v="140.80000000000001"/>
    <x v="66"/>
    <x v="60"/>
    <x v="2"/>
    <x v="2"/>
    <x v="2"/>
    <x v="3"/>
    <x v="3"/>
    <x v="9"/>
    <x v="2"/>
  </r>
  <r>
    <x v="1826"/>
    <x v="8"/>
    <x v="13"/>
    <n v="34.6"/>
    <n v="207.6"/>
    <x v="66"/>
    <x v="60"/>
    <x v="0"/>
    <x v="0"/>
    <x v="1"/>
    <x v="3"/>
    <x v="3"/>
    <x v="9"/>
    <x v="0"/>
  </r>
  <r>
    <x v="1827"/>
    <x v="4"/>
    <x v="0"/>
    <n v="21.3"/>
    <n v="21.3"/>
    <x v="67"/>
    <x v="65"/>
    <x v="1"/>
    <x v="2"/>
    <x v="1"/>
    <x v="3"/>
    <x v="3"/>
    <x v="10"/>
    <x v="1"/>
  </r>
  <r>
    <x v="1828"/>
    <x v="6"/>
    <x v="1"/>
    <n v="136.5"/>
    <n v="273"/>
    <x v="67"/>
    <x v="72"/>
    <x v="2"/>
    <x v="0"/>
    <x v="0"/>
    <x v="10"/>
    <x v="4"/>
    <x v="10"/>
    <x v="2"/>
  </r>
  <r>
    <x v="1829"/>
    <x v="9"/>
    <x v="3"/>
    <n v="30.7"/>
    <n v="214.9"/>
    <x v="67"/>
    <x v="65"/>
    <x v="1"/>
    <x v="2"/>
    <x v="2"/>
    <x v="25"/>
    <x v="3"/>
    <x v="10"/>
    <x v="1"/>
  </r>
  <r>
    <x v="1830"/>
    <x v="1"/>
    <x v="1"/>
    <n v="61.6"/>
    <n v="123.2"/>
    <x v="67"/>
    <x v="65"/>
    <x v="2"/>
    <x v="2"/>
    <x v="2"/>
    <x v="23"/>
    <x v="3"/>
    <x v="10"/>
    <x v="2"/>
  </r>
  <r>
    <x v="1831"/>
    <x v="6"/>
    <x v="12"/>
    <n v="54.3"/>
    <n v="217.2"/>
    <x v="67"/>
    <x v="71"/>
    <x v="0"/>
    <x v="4"/>
    <x v="0"/>
    <x v="7"/>
    <x v="1"/>
    <x v="10"/>
    <x v="0"/>
  </r>
  <r>
    <x v="1832"/>
    <x v="1"/>
    <x v="1"/>
    <n v="44.1"/>
    <n v="88.2"/>
    <x v="67"/>
    <x v="75"/>
    <x v="2"/>
    <x v="0"/>
    <x v="2"/>
    <x v="8"/>
    <x v="13"/>
    <x v="10"/>
    <x v="2"/>
  </r>
  <r>
    <x v="1833"/>
    <x v="8"/>
    <x v="12"/>
    <n v="43.5"/>
    <n v="174"/>
    <x v="67"/>
    <x v="72"/>
    <x v="1"/>
    <x v="3"/>
    <x v="0"/>
    <x v="8"/>
    <x v="4"/>
    <x v="10"/>
    <x v="1"/>
  </r>
  <r>
    <x v="1834"/>
    <x v="8"/>
    <x v="2"/>
    <n v="48.2"/>
    <n v="144.6"/>
    <x v="67"/>
    <x v="64"/>
    <x v="1"/>
    <x v="3"/>
    <x v="1"/>
    <x v="8"/>
    <x v="5"/>
    <x v="10"/>
    <x v="1"/>
  </r>
  <r>
    <x v="1835"/>
    <x v="19"/>
    <x v="0"/>
    <n v="13.7"/>
    <n v="13.7"/>
    <x v="67"/>
    <x v="65"/>
    <x v="2"/>
    <x v="2"/>
    <x v="2"/>
    <x v="8"/>
    <x v="3"/>
    <x v="10"/>
    <x v="2"/>
  </r>
  <r>
    <x v="1836"/>
    <x v="2"/>
    <x v="1"/>
    <n v="110.5"/>
    <n v="221"/>
    <x v="67"/>
    <x v="65"/>
    <x v="2"/>
    <x v="0"/>
    <x v="1"/>
    <x v="8"/>
    <x v="3"/>
    <x v="10"/>
    <x v="2"/>
  </r>
  <r>
    <x v="1837"/>
    <x v="8"/>
    <x v="2"/>
    <n v="26"/>
    <n v="78"/>
    <x v="67"/>
    <x v="67"/>
    <x v="2"/>
    <x v="1"/>
    <x v="1"/>
    <x v="8"/>
    <x v="0"/>
    <x v="10"/>
    <x v="2"/>
  </r>
  <r>
    <x v="1838"/>
    <x v="2"/>
    <x v="7"/>
    <n v="140.69999999999999"/>
    <n v="1407"/>
    <x v="67"/>
    <x v="72"/>
    <x v="1"/>
    <x v="3"/>
    <x v="1"/>
    <x v="8"/>
    <x v="4"/>
    <x v="10"/>
    <x v="1"/>
  </r>
  <r>
    <x v="1839"/>
    <x v="17"/>
    <x v="1"/>
    <n v="41.7"/>
    <n v="83.4"/>
    <x v="67"/>
    <x v="76"/>
    <x v="2"/>
    <x v="0"/>
    <x v="4"/>
    <x v="8"/>
    <x v="9"/>
    <x v="10"/>
    <x v="2"/>
  </r>
  <r>
    <x v="1840"/>
    <x v="2"/>
    <x v="1"/>
    <n v="135.1"/>
    <n v="270.2"/>
    <x v="67"/>
    <x v="65"/>
    <x v="1"/>
    <x v="0"/>
    <x v="2"/>
    <x v="17"/>
    <x v="3"/>
    <x v="10"/>
    <x v="1"/>
  </r>
  <r>
    <x v="1841"/>
    <x v="12"/>
    <x v="32"/>
    <n v="95.5"/>
    <n v="2101"/>
    <x v="67"/>
    <x v="65"/>
    <x v="2"/>
    <x v="4"/>
    <x v="4"/>
    <x v="26"/>
    <x v="3"/>
    <x v="10"/>
    <x v="2"/>
  </r>
  <r>
    <x v="1842"/>
    <x v="15"/>
    <x v="0"/>
    <n v="25.5"/>
    <n v="25.5"/>
    <x v="67"/>
    <x v="74"/>
    <x v="0"/>
    <x v="2"/>
    <x v="2"/>
    <x v="11"/>
    <x v="2"/>
    <x v="10"/>
    <x v="0"/>
  </r>
  <r>
    <x v="1843"/>
    <x v="1"/>
    <x v="0"/>
    <n v="42.6"/>
    <n v="42.6"/>
    <x v="67"/>
    <x v="64"/>
    <x v="2"/>
    <x v="0"/>
    <x v="0"/>
    <x v="11"/>
    <x v="5"/>
    <x v="10"/>
    <x v="2"/>
  </r>
  <r>
    <x v="1844"/>
    <x v="8"/>
    <x v="20"/>
    <n v="32.4"/>
    <n v="486"/>
    <x v="67"/>
    <x v="65"/>
    <x v="1"/>
    <x v="1"/>
    <x v="1"/>
    <x v="11"/>
    <x v="3"/>
    <x v="10"/>
    <x v="1"/>
  </r>
  <r>
    <x v="1845"/>
    <x v="4"/>
    <x v="12"/>
    <n v="20.2"/>
    <n v="80.8"/>
    <x v="67"/>
    <x v="65"/>
    <x v="3"/>
    <x v="2"/>
    <x v="0"/>
    <x v="11"/>
    <x v="3"/>
    <x v="10"/>
    <x v="3"/>
  </r>
  <r>
    <x v="1846"/>
    <x v="16"/>
    <x v="2"/>
    <n v="52.5"/>
    <n v="157.5"/>
    <x v="67"/>
    <x v="67"/>
    <x v="2"/>
    <x v="4"/>
    <x v="0"/>
    <x v="18"/>
    <x v="0"/>
    <x v="10"/>
    <x v="2"/>
  </r>
  <r>
    <x v="1847"/>
    <x v="2"/>
    <x v="9"/>
    <n v="59.9"/>
    <n v="299.5"/>
    <x v="67"/>
    <x v="71"/>
    <x v="2"/>
    <x v="2"/>
    <x v="0"/>
    <x v="19"/>
    <x v="1"/>
    <x v="10"/>
    <x v="2"/>
  </r>
  <r>
    <x v="1848"/>
    <x v="4"/>
    <x v="1"/>
    <n v="53.2"/>
    <n v="106.4"/>
    <x v="67"/>
    <x v="65"/>
    <x v="2"/>
    <x v="1"/>
    <x v="3"/>
    <x v="20"/>
    <x v="3"/>
    <x v="10"/>
    <x v="2"/>
  </r>
  <r>
    <x v="1849"/>
    <x v="2"/>
    <x v="1"/>
    <n v="60"/>
    <n v="120"/>
    <x v="67"/>
    <x v="72"/>
    <x v="1"/>
    <x v="1"/>
    <x v="2"/>
    <x v="20"/>
    <x v="4"/>
    <x v="10"/>
    <x v="1"/>
  </r>
  <r>
    <x v="1850"/>
    <x v="8"/>
    <x v="2"/>
    <n v="29.3"/>
    <n v="87.9"/>
    <x v="67"/>
    <x v="65"/>
    <x v="2"/>
    <x v="4"/>
    <x v="0"/>
    <x v="13"/>
    <x v="3"/>
    <x v="10"/>
    <x v="2"/>
  </r>
  <r>
    <x v="1851"/>
    <x v="12"/>
    <x v="1"/>
    <n v="55.4"/>
    <n v="110.8"/>
    <x v="67"/>
    <x v="65"/>
    <x v="2"/>
    <x v="0"/>
    <x v="2"/>
    <x v="21"/>
    <x v="3"/>
    <x v="10"/>
    <x v="2"/>
  </r>
  <r>
    <x v="1852"/>
    <x v="0"/>
    <x v="9"/>
    <n v="20.100000000000001"/>
    <n v="100.5"/>
    <x v="67"/>
    <x v="71"/>
    <x v="2"/>
    <x v="1"/>
    <x v="2"/>
    <x v="21"/>
    <x v="1"/>
    <x v="10"/>
    <x v="2"/>
  </r>
  <r>
    <x v="1853"/>
    <x v="14"/>
    <x v="9"/>
    <n v="24"/>
    <n v="120"/>
    <x v="67"/>
    <x v="74"/>
    <x v="1"/>
    <x v="2"/>
    <x v="0"/>
    <x v="1"/>
    <x v="2"/>
    <x v="10"/>
    <x v="1"/>
  </r>
  <r>
    <x v="1854"/>
    <x v="8"/>
    <x v="1"/>
    <n v="30.6"/>
    <n v="61.2"/>
    <x v="68"/>
    <x v="74"/>
    <x v="2"/>
    <x v="0"/>
    <x v="0"/>
    <x v="1"/>
    <x v="1"/>
    <x v="10"/>
    <x v="2"/>
  </r>
  <r>
    <x v="1855"/>
    <x v="10"/>
    <x v="9"/>
    <n v="33"/>
    <n v="165"/>
    <x v="68"/>
    <x v="71"/>
    <x v="1"/>
    <x v="1"/>
    <x v="1"/>
    <x v="27"/>
    <x v="3"/>
    <x v="10"/>
    <x v="1"/>
  </r>
  <r>
    <x v="1856"/>
    <x v="17"/>
    <x v="11"/>
    <n v="42.1"/>
    <n v="378.9"/>
    <x v="68"/>
    <x v="69"/>
    <x v="2"/>
    <x v="2"/>
    <x v="0"/>
    <x v="20"/>
    <x v="4"/>
    <x v="10"/>
    <x v="2"/>
  </r>
  <r>
    <x v="1857"/>
    <x v="6"/>
    <x v="3"/>
    <n v="77.7"/>
    <n v="543.9"/>
    <x v="68"/>
    <x v="72"/>
    <x v="2"/>
    <x v="1"/>
    <x v="2"/>
    <x v="26"/>
    <x v="0"/>
    <x v="10"/>
    <x v="2"/>
  </r>
  <r>
    <x v="1858"/>
    <x v="17"/>
    <x v="13"/>
    <n v="22.7"/>
    <n v="136.19999999999999"/>
    <x v="68"/>
    <x v="64"/>
    <x v="2"/>
    <x v="2"/>
    <x v="0"/>
    <x v="3"/>
    <x v="2"/>
    <x v="10"/>
    <x v="2"/>
  </r>
  <r>
    <x v="1859"/>
    <x v="2"/>
    <x v="1"/>
    <n v="133"/>
    <n v="266"/>
    <x v="68"/>
    <x v="65"/>
    <x v="1"/>
    <x v="2"/>
    <x v="2"/>
    <x v="3"/>
    <x v="7"/>
    <x v="10"/>
    <x v="1"/>
  </r>
  <r>
    <x v="1860"/>
    <x v="0"/>
    <x v="1"/>
    <n v="23.3"/>
    <n v="46.6"/>
    <x v="68"/>
    <x v="71"/>
    <x v="1"/>
    <x v="1"/>
    <x v="2"/>
    <x v="3"/>
    <x v="3"/>
    <x v="10"/>
    <x v="1"/>
  </r>
  <r>
    <x v="1861"/>
    <x v="8"/>
    <x v="2"/>
    <n v="20.7"/>
    <n v="62.099999999999987"/>
    <x v="68"/>
    <x v="74"/>
    <x v="3"/>
    <x v="0"/>
    <x v="2"/>
    <x v="3"/>
    <x v="1"/>
    <x v="10"/>
    <x v="3"/>
  </r>
  <r>
    <x v="1862"/>
    <x v="12"/>
    <x v="1"/>
    <n v="47"/>
    <n v="94"/>
    <x v="68"/>
    <x v="71"/>
    <x v="1"/>
    <x v="1"/>
    <x v="2"/>
    <x v="3"/>
    <x v="3"/>
    <x v="10"/>
    <x v="1"/>
  </r>
  <r>
    <x v="1863"/>
    <x v="12"/>
    <x v="2"/>
    <n v="38.200000000000003"/>
    <n v="114.6"/>
    <x v="68"/>
    <x v="74"/>
    <x v="2"/>
    <x v="2"/>
    <x v="4"/>
    <x v="3"/>
    <x v="1"/>
    <x v="10"/>
    <x v="2"/>
  </r>
  <r>
    <x v="1864"/>
    <x v="9"/>
    <x v="0"/>
    <n v="39.1"/>
    <n v="39.1"/>
    <x v="68"/>
    <x v="74"/>
    <x v="2"/>
    <x v="0"/>
    <x v="0"/>
    <x v="3"/>
    <x v="1"/>
    <x v="10"/>
    <x v="2"/>
  </r>
  <r>
    <x v="1865"/>
    <x v="7"/>
    <x v="30"/>
    <n v="55.6"/>
    <n v="1390"/>
    <x v="68"/>
    <x v="74"/>
    <x v="1"/>
    <x v="0"/>
    <x v="2"/>
    <x v="3"/>
    <x v="1"/>
    <x v="10"/>
    <x v="1"/>
  </r>
  <r>
    <x v="1866"/>
    <x v="15"/>
    <x v="0"/>
    <n v="43.1"/>
    <n v="43.1"/>
    <x v="68"/>
    <x v="65"/>
    <x v="3"/>
    <x v="1"/>
    <x v="2"/>
    <x v="3"/>
    <x v="7"/>
    <x v="10"/>
    <x v="3"/>
  </r>
  <r>
    <x v="1867"/>
    <x v="6"/>
    <x v="12"/>
    <n v="48.1"/>
    <n v="192.4"/>
    <x v="68"/>
    <x v="71"/>
    <x v="2"/>
    <x v="4"/>
    <x v="2"/>
    <x v="3"/>
    <x v="3"/>
    <x v="10"/>
    <x v="2"/>
  </r>
  <r>
    <x v="1868"/>
    <x v="4"/>
    <x v="0"/>
    <n v="42"/>
    <n v="42"/>
    <x v="68"/>
    <x v="71"/>
    <x v="3"/>
    <x v="0"/>
    <x v="0"/>
    <x v="3"/>
    <x v="3"/>
    <x v="10"/>
    <x v="3"/>
  </r>
  <r>
    <x v="1869"/>
    <x v="8"/>
    <x v="9"/>
    <n v="18.3"/>
    <n v="91.5"/>
    <x v="68"/>
    <x v="65"/>
    <x v="2"/>
    <x v="2"/>
    <x v="0"/>
    <x v="3"/>
    <x v="7"/>
    <x v="10"/>
    <x v="2"/>
  </r>
  <r>
    <x v="1870"/>
    <x v="10"/>
    <x v="12"/>
    <n v="45.3"/>
    <n v="181.2"/>
    <x v="68"/>
    <x v="64"/>
    <x v="2"/>
    <x v="0"/>
    <x v="2"/>
    <x v="3"/>
    <x v="2"/>
    <x v="10"/>
    <x v="2"/>
  </r>
  <r>
    <x v="1871"/>
    <x v="0"/>
    <x v="1"/>
    <n v="27.6"/>
    <n v="55.2"/>
    <x v="68"/>
    <x v="74"/>
    <x v="1"/>
    <x v="0"/>
    <x v="2"/>
    <x v="10"/>
    <x v="1"/>
    <x v="10"/>
    <x v="1"/>
  </r>
  <r>
    <x v="1872"/>
    <x v="4"/>
    <x v="9"/>
    <n v="26.9"/>
    <n v="134.5"/>
    <x v="68"/>
    <x v="71"/>
    <x v="2"/>
    <x v="2"/>
    <x v="0"/>
    <x v="25"/>
    <x v="3"/>
    <x v="10"/>
    <x v="2"/>
  </r>
  <r>
    <x v="1873"/>
    <x v="2"/>
    <x v="11"/>
    <n v="82.4"/>
    <n v="741.6"/>
    <x v="68"/>
    <x v="74"/>
    <x v="3"/>
    <x v="2"/>
    <x v="0"/>
    <x v="5"/>
    <x v="1"/>
    <x v="10"/>
    <x v="3"/>
  </r>
  <r>
    <x v="1874"/>
    <x v="6"/>
    <x v="0"/>
    <n v="103.7"/>
    <n v="103.7"/>
    <x v="68"/>
    <x v="74"/>
    <x v="2"/>
    <x v="1"/>
    <x v="0"/>
    <x v="5"/>
    <x v="1"/>
    <x v="10"/>
    <x v="2"/>
  </r>
  <r>
    <x v="1875"/>
    <x v="2"/>
    <x v="1"/>
    <n v="58.8"/>
    <n v="117.6"/>
    <x v="68"/>
    <x v="72"/>
    <x v="2"/>
    <x v="1"/>
    <x v="2"/>
    <x v="6"/>
    <x v="0"/>
    <x v="10"/>
    <x v="2"/>
  </r>
  <r>
    <x v="1876"/>
    <x v="13"/>
    <x v="0"/>
    <n v="31.5"/>
    <n v="31.5"/>
    <x v="68"/>
    <x v="71"/>
    <x v="2"/>
    <x v="1"/>
    <x v="1"/>
    <x v="6"/>
    <x v="3"/>
    <x v="10"/>
    <x v="2"/>
  </r>
  <r>
    <x v="1877"/>
    <x v="7"/>
    <x v="9"/>
    <n v="36.799999999999997"/>
    <n v="184"/>
    <x v="68"/>
    <x v="74"/>
    <x v="2"/>
    <x v="0"/>
    <x v="0"/>
    <x v="8"/>
    <x v="1"/>
    <x v="10"/>
    <x v="2"/>
  </r>
  <r>
    <x v="1878"/>
    <x v="3"/>
    <x v="0"/>
    <n v="84.4"/>
    <n v="84.4"/>
    <x v="68"/>
    <x v="71"/>
    <x v="2"/>
    <x v="0"/>
    <x v="0"/>
    <x v="8"/>
    <x v="3"/>
    <x v="10"/>
    <x v="2"/>
  </r>
  <r>
    <x v="1879"/>
    <x v="14"/>
    <x v="0"/>
    <n v="44.7"/>
    <n v="44.7"/>
    <x v="68"/>
    <x v="71"/>
    <x v="1"/>
    <x v="0"/>
    <x v="1"/>
    <x v="8"/>
    <x v="3"/>
    <x v="10"/>
    <x v="1"/>
  </r>
  <r>
    <x v="1880"/>
    <x v="9"/>
    <x v="8"/>
    <n v="39.4"/>
    <n v="315.2"/>
    <x v="68"/>
    <x v="71"/>
    <x v="2"/>
    <x v="1"/>
    <x v="2"/>
    <x v="8"/>
    <x v="3"/>
    <x v="10"/>
    <x v="2"/>
  </r>
  <r>
    <x v="1881"/>
    <x v="11"/>
    <x v="12"/>
    <n v="34.9"/>
    <n v="139.6"/>
    <x v="68"/>
    <x v="74"/>
    <x v="2"/>
    <x v="0"/>
    <x v="2"/>
    <x v="8"/>
    <x v="1"/>
    <x v="10"/>
    <x v="2"/>
  </r>
  <r>
    <x v="1882"/>
    <x v="1"/>
    <x v="2"/>
    <n v="62.3"/>
    <n v="186.9"/>
    <x v="68"/>
    <x v="74"/>
    <x v="1"/>
    <x v="4"/>
    <x v="2"/>
    <x v="8"/>
    <x v="1"/>
    <x v="10"/>
    <x v="1"/>
  </r>
  <r>
    <x v="1883"/>
    <x v="8"/>
    <x v="12"/>
    <n v="21.1"/>
    <n v="84.4"/>
    <x v="68"/>
    <x v="64"/>
    <x v="1"/>
    <x v="3"/>
    <x v="0"/>
    <x v="8"/>
    <x v="2"/>
    <x v="10"/>
    <x v="1"/>
  </r>
  <r>
    <x v="1884"/>
    <x v="8"/>
    <x v="2"/>
    <n v="33.200000000000003"/>
    <n v="99.600000000000009"/>
    <x v="68"/>
    <x v="77"/>
    <x v="0"/>
    <x v="0"/>
    <x v="4"/>
    <x v="8"/>
    <x v="12"/>
    <x v="10"/>
    <x v="0"/>
  </r>
  <r>
    <x v="1885"/>
    <x v="1"/>
    <x v="12"/>
    <n v="74.5"/>
    <n v="298"/>
    <x v="68"/>
    <x v="71"/>
    <x v="1"/>
    <x v="4"/>
    <x v="0"/>
    <x v="8"/>
    <x v="3"/>
    <x v="10"/>
    <x v="1"/>
  </r>
  <r>
    <x v="1886"/>
    <x v="10"/>
    <x v="4"/>
    <n v="68.599999999999994"/>
    <n v="823.19999999999993"/>
    <x v="68"/>
    <x v="64"/>
    <x v="2"/>
    <x v="0"/>
    <x v="2"/>
    <x v="8"/>
    <x v="2"/>
    <x v="10"/>
    <x v="2"/>
  </r>
  <r>
    <x v="1887"/>
    <x v="5"/>
    <x v="21"/>
    <n v="36.4"/>
    <n v="509.6"/>
    <x v="68"/>
    <x v="74"/>
    <x v="2"/>
    <x v="0"/>
    <x v="1"/>
    <x v="9"/>
    <x v="1"/>
    <x v="10"/>
    <x v="2"/>
  </r>
  <r>
    <x v="1888"/>
    <x v="16"/>
    <x v="9"/>
    <n v="67.599999999999994"/>
    <n v="338"/>
    <x v="69"/>
    <x v="67"/>
    <x v="2"/>
    <x v="4"/>
    <x v="1"/>
    <x v="9"/>
    <x v="2"/>
    <x v="10"/>
    <x v="2"/>
  </r>
  <r>
    <x v="1889"/>
    <x v="15"/>
    <x v="0"/>
    <n v="46.3"/>
    <n v="46.3"/>
    <x v="69"/>
    <x v="74"/>
    <x v="1"/>
    <x v="2"/>
    <x v="0"/>
    <x v="9"/>
    <x v="3"/>
    <x v="10"/>
    <x v="1"/>
  </r>
  <r>
    <x v="1890"/>
    <x v="1"/>
    <x v="2"/>
    <n v="124.2"/>
    <n v="372.6"/>
    <x v="69"/>
    <x v="64"/>
    <x v="2"/>
    <x v="1"/>
    <x v="2"/>
    <x v="11"/>
    <x v="1"/>
    <x v="10"/>
    <x v="2"/>
  </r>
  <r>
    <x v="1891"/>
    <x v="10"/>
    <x v="1"/>
    <n v="37"/>
    <n v="74"/>
    <x v="69"/>
    <x v="76"/>
    <x v="1"/>
    <x v="0"/>
    <x v="0"/>
    <x v="11"/>
    <x v="4"/>
    <x v="10"/>
    <x v="1"/>
  </r>
  <r>
    <x v="1892"/>
    <x v="5"/>
    <x v="0"/>
    <n v="41.8"/>
    <n v="41.8"/>
    <x v="69"/>
    <x v="74"/>
    <x v="1"/>
    <x v="2"/>
    <x v="0"/>
    <x v="31"/>
    <x v="3"/>
    <x v="10"/>
    <x v="1"/>
  </r>
  <r>
    <x v="1893"/>
    <x v="9"/>
    <x v="1"/>
    <n v="57.2"/>
    <n v="114.4"/>
    <x v="69"/>
    <x v="64"/>
    <x v="1"/>
    <x v="2"/>
    <x v="1"/>
    <x v="20"/>
    <x v="1"/>
    <x v="10"/>
    <x v="1"/>
  </r>
  <r>
    <x v="1894"/>
    <x v="6"/>
    <x v="1"/>
    <n v="47.1"/>
    <n v="94.2"/>
    <x v="69"/>
    <x v="64"/>
    <x v="2"/>
    <x v="0"/>
    <x v="4"/>
    <x v="20"/>
    <x v="1"/>
    <x v="10"/>
    <x v="2"/>
  </r>
  <r>
    <x v="1895"/>
    <x v="5"/>
    <x v="2"/>
    <n v="86.4"/>
    <n v="259.2"/>
    <x v="69"/>
    <x v="74"/>
    <x v="1"/>
    <x v="2"/>
    <x v="1"/>
    <x v="28"/>
    <x v="3"/>
    <x v="10"/>
    <x v="1"/>
  </r>
  <r>
    <x v="1896"/>
    <x v="6"/>
    <x v="9"/>
    <n v="105"/>
    <n v="525"/>
    <x v="69"/>
    <x v="67"/>
    <x v="1"/>
    <x v="0"/>
    <x v="0"/>
    <x v="13"/>
    <x v="2"/>
    <x v="10"/>
    <x v="1"/>
  </r>
  <r>
    <x v="1897"/>
    <x v="18"/>
    <x v="0"/>
    <n v="33"/>
    <n v="33"/>
    <x v="69"/>
    <x v="67"/>
    <x v="1"/>
    <x v="4"/>
    <x v="0"/>
    <x v="21"/>
    <x v="2"/>
    <x v="10"/>
    <x v="1"/>
  </r>
  <r>
    <x v="1898"/>
    <x v="6"/>
    <x v="9"/>
    <n v="106.6"/>
    <n v="533"/>
    <x v="69"/>
    <x v="77"/>
    <x v="2"/>
    <x v="2"/>
    <x v="0"/>
    <x v="1"/>
    <x v="10"/>
    <x v="10"/>
    <x v="2"/>
  </r>
  <r>
    <x v="1899"/>
    <x v="10"/>
    <x v="46"/>
    <n v="26.8"/>
    <n v="857.6"/>
    <x v="69"/>
    <x v="74"/>
    <x v="2"/>
    <x v="2"/>
    <x v="0"/>
    <x v="1"/>
    <x v="3"/>
    <x v="10"/>
    <x v="2"/>
  </r>
  <r>
    <x v="1900"/>
    <x v="17"/>
    <x v="9"/>
    <n v="25.8"/>
    <n v="129"/>
    <x v="69"/>
    <x v="71"/>
    <x v="2"/>
    <x v="1"/>
    <x v="2"/>
    <x v="3"/>
    <x v="7"/>
    <x v="10"/>
    <x v="2"/>
  </r>
  <r>
    <x v="1901"/>
    <x v="2"/>
    <x v="2"/>
    <n v="217"/>
    <n v="651"/>
    <x v="69"/>
    <x v="74"/>
    <x v="2"/>
    <x v="1"/>
    <x v="1"/>
    <x v="3"/>
    <x v="3"/>
    <x v="10"/>
    <x v="2"/>
  </r>
  <r>
    <x v="1902"/>
    <x v="2"/>
    <x v="1"/>
    <n v="97.3"/>
    <n v="194.6"/>
    <x v="69"/>
    <x v="74"/>
    <x v="1"/>
    <x v="2"/>
    <x v="4"/>
    <x v="3"/>
    <x v="3"/>
    <x v="10"/>
    <x v="1"/>
  </r>
  <r>
    <x v="1903"/>
    <x v="1"/>
    <x v="0"/>
    <n v="49.8"/>
    <n v="49.8"/>
    <x v="69"/>
    <x v="74"/>
    <x v="2"/>
    <x v="0"/>
    <x v="0"/>
    <x v="3"/>
    <x v="3"/>
    <x v="10"/>
    <x v="2"/>
  </r>
  <r>
    <x v="1904"/>
    <x v="12"/>
    <x v="9"/>
    <n v="32.6"/>
    <n v="163"/>
    <x v="69"/>
    <x v="74"/>
    <x v="2"/>
    <x v="0"/>
    <x v="0"/>
    <x v="3"/>
    <x v="3"/>
    <x v="10"/>
    <x v="2"/>
  </r>
  <r>
    <x v="1905"/>
    <x v="9"/>
    <x v="1"/>
    <n v="40.1"/>
    <n v="80.2"/>
    <x v="69"/>
    <x v="67"/>
    <x v="1"/>
    <x v="1"/>
    <x v="2"/>
    <x v="3"/>
    <x v="2"/>
    <x v="10"/>
    <x v="1"/>
  </r>
  <r>
    <x v="1906"/>
    <x v="10"/>
    <x v="1"/>
    <n v="49.4"/>
    <n v="98.8"/>
    <x v="69"/>
    <x v="64"/>
    <x v="1"/>
    <x v="1"/>
    <x v="0"/>
    <x v="3"/>
    <x v="1"/>
    <x v="10"/>
    <x v="1"/>
  </r>
  <r>
    <x v="1907"/>
    <x v="2"/>
    <x v="0"/>
    <n v="67.3"/>
    <n v="67.3"/>
    <x v="69"/>
    <x v="74"/>
    <x v="2"/>
    <x v="0"/>
    <x v="2"/>
    <x v="3"/>
    <x v="3"/>
    <x v="10"/>
    <x v="2"/>
  </r>
  <r>
    <x v="1908"/>
    <x v="18"/>
    <x v="12"/>
    <n v="44.5"/>
    <n v="178"/>
    <x v="69"/>
    <x v="67"/>
    <x v="0"/>
    <x v="1"/>
    <x v="0"/>
    <x v="3"/>
    <x v="2"/>
    <x v="10"/>
    <x v="0"/>
  </r>
  <r>
    <x v="1909"/>
    <x v="6"/>
    <x v="5"/>
    <n v="111.1"/>
    <n v="1222.0999999999999"/>
    <x v="69"/>
    <x v="74"/>
    <x v="2"/>
    <x v="4"/>
    <x v="0"/>
    <x v="3"/>
    <x v="3"/>
    <x v="10"/>
    <x v="2"/>
  </r>
  <r>
    <x v="1910"/>
    <x v="8"/>
    <x v="2"/>
    <n v="19.7"/>
    <n v="59.099999999999987"/>
    <x v="69"/>
    <x v="74"/>
    <x v="2"/>
    <x v="4"/>
    <x v="4"/>
    <x v="3"/>
    <x v="3"/>
    <x v="10"/>
    <x v="2"/>
  </r>
  <r>
    <x v="1911"/>
    <x v="1"/>
    <x v="0"/>
    <n v="40.299999999999997"/>
    <n v="40.299999999999997"/>
    <x v="69"/>
    <x v="74"/>
    <x v="3"/>
    <x v="1"/>
    <x v="0"/>
    <x v="3"/>
    <x v="3"/>
    <x v="10"/>
    <x v="3"/>
  </r>
  <r>
    <x v="1912"/>
    <x v="6"/>
    <x v="1"/>
    <n v="108.8"/>
    <n v="217.6"/>
    <x v="69"/>
    <x v="69"/>
    <x v="1"/>
    <x v="0"/>
    <x v="2"/>
    <x v="6"/>
    <x v="0"/>
    <x v="10"/>
    <x v="1"/>
  </r>
  <r>
    <x v="1913"/>
    <x v="8"/>
    <x v="2"/>
    <n v="48.2"/>
    <n v="144.6"/>
    <x v="69"/>
    <x v="69"/>
    <x v="2"/>
    <x v="4"/>
    <x v="0"/>
    <x v="7"/>
    <x v="0"/>
    <x v="10"/>
    <x v="2"/>
  </r>
  <r>
    <x v="1914"/>
    <x v="2"/>
    <x v="2"/>
    <n v="104.7"/>
    <n v="314.10000000000002"/>
    <x v="69"/>
    <x v="64"/>
    <x v="2"/>
    <x v="0"/>
    <x v="1"/>
    <x v="7"/>
    <x v="1"/>
    <x v="10"/>
    <x v="2"/>
  </r>
  <r>
    <x v="1915"/>
    <x v="1"/>
    <x v="1"/>
    <n v="80.599999999999994"/>
    <n v="161.19999999999999"/>
    <x v="69"/>
    <x v="71"/>
    <x v="2"/>
    <x v="1"/>
    <x v="0"/>
    <x v="8"/>
    <x v="7"/>
    <x v="10"/>
    <x v="2"/>
  </r>
  <r>
    <x v="1916"/>
    <x v="6"/>
    <x v="0"/>
    <n v="65.5"/>
    <n v="65.5"/>
    <x v="69"/>
    <x v="64"/>
    <x v="3"/>
    <x v="1"/>
    <x v="0"/>
    <x v="8"/>
    <x v="1"/>
    <x v="10"/>
    <x v="3"/>
  </r>
  <r>
    <x v="1917"/>
    <x v="9"/>
    <x v="2"/>
    <n v="61.4"/>
    <n v="184.2"/>
    <x v="69"/>
    <x v="64"/>
    <x v="2"/>
    <x v="4"/>
    <x v="2"/>
    <x v="8"/>
    <x v="1"/>
    <x v="10"/>
    <x v="2"/>
  </r>
  <r>
    <x v="1918"/>
    <x v="0"/>
    <x v="0"/>
    <n v="12.5"/>
    <n v="12.5"/>
    <x v="70"/>
    <x v="72"/>
    <x v="2"/>
    <x v="0"/>
    <x v="1"/>
    <x v="8"/>
    <x v="2"/>
    <x v="10"/>
    <x v="2"/>
  </r>
  <r>
    <x v="1919"/>
    <x v="4"/>
    <x v="12"/>
    <n v="35.1"/>
    <n v="140.4"/>
    <x v="70"/>
    <x v="64"/>
    <x v="1"/>
    <x v="2"/>
    <x v="1"/>
    <x v="17"/>
    <x v="3"/>
    <x v="10"/>
    <x v="1"/>
  </r>
  <r>
    <x v="1920"/>
    <x v="5"/>
    <x v="1"/>
    <n v="55.7"/>
    <n v="111.4"/>
    <x v="70"/>
    <x v="64"/>
    <x v="1"/>
    <x v="0"/>
    <x v="1"/>
    <x v="26"/>
    <x v="3"/>
    <x v="10"/>
    <x v="1"/>
  </r>
  <r>
    <x v="1921"/>
    <x v="7"/>
    <x v="1"/>
    <n v="57.7"/>
    <n v="115.4"/>
    <x v="70"/>
    <x v="67"/>
    <x v="1"/>
    <x v="4"/>
    <x v="1"/>
    <x v="9"/>
    <x v="1"/>
    <x v="10"/>
    <x v="1"/>
  </r>
  <r>
    <x v="1922"/>
    <x v="2"/>
    <x v="13"/>
    <n v="85.7"/>
    <n v="514.20000000000005"/>
    <x v="70"/>
    <x v="64"/>
    <x v="1"/>
    <x v="3"/>
    <x v="2"/>
    <x v="9"/>
    <x v="3"/>
    <x v="10"/>
    <x v="1"/>
  </r>
  <r>
    <x v="1923"/>
    <x v="2"/>
    <x v="2"/>
    <n v="86.9"/>
    <n v="260.7"/>
    <x v="70"/>
    <x v="67"/>
    <x v="2"/>
    <x v="1"/>
    <x v="0"/>
    <x v="11"/>
    <x v="1"/>
    <x v="10"/>
    <x v="2"/>
  </r>
  <r>
    <x v="1924"/>
    <x v="18"/>
    <x v="1"/>
    <n v="46.4"/>
    <n v="92.8"/>
    <x v="70"/>
    <x v="72"/>
    <x v="2"/>
    <x v="4"/>
    <x v="0"/>
    <x v="11"/>
    <x v="2"/>
    <x v="10"/>
    <x v="2"/>
  </r>
  <r>
    <x v="1925"/>
    <x v="5"/>
    <x v="2"/>
    <n v="25.4"/>
    <n v="76.199999999999989"/>
    <x v="70"/>
    <x v="74"/>
    <x v="2"/>
    <x v="2"/>
    <x v="2"/>
    <x v="18"/>
    <x v="7"/>
    <x v="10"/>
    <x v="2"/>
  </r>
  <r>
    <x v="1926"/>
    <x v="10"/>
    <x v="2"/>
    <n v="47.8"/>
    <n v="143.4"/>
    <x v="70"/>
    <x v="74"/>
    <x v="0"/>
    <x v="2"/>
    <x v="2"/>
    <x v="19"/>
    <x v="7"/>
    <x v="10"/>
    <x v="0"/>
  </r>
  <r>
    <x v="1927"/>
    <x v="8"/>
    <x v="10"/>
    <n v="18.399999999999999"/>
    <n v="349.6"/>
    <x v="70"/>
    <x v="67"/>
    <x v="3"/>
    <x v="2"/>
    <x v="0"/>
    <x v="20"/>
    <x v="1"/>
    <x v="10"/>
    <x v="3"/>
  </r>
  <r>
    <x v="1928"/>
    <x v="12"/>
    <x v="2"/>
    <n v="65.5"/>
    <n v="196.5"/>
    <x v="70"/>
    <x v="78"/>
    <x v="2"/>
    <x v="0"/>
    <x v="0"/>
    <x v="21"/>
    <x v="9"/>
    <x v="10"/>
    <x v="2"/>
  </r>
  <r>
    <x v="1929"/>
    <x v="10"/>
    <x v="1"/>
    <n v="50.6"/>
    <n v="101.2"/>
    <x v="70"/>
    <x v="72"/>
    <x v="1"/>
    <x v="2"/>
    <x v="4"/>
    <x v="21"/>
    <x v="2"/>
    <x v="10"/>
    <x v="1"/>
  </r>
  <r>
    <x v="1930"/>
    <x v="3"/>
    <x v="9"/>
    <n v="69"/>
    <n v="345"/>
    <x v="70"/>
    <x v="69"/>
    <x v="1"/>
    <x v="3"/>
    <x v="0"/>
    <x v="21"/>
    <x v="5"/>
    <x v="10"/>
    <x v="1"/>
  </r>
  <r>
    <x v="1931"/>
    <x v="9"/>
    <x v="8"/>
    <n v="51.1"/>
    <n v="408.8"/>
    <x v="70"/>
    <x v="67"/>
    <x v="2"/>
    <x v="0"/>
    <x v="0"/>
    <x v="1"/>
    <x v="1"/>
    <x v="10"/>
    <x v="2"/>
  </r>
  <r>
    <x v="1932"/>
    <x v="9"/>
    <x v="0"/>
    <n v="36.1"/>
    <n v="36.1"/>
    <x v="70"/>
    <x v="64"/>
    <x v="2"/>
    <x v="0"/>
    <x v="2"/>
    <x v="0"/>
    <x v="3"/>
    <x v="10"/>
    <x v="2"/>
  </r>
  <r>
    <x v="1933"/>
    <x v="14"/>
    <x v="0"/>
    <n v="18.7"/>
    <n v="18.7"/>
    <x v="70"/>
    <x v="64"/>
    <x v="1"/>
    <x v="0"/>
    <x v="0"/>
    <x v="3"/>
    <x v="3"/>
    <x v="10"/>
    <x v="1"/>
  </r>
  <r>
    <x v="1934"/>
    <x v="17"/>
    <x v="0"/>
    <n v="30.1"/>
    <n v="30.1"/>
    <x v="70"/>
    <x v="72"/>
    <x v="2"/>
    <x v="3"/>
    <x v="1"/>
    <x v="3"/>
    <x v="2"/>
    <x v="10"/>
    <x v="2"/>
  </r>
  <r>
    <x v="1935"/>
    <x v="8"/>
    <x v="0"/>
    <n v="16.3"/>
    <n v="16.3"/>
    <x v="70"/>
    <x v="64"/>
    <x v="1"/>
    <x v="3"/>
    <x v="0"/>
    <x v="3"/>
    <x v="3"/>
    <x v="10"/>
    <x v="1"/>
  </r>
  <r>
    <x v="1936"/>
    <x v="1"/>
    <x v="2"/>
    <n v="63.8"/>
    <n v="191.4"/>
    <x v="70"/>
    <x v="76"/>
    <x v="2"/>
    <x v="2"/>
    <x v="1"/>
    <x v="3"/>
    <x v="0"/>
    <x v="10"/>
    <x v="2"/>
  </r>
  <r>
    <x v="1937"/>
    <x v="1"/>
    <x v="3"/>
    <n v="73.900000000000006"/>
    <n v="517.30000000000007"/>
    <x v="70"/>
    <x v="74"/>
    <x v="2"/>
    <x v="0"/>
    <x v="1"/>
    <x v="3"/>
    <x v="7"/>
    <x v="10"/>
    <x v="2"/>
  </r>
  <r>
    <x v="1938"/>
    <x v="0"/>
    <x v="1"/>
    <n v="20.2"/>
    <n v="40.4"/>
    <x v="70"/>
    <x v="64"/>
    <x v="1"/>
    <x v="0"/>
    <x v="1"/>
    <x v="3"/>
    <x v="3"/>
    <x v="10"/>
    <x v="1"/>
  </r>
  <r>
    <x v="1939"/>
    <x v="11"/>
    <x v="5"/>
    <n v="29.5"/>
    <n v="324.5"/>
    <x v="70"/>
    <x v="64"/>
    <x v="1"/>
    <x v="0"/>
    <x v="0"/>
    <x v="3"/>
    <x v="3"/>
    <x v="10"/>
    <x v="1"/>
  </r>
  <r>
    <x v="1940"/>
    <x v="15"/>
    <x v="3"/>
    <n v="37.9"/>
    <n v="265.3"/>
    <x v="70"/>
    <x v="64"/>
    <x v="1"/>
    <x v="1"/>
    <x v="0"/>
    <x v="3"/>
    <x v="3"/>
    <x v="10"/>
    <x v="1"/>
  </r>
  <r>
    <x v="1941"/>
    <x v="2"/>
    <x v="0"/>
    <n v="56.5"/>
    <n v="56.5"/>
    <x v="70"/>
    <x v="64"/>
    <x v="2"/>
    <x v="2"/>
    <x v="1"/>
    <x v="3"/>
    <x v="3"/>
    <x v="10"/>
    <x v="2"/>
  </r>
  <r>
    <x v="1942"/>
    <x v="2"/>
    <x v="1"/>
    <n v="66.900000000000006"/>
    <n v="133.80000000000001"/>
    <x v="70"/>
    <x v="73"/>
    <x v="1"/>
    <x v="1"/>
    <x v="4"/>
    <x v="25"/>
    <x v="4"/>
    <x v="10"/>
    <x v="1"/>
  </r>
  <r>
    <x v="1943"/>
    <x v="2"/>
    <x v="9"/>
    <n v="51.9"/>
    <n v="259.5"/>
    <x v="70"/>
    <x v="72"/>
    <x v="1"/>
    <x v="1"/>
    <x v="0"/>
    <x v="7"/>
    <x v="2"/>
    <x v="10"/>
    <x v="1"/>
  </r>
  <r>
    <x v="1944"/>
    <x v="2"/>
    <x v="1"/>
    <n v="75.599999999999994"/>
    <n v="151.19999999999999"/>
    <x v="70"/>
    <x v="72"/>
    <x v="1"/>
    <x v="1"/>
    <x v="0"/>
    <x v="8"/>
    <x v="2"/>
    <x v="10"/>
    <x v="1"/>
  </r>
  <r>
    <x v="1945"/>
    <x v="12"/>
    <x v="13"/>
    <n v="47.3"/>
    <n v="283.8"/>
    <x v="70"/>
    <x v="79"/>
    <x v="1"/>
    <x v="0"/>
    <x v="0"/>
    <x v="8"/>
    <x v="11"/>
    <x v="10"/>
    <x v="1"/>
  </r>
  <r>
    <x v="1946"/>
    <x v="4"/>
    <x v="0"/>
    <n v="20.6"/>
    <n v="20.6"/>
    <x v="70"/>
    <x v="64"/>
    <x v="0"/>
    <x v="0"/>
    <x v="1"/>
    <x v="8"/>
    <x v="3"/>
    <x v="10"/>
    <x v="0"/>
  </r>
  <r>
    <x v="1947"/>
    <x v="6"/>
    <x v="2"/>
    <n v="49.7"/>
    <n v="149.1"/>
    <x v="70"/>
    <x v="67"/>
    <x v="1"/>
    <x v="0"/>
    <x v="1"/>
    <x v="8"/>
    <x v="1"/>
    <x v="10"/>
    <x v="1"/>
  </r>
  <r>
    <x v="1948"/>
    <x v="3"/>
    <x v="0"/>
    <n v="37.9"/>
    <n v="37.9"/>
    <x v="70"/>
    <x v="67"/>
    <x v="2"/>
    <x v="0"/>
    <x v="0"/>
    <x v="8"/>
    <x v="1"/>
    <x v="10"/>
    <x v="2"/>
  </r>
  <r>
    <x v="1949"/>
    <x v="13"/>
    <x v="20"/>
    <n v="32"/>
    <n v="480"/>
    <x v="70"/>
    <x v="67"/>
    <x v="2"/>
    <x v="4"/>
    <x v="0"/>
    <x v="11"/>
    <x v="1"/>
    <x v="10"/>
    <x v="2"/>
  </r>
  <r>
    <x v="1950"/>
    <x v="10"/>
    <x v="16"/>
    <n v="38.5"/>
    <n v="693"/>
    <x v="71"/>
    <x v="67"/>
    <x v="1"/>
    <x v="0"/>
    <x v="2"/>
    <x v="11"/>
    <x v="3"/>
    <x v="10"/>
    <x v="1"/>
  </r>
  <r>
    <x v="1951"/>
    <x v="0"/>
    <x v="12"/>
    <n v="11.7"/>
    <n v="46.8"/>
    <x v="71"/>
    <x v="72"/>
    <x v="2"/>
    <x v="1"/>
    <x v="0"/>
    <x v="20"/>
    <x v="1"/>
    <x v="10"/>
    <x v="2"/>
  </r>
  <r>
    <x v="1952"/>
    <x v="3"/>
    <x v="13"/>
    <n v="83.8"/>
    <n v="502.8"/>
    <x v="71"/>
    <x v="67"/>
    <x v="1"/>
    <x v="0"/>
    <x v="0"/>
    <x v="21"/>
    <x v="3"/>
    <x v="10"/>
    <x v="1"/>
  </r>
  <r>
    <x v="1953"/>
    <x v="0"/>
    <x v="3"/>
    <n v="14"/>
    <n v="98"/>
    <x v="71"/>
    <x v="69"/>
    <x v="1"/>
    <x v="0"/>
    <x v="1"/>
    <x v="22"/>
    <x v="2"/>
    <x v="10"/>
    <x v="1"/>
  </r>
  <r>
    <x v="1954"/>
    <x v="16"/>
    <x v="12"/>
    <n v="77.3"/>
    <n v="309.2"/>
    <x v="71"/>
    <x v="72"/>
    <x v="2"/>
    <x v="4"/>
    <x v="2"/>
    <x v="3"/>
    <x v="1"/>
    <x v="10"/>
    <x v="2"/>
  </r>
  <r>
    <x v="1955"/>
    <x v="2"/>
    <x v="1"/>
    <n v="76.900000000000006"/>
    <n v="153.80000000000001"/>
    <x v="71"/>
    <x v="76"/>
    <x v="2"/>
    <x v="0"/>
    <x v="1"/>
    <x v="3"/>
    <x v="5"/>
    <x v="10"/>
    <x v="2"/>
  </r>
  <r>
    <x v="1956"/>
    <x v="1"/>
    <x v="0"/>
    <n v="48"/>
    <n v="48"/>
    <x v="71"/>
    <x v="72"/>
    <x v="2"/>
    <x v="1"/>
    <x v="2"/>
    <x v="3"/>
    <x v="1"/>
    <x v="10"/>
    <x v="2"/>
  </r>
  <r>
    <x v="1957"/>
    <x v="2"/>
    <x v="0"/>
    <n v="94.5"/>
    <n v="94.5"/>
    <x v="71"/>
    <x v="69"/>
    <x v="1"/>
    <x v="1"/>
    <x v="1"/>
    <x v="3"/>
    <x v="2"/>
    <x v="10"/>
    <x v="1"/>
  </r>
  <r>
    <x v="1958"/>
    <x v="10"/>
    <x v="2"/>
    <n v="58.4"/>
    <n v="175.2"/>
    <x v="71"/>
    <x v="72"/>
    <x v="2"/>
    <x v="1"/>
    <x v="2"/>
    <x v="3"/>
    <x v="1"/>
    <x v="10"/>
    <x v="2"/>
  </r>
  <r>
    <x v="1959"/>
    <x v="7"/>
    <x v="15"/>
    <n v="42.2"/>
    <n v="548.6"/>
    <x v="71"/>
    <x v="64"/>
    <x v="1"/>
    <x v="0"/>
    <x v="0"/>
    <x v="25"/>
    <x v="7"/>
    <x v="10"/>
    <x v="1"/>
  </r>
  <r>
    <x v="1960"/>
    <x v="6"/>
    <x v="1"/>
    <n v="152.19999999999999"/>
    <n v="304.39999999999998"/>
    <x v="71"/>
    <x v="67"/>
    <x v="1"/>
    <x v="4"/>
    <x v="1"/>
    <x v="25"/>
    <x v="3"/>
    <x v="10"/>
    <x v="1"/>
  </r>
  <r>
    <x v="1961"/>
    <x v="6"/>
    <x v="25"/>
    <n v="72"/>
    <n v="1728"/>
    <x v="71"/>
    <x v="67"/>
    <x v="1"/>
    <x v="0"/>
    <x v="1"/>
    <x v="6"/>
    <x v="3"/>
    <x v="10"/>
    <x v="1"/>
  </r>
  <r>
    <x v="1962"/>
    <x v="1"/>
    <x v="44"/>
    <n v="70.900000000000006"/>
    <n v="1630.7"/>
    <x v="71"/>
    <x v="67"/>
    <x v="2"/>
    <x v="2"/>
    <x v="0"/>
    <x v="8"/>
    <x v="3"/>
    <x v="10"/>
    <x v="2"/>
  </r>
  <r>
    <x v="1963"/>
    <x v="2"/>
    <x v="1"/>
    <n v="53.7"/>
    <n v="107.4"/>
    <x v="71"/>
    <x v="67"/>
    <x v="1"/>
    <x v="2"/>
    <x v="2"/>
    <x v="8"/>
    <x v="3"/>
    <x v="10"/>
    <x v="1"/>
  </r>
  <r>
    <x v="1964"/>
    <x v="9"/>
    <x v="12"/>
    <n v="42.9"/>
    <n v="171.6"/>
    <x v="71"/>
    <x v="67"/>
    <x v="2"/>
    <x v="2"/>
    <x v="4"/>
    <x v="9"/>
    <x v="3"/>
    <x v="10"/>
    <x v="2"/>
  </r>
  <r>
    <x v="1965"/>
    <x v="2"/>
    <x v="3"/>
    <n v="107.5"/>
    <n v="752.5"/>
    <x v="71"/>
    <x v="67"/>
    <x v="1"/>
    <x v="1"/>
    <x v="0"/>
    <x v="11"/>
    <x v="3"/>
    <x v="10"/>
    <x v="1"/>
  </r>
  <r>
    <x v="1966"/>
    <x v="17"/>
    <x v="27"/>
    <n v="21.5"/>
    <n v="344"/>
    <x v="71"/>
    <x v="67"/>
    <x v="1"/>
    <x v="1"/>
    <x v="1"/>
    <x v="32"/>
    <x v="3"/>
    <x v="10"/>
    <x v="1"/>
  </r>
  <r>
    <x v="1967"/>
    <x v="3"/>
    <x v="9"/>
    <n v="85.3"/>
    <n v="426.5"/>
    <x v="71"/>
    <x v="72"/>
    <x v="2"/>
    <x v="3"/>
    <x v="0"/>
    <x v="18"/>
    <x v="1"/>
    <x v="10"/>
    <x v="2"/>
  </r>
  <r>
    <x v="1968"/>
    <x v="7"/>
    <x v="9"/>
    <n v="80.8"/>
    <n v="404"/>
    <x v="71"/>
    <x v="75"/>
    <x v="3"/>
    <x v="1"/>
    <x v="1"/>
    <x v="19"/>
    <x v="9"/>
    <x v="10"/>
    <x v="3"/>
  </r>
  <r>
    <x v="1969"/>
    <x v="2"/>
    <x v="2"/>
    <n v="123.1"/>
    <n v="369.3"/>
    <x v="71"/>
    <x v="72"/>
    <x v="0"/>
    <x v="2"/>
    <x v="0"/>
    <x v="21"/>
    <x v="1"/>
    <x v="10"/>
    <x v="0"/>
  </r>
  <r>
    <x v="1970"/>
    <x v="8"/>
    <x v="1"/>
    <n v="36.9"/>
    <n v="73.8"/>
    <x v="71"/>
    <x v="72"/>
    <x v="2"/>
    <x v="2"/>
    <x v="4"/>
    <x v="27"/>
    <x v="1"/>
    <x v="10"/>
    <x v="2"/>
  </r>
  <r>
    <x v="1971"/>
    <x v="11"/>
    <x v="9"/>
    <n v="40"/>
    <n v="200"/>
    <x v="71"/>
    <x v="67"/>
    <x v="1"/>
    <x v="0"/>
    <x v="0"/>
    <x v="1"/>
    <x v="3"/>
    <x v="10"/>
    <x v="1"/>
  </r>
  <r>
    <x v="1972"/>
    <x v="6"/>
    <x v="2"/>
    <n v="55.5"/>
    <n v="166.5"/>
    <x v="71"/>
    <x v="67"/>
    <x v="1"/>
    <x v="4"/>
    <x v="2"/>
    <x v="1"/>
    <x v="3"/>
    <x v="10"/>
    <x v="1"/>
  </r>
  <r>
    <x v="1973"/>
    <x v="0"/>
    <x v="12"/>
    <n v="20.5"/>
    <n v="82"/>
    <x v="71"/>
    <x v="76"/>
    <x v="2"/>
    <x v="4"/>
    <x v="0"/>
    <x v="1"/>
    <x v="5"/>
    <x v="10"/>
    <x v="2"/>
  </r>
  <r>
    <x v="1974"/>
    <x v="18"/>
    <x v="12"/>
    <n v="50.1"/>
    <n v="200.4"/>
    <x v="71"/>
    <x v="67"/>
    <x v="2"/>
    <x v="4"/>
    <x v="0"/>
    <x v="1"/>
    <x v="3"/>
    <x v="10"/>
    <x v="2"/>
  </r>
  <r>
    <x v="1975"/>
    <x v="9"/>
    <x v="0"/>
    <n v="35.9"/>
    <n v="35.9"/>
    <x v="71"/>
    <x v="72"/>
    <x v="1"/>
    <x v="1"/>
    <x v="2"/>
    <x v="1"/>
    <x v="1"/>
    <x v="10"/>
    <x v="1"/>
  </r>
  <r>
    <x v="1976"/>
    <x v="13"/>
    <x v="12"/>
    <n v="29.4"/>
    <n v="117.6"/>
    <x v="72"/>
    <x v="72"/>
    <x v="1"/>
    <x v="2"/>
    <x v="2"/>
    <x v="33"/>
    <x v="3"/>
    <x v="10"/>
    <x v="1"/>
  </r>
  <r>
    <x v="1977"/>
    <x v="8"/>
    <x v="9"/>
    <n v="29.1"/>
    <n v="145.5"/>
    <x v="72"/>
    <x v="80"/>
    <x v="3"/>
    <x v="2"/>
    <x v="1"/>
    <x v="33"/>
    <x v="9"/>
    <x v="10"/>
    <x v="3"/>
  </r>
  <r>
    <x v="1978"/>
    <x v="8"/>
    <x v="2"/>
    <n v="33.5"/>
    <n v="100.5"/>
    <x v="72"/>
    <x v="81"/>
    <x v="1"/>
    <x v="0"/>
    <x v="2"/>
    <x v="22"/>
    <x v="13"/>
    <x v="10"/>
    <x v="1"/>
  </r>
  <r>
    <x v="1979"/>
    <x v="4"/>
    <x v="7"/>
    <n v="36"/>
    <n v="360"/>
    <x v="72"/>
    <x v="67"/>
    <x v="1"/>
    <x v="3"/>
    <x v="2"/>
    <x v="3"/>
    <x v="7"/>
    <x v="10"/>
    <x v="1"/>
  </r>
  <r>
    <x v="1980"/>
    <x v="16"/>
    <x v="2"/>
    <n v="57.3"/>
    <n v="171.9"/>
    <x v="72"/>
    <x v="73"/>
    <x v="2"/>
    <x v="0"/>
    <x v="2"/>
    <x v="3"/>
    <x v="5"/>
    <x v="10"/>
    <x v="2"/>
  </r>
  <r>
    <x v="1981"/>
    <x v="1"/>
    <x v="0"/>
    <n v="81.400000000000006"/>
    <n v="81.400000000000006"/>
    <x v="72"/>
    <x v="72"/>
    <x v="2"/>
    <x v="2"/>
    <x v="2"/>
    <x v="3"/>
    <x v="3"/>
    <x v="10"/>
    <x v="2"/>
  </r>
  <r>
    <x v="1982"/>
    <x v="10"/>
    <x v="1"/>
    <n v="35.299999999999997"/>
    <n v="70.599999999999994"/>
    <x v="72"/>
    <x v="73"/>
    <x v="1"/>
    <x v="0"/>
    <x v="2"/>
    <x v="3"/>
    <x v="5"/>
    <x v="10"/>
    <x v="1"/>
  </r>
  <r>
    <x v="1983"/>
    <x v="3"/>
    <x v="0"/>
    <n v="36.1"/>
    <n v="36.1"/>
    <x v="72"/>
    <x v="72"/>
    <x v="2"/>
    <x v="4"/>
    <x v="0"/>
    <x v="3"/>
    <x v="3"/>
    <x v="10"/>
    <x v="2"/>
  </r>
  <r>
    <x v="1984"/>
    <x v="1"/>
    <x v="1"/>
    <n v="36.700000000000003"/>
    <n v="73.400000000000006"/>
    <x v="72"/>
    <x v="69"/>
    <x v="2"/>
    <x v="0"/>
    <x v="2"/>
    <x v="3"/>
    <x v="1"/>
    <x v="10"/>
    <x v="2"/>
  </r>
  <r>
    <x v="1985"/>
    <x v="10"/>
    <x v="0"/>
    <n v="20.9"/>
    <n v="20.9"/>
    <x v="72"/>
    <x v="69"/>
    <x v="2"/>
    <x v="0"/>
    <x v="4"/>
    <x v="3"/>
    <x v="1"/>
    <x v="10"/>
    <x v="2"/>
  </r>
  <r>
    <x v="1986"/>
    <x v="12"/>
    <x v="2"/>
    <n v="58.8"/>
    <n v="176.4"/>
    <x v="72"/>
    <x v="73"/>
    <x v="1"/>
    <x v="0"/>
    <x v="2"/>
    <x v="25"/>
    <x v="5"/>
    <x v="10"/>
    <x v="1"/>
  </r>
  <r>
    <x v="1987"/>
    <x v="2"/>
    <x v="2"/>
    <n v="97.6"/>
    <n v="292.8"/>
    <x v="73"/>
    <x v="76"/>
    <x v="0"/>
    <x v="0"/>
    <x v="0"/>
    <x v="6"/>
    <x v="1"/>
    <x v="10"/>
    <x v="0"/>
  </r>
  <r>
    <x v="1988"/>
    <x v="1"/>
    <x v="1"/>
    <n v="58.7"/>
    <n v="117.4"/>
    <x v="73"/>
    <x v="73"/>
    <x v="2"/>
    <x v="0"/>
    <x v="1"/>
    <x v="6"/>
    <x v="2"/>
    <x v="10"/>
    <x v="2"/>
  </r>
  <r>
    <x v="1989"/>
    <x v="6"/>
    <x v="9"/>
    <n v="71.900000000000006"/>
    <n v="359.5"/>
    <x v="73"/>
    <x v="69"/>
    <x v="0"/>
    <x v="0"/>
    <x v="1"/>
    <x v="6"/>
    <x v="3"/>
    <x v="10"/>
    <x v="0"/>
  </r>
  <r>
    <x v="1990"/>
    <x v="1"/>
    <x v="1"/>
    <n v="62.4"/>
    <n v="124.8"/>
    <x v="73"/>
    <x v="76"/>
    <x v="0"/>
    <x v="0"/>
    <x v="1"/>
    <x v="8"/>
    <x v="1"/>
    <x v="10"/>
    <x v="0"/>
  </r>
  <r>
    <x v="1991"/>
    <x v="6"/>
    <x v="27"/>
    <n v="53.8"/>
    <n v="860.8"/>
    <x v="73"/>
    <x v="69"/>
    <x v="2"/>
    <x v="1"/>
    <x v="0"/>
    <x v="8"/>
    <x v="3"/>
    <x v="10"/>
    <x v="2"/>
  </r>
  <r>
    <x v="1992"/>
    <x v="9"/>
    <x v="0"/>
    <n v="43.8"/>
    <n v="43.8"/>
    <x v="73"/>
    <x v="80"/>
    <x v="2"/>
    <x v="0"/>
    <x v="2"/>
    <x v="8"/>
    <x v="6"/>
    <x v="10"/>
    <x v="2"/>
  </r>
  <r>
    <x v="1993"/>
    <x v="5"/>
    <x v="2"/>
    <n v="53.6"/>
    <n v="160.80000000000001"/>
    <x v="73"/>
    <x v="69"/>
    <x v="1"/>
    <x v="3"/>
    <x v="0"/>
    <x v="8"/>
    <x v="3"/>
    <x v="10"/>
    <x v="1"/>
  </r>
  <r>
    <x v="1994"/>
    <x v="12"/>
    <x v="1"/>
    <n v="84.3"/>
    <n v="168.6"/>
    <x v="73"/>
    <x v="73"/>
    <x v="1"/>
    <x v="4"/>
    <x v="1"/>
    <x v="8"/>
    <x v="2"/>
    <x v="10"/>
    <x v="1"/>
  </r>
  <r>
    <x v="1995"/>
    <x v="6"/>
    <x v="11"/>
    <n v="117.9"/>
    <n v="1061.0999999999999"/>
    <x v="73"/>
    <x v="69"/>
    <x v="2"/>
    <x v="1"/>
    <x v="2"/>
    <x v="8"/>
    <x v="3"/>
    <x v="10"/>
    <x v="2"/>
  </r>
  <r>
    <x v="1996"/>
    <x v="4"/>
    <x v="8"/>
    <n v="30"/>
    <n v="240"/>
    <x v="73"/>
    <x v="69"/>
    <x v="2"/>
    <x v="1"/>
    <x v="0"/>
    <x v="26"/>
    <x v="3"/>
    <x v="10"/>
    <x v="2"/>
  </r>
  <r>
    <x v="1997"/>
    <x v="14"/>
    <x v="2"/>
    <n v="37.299999999999997"/>
    <n v="111.9"/>
    <x v="73"/>
    <x v="69"/>
    <x v="1"/>
    <x v="2"/>
    <x v="0"/>
    <x v="9"/>
    <x v="3"/>
    <x v="10"/>
    <x v="1"/>
  </r>
  <r>
    <x v="1998"/>
    <x v="4"/>
    <x v="11"/>
    <n v="25.1"/>
    <n v="225.9"/>
    <x v="73"/>
    <x v="76"/>
    <x v="1"/>
    <x v="1"/>
    <x v="2"/>
    <x v="11"/>
    <x v="1"/>
    <x v="10"/>
    <x v="1"/>
  </r>
  <r>
    <x v="1999"/>
    <x v="8"/>
    <x v="5"/>
    <n v="36"/>
    <n v="396"/>
    <x v="73"/>
    <x v="82"/>
    <x v="1"/>
    <x v="1"/>
    <x v="0"/>
    <x v="18"/>
    <x v="14"/>
    <x v="10"/>
    <x v="1"/>
  </r>
  <r>
    <x v="2000"/>
    <x v="16"/>
    <x v="2"/>
    <n v="48.5"/>
    <n v="145.5"/>
    <x v="73"/>
    <x v="83"/>
    <x v="2"/>
    <x v="1"/>
    <x v="0"/>
    <x v="19"/>
    <x v="5"/>
    <x v="10"/>
    <x v="2"/>
  </r>
  <r>
    <x v="2001"/>
    <x v="17"/>
    <x v="13"/>
    <n v="21.1"/>
    <n v="126.6"/>
    <x v="73"/>
    <x v="69"/>
    <x v="1"/>
    <x v="1"/>
    <x v="2"/>
    <x v="21"/>
    <x v="3"/>
    <x v="10"/>
    <x v="1"/>
  </r>
  <r>
    <x v="2002"/>
    <x v="15"/>
    <x v="21"/>
    <n v="43.2"/>
    <n v="604.80000000000007"/>
    <x v="73"/>
    <x v="69"/>
    <x v="3"/>
    <x v="0"/>
    <x v="1"/>
    <x v="21"/>
    <x v="3"/>
    <x v="10"/>
    <x v="3"/>
  </r>
  <r>
    <x v="2003"/>
    <x v="9"/>
    <x v="1"/>
    <n v="21.1"/>
    <n v="42.2"/>
    <x v="73"/>
    <x v="69"/>
    <x v="0"/>
    <x v="3"/>
    <x v="1"/>
    <x v="21"/>
    <x v="3"/>
    <x v="10"/>
    <x v="0"/>
  </r>
  <r>
    <x v="2004"/>
    <x v="6"/>
    <x v="12"/>
    <n v="41.3"/>
    <n v="165.2"/>
    <x v="73"/>
    <x v="76"/>
    <x v="2"/>
    <x v="3"/>
    <x v="2"/>
    <x v="1"/>
    <x v="1"/>
    <x v="10"/>
    <x v="2"/>
  </r>
  <r>
    <x v="2005"/>
    <x v="8"/>
    <x v="1"/>
    <n v="15.3"/>
    <n v="30.6"/>
    <x v="73"/>
    <x v="73"/>
    <x v="0"/>
    <x v="2"/>
    <x v="2"/>
    <x v="1"/>
    <x v="2"/>
    <x v="10"/>
    <x v="0"/>
  </r>
  <r>
    <x v="2006"/>
    <x v="1"/>
    <x v="0"/>
    <n v="54.6"/>
    <n v="54.6"/>
    <x v="73"/>
    <x v="76"/>
    <x v="1"/>
    <x v="1"/>
    <x v="1"/>
    <x v="2"/>
    <x v="1"/>
    <x v="10"/>
    <x v="1"/>
  </r>
  <r>
    <x v="2007"/>
    <x v="8"/>
    <x v="0"/>
    <n v="15.9"/>
    <n v="15.9"/>
    <x v="73"/>
    <x v="69"/>
    <x v="1"/>
    <x v="0"/>
    <x v="1"/>
    <x v="22"/>
    <x v="3"/>
    <x v="10"/>
    <x v="1"/>
  </r>
  <r>
    <x v="2008"/>
    <x v="9"/>
    <x v="0"/>
    <n v="50.2"/>
    <n v="50.2"/>
    <x v="73"/>
    <x v="76"/>
    <x v="2"/>
    <x v="3"/>
    <x v="2"/>
    <x v="0"/>
    <x v="1"/>
    <x v="10"/>
    <x v="2"/>
  </r>
  <r>
    <x v="2009"/>
    <x v="11"/>
    <x v="12"/>
    <n v="85.1"/>
    <n v="340.4"/>
    <x v="73"/>
    <x v="69"/>
    <x v="2"/>
    <x v="3"/>
    <x v="4"/>
    <x v="0"/>
    <x v="3"/>
    <x v="10"/>
    <x v="2"/>
  </r>
  <r>
    <x v="2010"/>
    <x v="11"/>
    <x v="1"/>
    <n v="41.4"/>
    <n v="82.8"/>
    <x v="73"/>
    <x v="69"/>
    <x v="2"/>
    <x v="0"/>
    <x v="2"/>
    <x v="3"/>
    <x v="3"/>
    <x v="10"/>
    <x v="2"/>
  </r>
  <r>
    <x v="2011"/>
    <x v="4"/>
    <x v="3"/>
    <n v="32.700000000000003"/>
    <n v="228.9"/>
    <x v="73"/>
    <x v="69"/>
    <x v="2"/>
    <x v="2"/>
    <x v="1"/>
    <x v="3"/>
    <x v="3"/>
    <x v="10"/>
    <x v="2"/>
  </r>
  <r>
    <x v="2012"/>
    <x v="4"/>
    <x v="1"/>
    <n v="41.6"/>
    <n v="83.2"/>
    <x v="73"/>
    <x v="76"/>
    <x v="1"/>
    <x v="4"/>
    <x v="1"/>
    <x v="3"/>
    <x v="1"/>
    <x v="10"/>
    <x v="1"/>
  </r>
  <r>
    <x v="2013"/>
    <x v="5"/>
    <x v="12"/>
    <n v="64.8"/>
    <n v="259.2"/>
    <x v="73"/>
    <x v="69"/>
    <x v="0"/>
    <x v="2"/>
    <x v="0"/>
    <x v="3"/>
    <x v="3"/>
    <x v="10"/>
    <x v="0"/>
  </r>
  <r>
    <x v="2014"/>
    <x v="15"/>
    <x v="1"/>
    <n v="33.6"/>
    <n v="67.2"/>
    <x v="73"/>
    <x v="69"/>
    <x v="1"/>
    <x v="0"/>
    <x v="2"/>
    <x v="3"/>
    <x v="3"/>
    <x v="10"/>
    <x v="1"/>
  </r>
  <r>
    <x v="2015"/>
    <x v="6"/>
    <x v="2"/>
    <n v="100.7"/>
    <n v="302.10000000000002"/>
    <x v="73"/>
    <x v="69"/>
    <x v="0"/>
    <x v="1"/>
    <x v="0"/>
    <x v="3"/>
    <x v="3"/>
    <x v="10"/>
    <x v="0"/>
  </r>
  <r>
    <x v="2016"/>
    <x v="4"/>
    <x v="1"/>
    <n v="49.3"/>
    <n v="98.6"/>
    <x v="74"/>
    <x v="73"/>
    <x v="2"/>
    <x v="4"/>
    <x v="2"/>
    <x v="3"/>
    <x v="1"/>
    <x v="11"/>
    <x v="2"/>
  </r>
  <r>
    <x v="2017"/>
    <x v="2"/>
    <x v="13"/>
    <n v="97"/>
    <n v="582"/>
    <x v="74"/>
    <x v="83"/>
    <x v="1"/>
    <x v="2"/>
    <x v="2"/>
    <x v="3"/>
    <x v="2"/>
    <x v="11"/>
    <x v="1"/>
  </r>
  <r>
    <x v="2018"/>
    <x v="0"/>
    <x v="13"/>
    <n v="25.2"/>
    <n v="151.19999999999999"/>
    <x v="74"/>
    <x v="83"/>
    <x v="2"/>
    <x v="4"/>
    <x v="2"/>
    <x v="3"/>
    <x v="2"/>
    <x v="11"/>
    <x v="2"/>
  </r>
  <r>
    <x v="2019"/>
    <x v="0"/>
    <x v="5"/>
    <n v="12.2"/>
    <n v="134.19999999999999"/>
    <x v="74"/>
    <x v="76"/>
    <x v="0"/>
    <x v="0"/>
    <x v="1"/>
    <x v="3"/>
    <x v="3"/>
    <x v="11"/>
    <x v="0"/>
  </r>
  <r>
    <x v="2020"/>
    <x v="8"/>
    <x v="3"/>
    <n v="38.799999999999997"/>
    <n v="271.60000000000002"/>
    <x v="74"/>
    <x v="73"/>
    <x v="2"/>
    <x v="1"/>
    <x v="1"/>
    <x v="23"/>
    <x v="1"/>
    <x v="11"/>
    <x v="2"/>
  </r>
  <r>
    <x v="2021"/>
    <x v="2"/>
    <x v="12"/>
    <n v="53.2"/>
    <n v="212.8"/>
    <x v="74"/>
    <x v="76"/>
    <x v="1"/>
    <x v="0"/>
    <x v="2"/>
    <x v="8"/>
    <x v="3"/>
    <x v="11"/>
    <x v="1"/>
  </r>
  <r>
    <x v="2022"/>
    <x v="6"/>
    <x v="3"/>
    <n v="151"/>
    <n v="1057"/>
    <x v="74"/>
    <x v="76"/>
    <x v="3"/>
    <x v="1"/>
    <x v="1"/>
    <x v="8"/>
    <x v="3"/>
    <x v="11"/>
    <x v="3"/>
  </r>
  <r>
    <x v="2023"/>
    <x v="1"/>
    <x v="1"/>
    <n v="37.1"/>
    <n v="74.2"/>
    <x v="74"/>
    <x v="76"/>
    <x v="2"/>
    <x v="4"/>
    <x v="0"/>
    <x v="8"/>
    <x v="3"/>
    <x v="11"/>
    <x v="2"/>
  </r>
  <r>
    <x v="2024"/>
    <x v="5"/>
    <x v="1"/>
    <n v="38.9"/>
    <n v="77.8"/>
    <x v="74"/>
    <x v="76"/>
    <x v="1"/>
    <x v="4"/>
    <x v="0"/>
    <x v="8"/>
    <x v="3"/>
    <x v="11"/>
    <x v="1"/>
  </r>
  <r>
    <x v="2025"/>
    <x v="10"/>
    <x v="1"/>
    <n v="35.200000000000003"/>
    <n v="70.400000000000006"/>
    <x v="74"/>
    <x v="76"/>
    <x v="1"/>
    <x v="0"/>
    <x v="2"/>
    <x v="17"/>
    <x v="3"/>
    <x v="11"/>
    <x v="1"/>
  </r>
  <r>
    <x v="2026"/>
    <x v="0"/>
    <x v="1"/>
    <n v="22.3"/>
    <n v="44.6"/>
    <x v="74"/>
    <x v="73"/>
    <x v="2"/>
    <x v="1"/>
    <x v="0"/>
    <x v="9"/>
    <x v="1"/>
    <x v="11"/>
    <x v="2"/>
  </r>
  <r>
    <x v="2027"/>
    <x v="9"/>
    <x v="0"/>
    <n v="43.3"/>
    <n v="43.3"/>
    <x v="74"/>
    <x v="83"/>
    <x v="2"/>
    <x v="0"/>
    <x v="2"/>
    <x v="11"/>
    <x v="2"/>
    <x v="11"/>
    <x v="2"/>
  </r>
  <r>
    <x v="2028"/>
    <x v="6"/>
    <x v="13"/>
    <n v="75.900000000000006"/>
    <n v="455.4"/>
    <x v="74"/>
    <x v="80"/>
    <x v="1"/>
    <x v="0"/>
    <x v="0"/>
    <x v="11"/>
    <x v="4"/>
    <x v="11"/>
    <x v="1"/>
  </r>
  <r>
    <x v="2029"/>
    <x v="6"/>
    <x v="2"/>
    <n v="78.7"/>
    <n v="236.1"/>
    <x v="74"/>
    <x v="78"/>
    <x v="2"/>
    <x v="2"/>
    <x v="1"/>
    <x v="11"/>
    <x v="5"/>
    <x v="11"/>
    <x v="2"/>
  </r>
  <r>
    <x v="2030"/>
    <x v="1"/>
    <x v="0"/>
    <n v="66.3"/>
    <n v="66.3"/>
    <x v="74"/>
    <x v="78"/>
    <x v="2"/>
    <x v="0"/>
    <x v="2"/>
    <x v="19"/>
    <x v="5"/>
    <x v="11"/>
    <x v="2"/>
  </r>
  <r>
    <x v="2031"/>
    <x v="8"/>
    <x v="1"/>
    <n v="33.6"/>
    <n v="67.2"/>
    <x v="74"/>
    <x v="69"/>
    <x v="1"/>
    <x v="0"/>
    <x v="1"/>
    <x v="19"/>
    <x v="7"/>
    <x v="11"/>
    <x v="1"/>
  </r>
  <r>
    <x v="2032"/>
    <x v="2"/>
    <x v="3"/>
    <n v="61.4"/>
    <n v="429.8"/>
    <x v="74"/>
    <x v="76"/>
    <x v="1"/>
    <x v="4"/>
    <x v="0"/>
    <x v="19"/>
    <x v="3"/>
    <x v="11"/>
    <x v="1"/>
  </r>
  <r>
    <x v="2033"/>
    <x v="8"/>
    <x v="1"/>
    <n v="17.5"/>
    <n v="35"/>
    <x v="74"/>
    <x v="83"/>
    <x v="2"/>
    <x v="0"/>
    <x v="0"/>
    <x v="21"/>
    <x v="2"/>
    <x v="11"/>
    <x v="2"/>
  </r>
  <r>
    <x v="2034"/>
    <x v="8"/>
    <x v="1"/>
    <n v="32.5"/>
    <n v="65"/>
    <x v="74"/>
    <x v="83"/>
    <x v="2"/>
    <x v="1"/>
    <x v="0"/>
    <x v="21"/>
    <x v="2"/>
    <x v="11"/>
    <x v="2"/>
  </r>
  <r>
    <x v="2035"/>
    <x v="4"/>
    <x v="0"/>
    <n v="34.6"/>
    <n v="34.6"/>
    <x v="74"/>
    <x v="76"/>
    <x v="2"/>
    <x v="4"/>
    <x v="0"/>
    <x v="21"/>
    <x v="3"/>
    <x v="11"/>
    <x v="2"/>
  </r>
  <r>
    <x v="2036"/>
    <x v="2"/>
    <x v="0"/>
    <n v="75.900000000000006"/>
    <n v="75.900000000000006"/>
    <x v="74"/>
    <x v="69"/>
    <x v="1"/>
    <x v="1"/>
    <x v="2"/>
    <x v="21"/>
    <x v="7"/>
    <x v="11"/>
    <x v="1"/>
  </r>
  <r>
    <x v="2037"/>
    <x v="1"/>
    <x v="2"/>
    <n v="42.1"/>
    <n v="126.3"/>
    <x v="74"/>
    <x v="83"/>
    <x v="1"/>
    <x v="1"/>
    <x v="1"/>
    <x v="21"/>
    <x v="2"/>
    <x v="11"/>
    <x v="1"/>
  </r>
  <r>
    <x v="2038"/>
    <x v="7"/>
    <x v="2"/>
    <n v="65.3"/>
    <n v="195.9"/>
    <x v="74"/>
    <x v="79"/>
    <x v="1"/>
    <x v="0"/>
    <x v="0"/>
    <x v="1"/>
    <x v="6"/>
    <x v="11"/>
    <x v="1"/>
  </r>
  <r>
    <x v="2039"/>
    <x v="15"/>
    <x v="0"/>
    <n v="20.6"/>
    <n v="20.6"/>
    <x v="74"/>
    <x v="83"/>
    <x v="1"/>
    <x v="3"/>
    <x v="0"/>
    <x v="18"/>
    <x v="2"/>
    <x v="11"/>
    <x v="1"/>
  </r>
  <r>
    <x v="2040"/>
    <x v="8"/>
    <x v="3"/>
    <n v="16.5"/>
    <n v="115.5"/>
    <x v="74"/>
    <x v="76"/>
    <x v="1"/>
    <x v="1"/>
    <x v="1"/>
    <x v="2"/>
    <x v="3"/>
    <x v="11"/>
    <x v="1"/>
  </r>
  <r>
    <x v="2041"/>
    <x v="16"/>
    <x v="7"/>
    <n v="36.200000000000003"/>
    <n v="362"/>
    <x v="74"/>
    <x v="73"/>
    <x v="1"/>
    <x v="0"/>
    <x v="2"/>
    <x v="2"/>
    <x v="1"/>
    <x v="11"/>
    <x v="1"/>
  </r>
  <r>
    <x v="2042"/>
    <x v="6"/>
    <x v="0"/>
    <n v="53.2"/>
    <n v="53.2"/>
    <x v="74"/>
    <x v="76"/>
    <x v="2"/>
    <x v="0"/>
    <x v="1"/>
    <x v="22"/>
    <x v="3"/>
    <x v="11"/>
    <x v="2"/>
  </r>
  <r>
    <x v="2043"/>
    <x v="2"/>
    <x v="21"/>
    <n v="176"/>
    <n v="2464"/>
    <x v="74"/>
    <x v="76"/>
    <x v="2"/>
    <x v="0"/>
    <x v="1"/>
    <x v="3"/>
    <x v="3"/>
    <x v="11"/>
    <x v="2"/>
  </r>
  <r>
    <x v="2044"/>
    <x v="1"/>
    <x v="0"/>
    <n v="52.4"/>
    <n v="52.4"/>
    <x v="74"/>
    <x v="76"/>
    <x v="1"/>
    <x v="1"/>
    <x v="0"/>
    <x v="3"/>
    <x v="3"/>
    <x v="11"/>
    <x v="1"/>
  </r>
  <r>
    <x v="2045"/>
    <x v="10"/>
    <x v="2"/>
    <n v="48.2"/>
    <n v="144.6"/>
    <x v="74"/>
    <x v="76"/>
    <x v="2"/>
    <x v="1"/>
    <x v="2"/>
    <x v="3"/>
    <x v="3"/>
    <x v="11"/>
    <x v="2"/>
  </r>
  <r>
    <x v="2046"/>
    <x v="15"/>
    <x v="0"/>
    <n v="51.6"/>
    <n v="51.6"/>
    <x v="74"/>
    <x v="78"/>
    <x v="2"/>
    <x v="2"/>
    <x v="1"/>
    <x v="3"/>
    <x v="5"/>
    <x v="11"/>
    <x v="2"/>
  </r>
  <r>
    <x v="2047"/>
    <x v="0"/>
    <x v="12"/>
    <n v="33.700000000000003"/>
    <n v="134.80000000000001"/>
    <x v="75"/>
    <x v="73"/>
    <x v="1"/>
    <x v="0"/>
    <x v="0"/>
    <x v="3"/>
    <x v="3"/>
    <x v="11"/>
    <x v="1"/>
  </r>
  <r>
    <x v="2048"/>
    <x v="4"/>
    <x v="7"/>
    <n v="36.299999999999997"/>
    <n v="363"/>
    <x v="75"/>
    <x v="83"/>
    <x v="2"/>
    <x v="4"/>
    <x v="1"/>
    <x v="3"/>
    <x v="1"/>
    <x v="11"/>
    <x v="2"/>
  </r>
  <r>
    <x v="2049"/>
    <x v="8"/>
    <x v="0"/>
    <n v="23.4"/>
    <n v="23.4"/>
    <x v="75"/>
    <x v="80"/>
    <x v="2"/>
    <x v="1"/>
    <x v="2"/>
    <x v="3"/>
    <x v="0"/>
    <x v="11"/>
    <x v="2"/>
  </r>
  <r>
    <x v="2050"/>
    <x v="15"/>
    <x v="8"/>
    <n v="56.6"/>
    <n v="452.8"/>
    <x v="75"/>
    <x v="83"/>
    <x v="2"/>
    <x v="1"/>
    <x v="0"/>
    <x v="3"/>
    <x v="1"/>
    <x v="11"/>
    <x v="2"/>
  </r>
  <r>
    <x v="2051"/>
    <x v="15"/>
    <x v="1"/>
    <n v="26.8"/>
    <n v="53.6"/>
    <x v="75"/>
    <x v="73"/>
    <x v="1"/>
    <x v="0"/>
    <x v="0"/>
    <x v="4"/>
    <x v="3"/>
    <x v="11"/>
    <x v="1"/>
  </r>
  <r>
    <x v="2052"/>
    <x v="0"/>
    <x v="2"/>
    <n v="11.3"/>
    <n v="33.900000000000013"/>
    <x v="75"/>
    <x v="83"/>
    <x v="1"/>
    <x v="2"/>
    <x v="0"/>
    <x v="25"/>
    <x v="1"/>
    <x v="11"/>
    <x v="1"/>
  </r>
  <r>
    <x v="2053"/>
    <x v="6"/>
    <x v="2"/>
    <n v="60.1"/>
    <n v="180.3"/>
    <x v="75"/>
    <x v="78"/>
    <x v="2"/>
    <x v="0"/>
    <x v="0"/>
    <x v="7"/>
    <x v="2"/>
    <x v="11"/>
    <x v="2"/>
  </r>
  <r>
    <x v="2054"/>
    <x v="0"/>
    <x v="5"/>
    <n v="27.7"/>
    <n v="304.7"/>
    <x v="75"/>
    <x v="80"/>
    <x v="2"/>
    <x v="0"/>
    <x v="0"/>
    <x v="8"/>
    <x v="0"/>
    <x v="11"/>
    <x v="2"/>
  </r>
  <r>
    <x v="2055"/>
    <x v="15"/>
    <x v="0"/>
    <n v="71.400000000000006"/>
    <n v="71.400000000000006"/>
    <x v="75"/>
    <x v="78"/>
    <x v="1"/>
    <x v="0"/>
    <x v="2"/>
    <x v="8"/>
    <x v="2"/>
    <x v="11"/>
    <x v="1"/>
  </r>
  <r>
    <x v="2056"/>
    <x v="2"/>
    <x v="1"/>
    <n v="66.7"/>
    <n v="133.4"/>
    <x v="75"/>
    <x v="73"/>
    <x v="2"/>
    <x v="0"/>
    <x v="2"/>
    <x v="8"/>
    <x v="3"/>
    <x v="11"/>
    <x v="2"/>
  </r>
  <r>
    <x v="2057"/>
    <x v="13"/>
    <x v="9"/>
    <n v="39.1"/>
    <n v="195.5"/>
    <x v="75"/>
    <x v="73"/>
    <x v="2"/>
    <x v="0"/>
    <x v="0"/>
    <x v="8"/>
    <x v="3"/>
    <x v="11"/>
    <x v="2"/>
  </r>
  <r>
    <x v="2058"/>
    <x v="8"/>
    <x v="12"/>
    <n v="24.9"/>
    <n v="99.6"/>
    <x v="75"/>
    <x v="80"/>
    <x v="1"/>
    <x v="1"/>
    <x v="2"/>
    <x v="8"/>
    <x v="0"/>
    <x v="11"/>
    <x v="1"/>
  </r>
  <r>
    <x v="2059"/>
    <x v="5"/>
    <x v="9"/>
    <n v="29.2"/>
    <n v="146"/>
    <x v="75"/>
    <x v="73"/>
    <x v="1"/>
    <x v="0"/>
    <x v="2"/>
    <x v="17"/>
    <x v="3"/>
    <x v="11"/>
    <x v="1"/>
  </r>
  <r>
    <x v="2060"/>
    <x v="13"/>
    <x v="21"/>
    <n v="28.3"/>
    <n v="396.2"/>
    <x v="75"/>
    <x v="83"/>
    <x v="2"/>
    <x v="1"/>
    <x v="0"/>
    <x v="11"/>
    <x v="1"/>
    <x v="11"/>
    <x v="2"/>
  </r>
  <r>
    <x v="2061"/>
    <x v="9"/>
    <x v="2"/>
    <n v="37.799999999999997"/>
    <n v="113.4"/>
    <x v="75"/>
    <x v="73"/>
    <x v="2"/>
    <x v="0"/>
    <x v="1"/>
    <x v="11"/>
    <x v="3"/>
    <x v="11"/>
    <x v="2"/>
  </r>
  <r>
    <x v="2062"/>
    <x v="14"/>
    <x v="3"/>
    <n v="28.1"/>
    <n v="196.7"/>
    <x v="75"/>
    <x v="79"/>
    <x v="2"/>
    <x v="2"/>
    <x v="0"/>
    <x v="11"/>
    <x v="4"/>
    <x v="11"/>
    <x v="2"/>
  </r>
  <r>
    <x v="2063"/>
    <x v="1"/>
    <x v="2"/>
    <n v="59.7"/>
    <n v="179.1"/>
    <x v="75"/>
    <x v="83"/>
    <x v="2"/>
    <x v="2"/>
    <x v="0"/>
    <x v="11"/>
    <x v="1"/>
    <x v="11"/>
    <x v="2"/>
  </r>
  <r>
    <x v="2064"/>
    <x v="16"/>
    <x v="0"/>
    <n v="71.900000000000006"/>
    <n v="71.900000000000006"/>
    <x v="75"/>
    <x v="73"/>
    <x v="1"/>
    <x v="1"/>
    <x v="1"/>
    <x v="11"/>
    <x v="3"/>
    <x v="11"/>
    <x v="1"/>
  </r>
  <r>
    <x v="2065"/>
    <x v="1"/>
    <x v="1"/>
    <n v="56.9"/>
    <n v="113.8"/>
    <x v="75"/>
    <x v="73"/>
    <x v="1"/>
    <x v="2"/>
    <x v="0"/>
    <x v="13"/>
    <x v="3"/>
    <x v="11"/>
    <x v="1"/>
  </r>
  <r>
    <x v="2066"/>
    <x v="8"/>
    <x v="1"/>
    <n v="15.8"/>
    <n v="31.6"/>
    <x v="75"/>
    <x v="78"/>
    <x v="2"/>
    <x v="2"/>
    <x v="1"/>
    <x v="1"/>
    <x v="2"/>
    <x v="11"/>
    <x v="2"/>
  </r>
  <r>
    <x v="2067"/>
    <x v="11"/>
    <x v="12"/>
    <n v="61.7"/>
    <n v="246.8"/>
    <x v="75"/>
    <x v="83"/>
    <x v="2"/>
    <x v="2"/>
    <x v="0"/>
    <x v="22"/>
    <x v="1"/>
    <x v="11"/>
    <x v="2"/>
  </r>
  <r>
    <x v="2068"/>
    <x v="2"/>
    <x v="7"/>
    <n v="105.2"/>
    <n v="1052"/>
    <x v="75"/>
    <x v="83"/>
    <x v="1"/>
    <x v="1"/>
    <x v="4"/>
    <x v="3"/>
    <x v="1"/>
    <x v="11"/>
    <x v="1"/>
  </r>
  <r>
    <x v="2069"/>
    <x v="0"/>
    <x v="1"/>
    <n v="17"/>
    <n v="34"/>
    <x v="75"/>
    <x v="83"/>
    <x v="2"/>
    <x v="2"/>
    <x v="0"/>
    <x v="3"/>
    <x v="1"/>
    <x v="11"/>
    <x v="2"/>
  </r>
  <r>
    <x v="2070"/>
    <x v="6"/>
    <x v="2"/>
    <n v="84.1"/>
    <n v="252.3"/>
    <x v="75"/>
    <x v="73"/>
    <x v="1"/>
    <x v="2"/>
    <x v="0"/>
    <x v="3"/>
    <x v="3"/>
    <x v="11"/>
    <x v="1"/>
  </r>
  <r>
    <x v="2071"/>
    <x v="3"/>
    <x v="12"/>
    <n v="59.5"/>
    <n v="238"/>
    <x v="75"/>
    <x v="80"/>
    <x v="1"/>
    <x v="0"/>
    <x v="2"/>
    <x v="3"/>
    <x v="0"/>
    <x v="11"/>
    <x v="1"/>
  </r>
  <r>
    <x v="2072"/>
    <x v="8"/>
    <x v="1"/>
    <n v="57.5"/>
    <n v="115"/>
    <x v="75"/>
    <x v="83"/>
    <x v="1"/>
    <x v="1"/>
    <x v="2"/>
    <x v="3"/>
    <x v="1"/>
    <x v="11"/>
    <x v="1"/>
  </r>
  <r>
    <x v="2073"/>
    <x v="8"/>
    <x v="0"/>
    <n v="34.299999999999997"/>
    <n v="34.299999999999997"/>
    <x v="75"/>
    <x v="73"/>
    <x v="2"/>
    <x v="4"/>
    <x v="2"/>
    <x v="3"/>
    <x v="3"/>
    <x v="11"/>
    <x v="2"/>
  </r>
  <r>
    <x v="2074"/>
    <x v="5"/>
    <x v="1"/>
    <n v="27.8"/>
    <n v="55.6"/>
    <x v="76"/>
    <x v="78"/>
    <x v="2"/>
    <x v="0"/>
    <x v="0"/>
    <x v="3"/>
    <x v="1"/>
    <x v="11"/>
    <x v="2"/>
  </r>
  <r>
    <x v="2075"/>
    <x v="12"/>
    <x v="1"/>
    <n v="85"/>
    <n v="170"/>
    <x v="76"/>
    <x v="73"/>
    <x v="1"/>
    <x v="2"/>
    <x v="2"/>
    <x v="3"/>
    <x v="7"/>
    <x v="11"/>
    <x v="1"/>
  </r>
  <r>
    <x v="2076"/>
    <x v="6"/>
    <x v="1"/>
    <n v="95"/>
    <n v="190"/>
    <x v="76"/>
    <x v="78"/>
    <x v="2"/>
    <x v="0"/>
    <x v="0"/>
    <x v="3"/>
    <x v="1"/>
    <x v="11"/>
    <x v="2"/>
  </r>
  <r>
    <x v="2077"/>
    <x v="16"/>
    <x v="1"/>
    <n v="32"/>
    <n v="64"/>
    <x v="76"/>
    <x v="78"/>
    <x v="1"/>
    <x v="0"/>
    <x v="1"/>
    <x v="3"/>
    <x v="1"/>
    <x v="11"/>
    <x v="1"/>
  </r>
  <r>
    <x v="2078"/>
    <x v="2"/>
    <x v="1"/>
    <n v="65.2"/>
    <n v="130.4"/>
    <x v="76"/>
    <x v="83"/>
    <x v="2"/>
    <x v="1"/>
    <x v="0"/>
    <x v="3"/>
    <x v="3"/>
    <x v="11"/>
    <x v="2"/>
  </r>
  <r>
    <x v="2079"/>
    <x v="17"/>
    <x v="12"/>
    <n v="22"/>
    <n v="88"/>
    <x v="76"/>
    <x v="83"/>
    <x v="1"/>
    <x v="1"/>
    <x v="2"/>
    <x v="3"/>
    <x v="3"/>
    <x v="11"/>
    <x v="1"/>
  </r>
  <r>
    <x v="2080"/>
    <x v="15"/>
    <x v="2"/>
    <n v="69.400000000000006"/>
    <n v="208.2"/>
    <x v="76"/>
    <x v="75"/>
    <x v="1"/>
    <x v="1"/>
    <x v="2"/>
    <x v="3"/>
    <x v="2"/>
    <x v="11"/>
    <x v="1"/>
  </r>
  <r>
    <x v="2081"/>
    <x v="10"/>
    <x v="13"/>
    <n v="31.5"/>
    <n v="189"/>
    <x v="76"/>
    <x v="78"/>
    <x v="2"/>
    <x v="0"/>
    <x v="2"/>
    <x v="3"/>
    <x v="1"/>
    <x v="11"/>
    <x v="2"/>
  </r>
  <r>
    <x v="2082"/>
    <x v="6"/>
    <x v="0"/>
    <n v="45.8"/>
    <n v="45.8"/>
    <x v="76"/>
    <x v="80"/>
    <x v="3"/>
    <x v="0"/>
    <x v="0"/>
    <x v="3"/>
    <x v="5"/>
    <x v="11"/>
    <x v="3"/>
  </r>
  <r>
    <x v="2083"/>
    <x v="19"/>
    <x v="12"/>
    <n v="12.8"/>
    <n v="51.2"/>
    <x v="76"/>
    <x v="82"/>
    <x v="2"/>
    <x v="1"/>
    <x v="1"/>
    <x v="5"/>
    <x v="6"/>
    <x v="11"/>
    <x v="2"/>
  </r>
  <r>
    <x v="2084"/>
    <x v="5"/>
    <x v="2"/>
    <n v="115.3"/>
    <n v="345.9"/>
    <x v="76"/>
    <x v="83"/>
    <x v="2"/>
    <x v="2"/>
    <x v="2"/>
    <x v="6"/>
    <x v="3"/>
    <x v="11"/>
    <x v="2"/>
  </r>
  <r>
    <x v="2085"/>
    <x v="5"/>
    <x v="1"/>
    <n v="85"/>
    <n v="170"/>
    <x v="76"/>
    <x v="78"/>
    <x v="2"/>
    <x v="1"/>
    <x v="0"/>
    <x v="7"/>
    <x v="1"/>
    <x v="11"/>
    <x v="2"/>
  </r>
  <r>
    <x v="2086"/>
    <x v="8"/>
    <x v="2"/>
    <n v="56.6"/>
    <n v="169.8"/>
    <x v="76"/>
    <x v="83"/>
    <x v="2"/>
    <x v="1"/>
    <x v="2"/>
    <x v="7"/>
    <x v="3"/>
    <x v="11"/>
    <x v="2"/>
  </r>
  <r>
    <x v="2087"/>
    <x v="15"/>
    <x v="6"/>
    <n v="46.3"/>
    <n v="1250.0999999999999"/>
    <x v="76"/>
    <x v="75"/>
    <x v="1"/>
    <x v="0"/>
    <x v="0"/>
    <x v="7"/>
    <x v="2"/>
    <x v="11"/>
    <x v="1"/>
  </r>
  <r>
    <x v="2088"/>
    <x v="14"/>
    <x v="12"/>
    <n v="23"/>
    <n v="92"/>
    <x v="76"/>
    <x v="80"/>
    <x v="1"/>
    <x v="3"/>
    <x v="2"/>
    <x v="7"/>
    <x v="5"/>
    <x v="11"/>
    <x v="1"/>
  </r>
  <r>
    <x v="2089"/>
    <x v="8"/>
    <x v="13"/>
    <n v="42.1"/>
    <n v="252.6"/>
    <x v="76"/>
    <x v="78"/>
    <x v="1"/>
    <x v="4"/>
    <x v="0"/>
    <x v="8"/>
    <x v="1"/>
    <x v="11"/>
    <x v="1"/>
  </r>
  <r>
    <x v="2090"/>
    <x v="5"/>
    <x v="3"/>
    <n v="57.4"/>
    <n v="401.8"/>
    <x v="76"/>
    <x v="80"/>
    <x v="2"/>
    <x v="1"/>
    <x v="4"/>
    <x v="8"/>
    <x v="5"/>
    <x v="11"/>
    <x v="2"/>
  </r>
  <r>
    <x v="2091"/>
    <x v="0"/>
    <x v="13"/>
    <n v="13.2"/>
    <n v="79.199999999999989"/>
    <x v="76"/>
    <x v="80"/>
    <x v="1"/>
    <x v="2"/>
    <x v="0"/>
    <x v="8"/>
    <x v="5"/>
    <x v="11"/>
    <x v="1"/>
  </r>
  <r>
    <x v="2092"/>
    <x v="6"/>
    <x v="2"/>
    <n v="52.3"/>
    <n v="156.9"/>
    <x v="76"/>
    <x v="83"/>
    <x v="1"/>
    <x v="1"/>
    <x v="0"/>
    <x v="8"/>
    <x v="3"/>
    <x v="11"/>
    <x v="1"/>
  </r>
  <r>
    <x v="2093"/>
    <x v="8"/>
    <x v="1"/>
    <n v="15.7"/>
    <n v="31.4"/>
    <x v="76"/>
    <x v="75"/>
    <x v="1"/>
    <x v="1"/>
    <x v="2"/>
    <x v="8"/>
    <x v="2"/>
    <x v="11"/>
    <x v="1"/>
  </r>
  <r>
    <x v="2094"/>
    <x v="7"/>
    <x v="2"/>
    <n v="35"/>
    <n v="105"/>
    <x v="76"/>
    <x v="75"/>
    <x v="2"/>
    <x v="1"/>
    <x v="2"/>
    <x v="9"/>
    <x v="2"/>
    <x v="11"/>
    <x v="2"/>
  </r>
  <r>
    <x v="2095"/>
    <x v="4"/>
    <x v="2"/>
    <n v="26.6"/>
    <n v="79.800000000000011"/>
    <x v="76"/>
    <x v="73"/>
    <x v="1"/>
    <x v="1"/>
    <x v="2"/>
    <x v="11"/>
    <x v="7"/>
    <x v="11"/>
    <x v="1"/>
  </r>
  <r>
    <x v="2096"/>
    <x v="4"/>
    <x v="8"/>
    <n v="47.9"/>
    <n v="383.2"/>
    <x v="77"/>
    <x v="78"/>
    <x v="2"/>
    <x v="3"/>
    <x v="2"/>
    <x v="20"/>
    <x v="3"/>
    <x v="11"/>
    <x v="2"/>
  </r>
  <r>
    <x v="2097"/>
    <x v="5"/>
    <x v="0"/>
    <n v="80.099999999999994"/>
    <n v="80.099999999999994"/>
    <x v="77"/>
    <x v="78"/>
    <x v="1"/>
    <x v="2"/>
    <x v="0"/>
    <x v="21"/>
    <x v="3"/>
    <x v="11"/>
    <x v="1"/>
  </r>
  <r>
    <x v="2098"/>
    <x v="6"/>
    <x v="9"/>
    <n v="50.4"/>
    <n v="252"/>
    <x v="77"/>
    <x v="78"/>
    <x v="1"/>
    <x v="1"/>
    <x v="2"/>
    <x v="21"/>
    <x v="3"/>
    <x v="11"/>
    <x v="1"/>
  </r>
  <r>
    <x v="2099"/>
    <x v="10"/>
    <x v="3"/>
    <n v="43.3"/>
    <n v="303.10000000000002"/>
    <x v="77"/>
    <x v="78"/>
    <x v="1"/>
    <x v="2"/>
    <x v="0"/>
    <x v="21"/>
    <x v="3"/>
    <x v="11"/>
    <x v="1"/>
  </r>
  <r>
    <x v="2100"/>
    <x v="10"/>
    <x v="12"/>
    <n v="57.5"/>
    <n v="230"/>
    <x v="77"/>
    <x v="78"/>
    <x v="2"/>
    <x v="1"/>
    <x v="2"/>
    <x v="1"/>
    <x v="3"/>
    <x v="11"/>
    <x v="2"/>
  </r>
  <r>
    <x v="2101"/>
    <x v="9"/>
    <x v="15"/>
    <n v="24.8"/>
    <n v="322.39999999999998"/>
    <x v="77"/>
    <x v="78"/>
    <x v="1"/>
    <x v="0"/>
    <x v="0"/>
    <x v="33"/>
    <x v="3"/>
    <x v="11"/>
    <x v="1"/>
  </r>
  <r>
    <x v="2102"/>
    <x v="2"/>
    <x v="11"/>
    <n v="85.7"/>
    <n v="771.30000000000007"/>
    <x v="77"/>
    <x v="78"/>
    <x v="2"/>
    <x v="0"/>
    <x v="0"/>
    <x v="18"/>
    <x v="3"/>
    <x v="11"/>
    <x v="2"/>
  </r>
  <r>
    <x v="2103"/>
    <x v="7"/>
    <x v="0"/>
    <n v="47.1"/>
    <n v="47.1"/>
    <x v="77"/>
    <x v="75"/>
    <x v="2"/>
    <x v="0"/>
    <x v="0"/>
    <x v="2"/>
    <x v="1"/>
    <x v="11"/>
    <x v="2"/>
  </r>
  <r>
    <x v="2104"/>
    <x v="5"/>
    <x v="7"/>
    <n v="83.2"/>
    <n v="832"/>
    <x v="77"/>
    <x v="79"/>
    <x v="2"/>
    <x v="0"/>
    <x v="0"/>
    <x v="33"/>
    <x v="5"/>
    <x v="11"/>
    <x v="2"/>
  </r>
  <r>
    <x v="2105"/>
    <x v="2"/>
    <x v="2"/>
    <n v="157"/>
    <n v="471"/>
    <x v="77"/>
    <x v="75"/>
    <x v="2"/>
    <x v="0"/>
    <x v="2"/>
    <x v="22"/>
    <x v="1"/>
    <x v="11"/>
    <x v="2"/>
  </r>
  <r>
    <x v="2106"/>
    <x v="16"/>
    <x v="12"/>
    <n v="33.700000000000003"/>
    <n v="134.80000000000001"/>
    <x v="77"/>
    <x v="78"/>
    <x v="1"/>
    <x v="2"/>
    <x v="2"/>
    <x v="22"/>
    <x v="3"/>
    <x v="11"/>
    <x v="1"/>
  </r>
  <r>
    <x v="2107"/>
    <x v="2"/>
    <x v="2"/>
    <n v="60.8"/>
    <n v="182.4"/>
    <x v="77"/>
    <x v="79"/>
    <x v="2"/>
    <x v="1"/>
    <x v="1"/>
    <x v="3"/>
    <x v="5"/>
    <x v="11"/>
    <x v="2"/>
  </r>
  <r>
    <x v="2108"/>
    <x v="7"/>
    <x v="0"/>
    <n v="57.6"/>
    <n v="57.6"/>
    <x v="77"/>
    <x v="78"/>
    <x v="1"/>
    <x v="1"/>
    <x v="4"/>
    <x v="3"/>
    <x v="3"/>
    <x v="11"/>
    <x v="1"/>
  </r>
  <r>
    <x v="2109"/>
    <x v="10"/>
    <x v="0"/>
    <n v="32"/>
    <n v="32"/>
    <x v="77"/>
    <x v="75"/>
    <x v="1"/>
    <x v="0"/>
    <x v="0"/>
    <x v="3"/>
    <x v="1"/>
    <x v="11"/>
    <x v="1"/>
  </r>
  <r>
    <x v="2110"/>
    <x v="10"/>
    <x v="12"/>
    <n v="23.5"/>
    <n v="94"/>
    <x v="77"/>
    <x v="78"/>
    <x v="2"/>
    <x v="0"/>
    <x v="2"/>
    <x v="3"/>
    <x v="3"/>
    <x v="11"/>
    <x v="2"/>
  </r>
  <r>
    <x v="2111"/>
    <x v="12"/>
    <x v="2"/>
    <n v="44.8"/>
    <n v="134.4"/>
    <x v="77"/>
    <x v="78"/>
    <x v="3"/>
    <x v="4"/>
    <x v="0"/>
    <x v="3"/>
    <x v="3"/>
    <x v="11"/>
    <x v="3"/>
  </r>
  <r>
    <x v="2112"/>
    <x v="0"/>
    <x v="8"/>
    <n v="11.7"/>
    <n v="93.6"/>
    <x v="77"/>
    <x v="78"/>
    <x v="1"/>
    <x v="2"/>
    <x v="2"/>
    <x v="3"/>
    <x v="3"/>
    <x v="11"/>
    <x v="1"/>
  </r>
  <r>
    <x v="2113"/>
    <x v="7"/>
    <x v="1"/>
    <n v="38.799999999999997"/>
    <n v="77.599999999999994"/>
    <x v="77"/>
    <x v="80"/>
    <x v="2"/>
    <x v="2"/>
    <x v="0"/>
    <x v="3"/>
    <x v="2"/>
    <x v="11"/>
    <x v="2"/>
  </r>
  <r>
    <x v="2114"/>
    <x v="5"/>
    <x v="21"/>
    <n v="86.9"/>
    <n v="1216.5999999999999"/>
    <x v="77"/>
    <x v="77"/>
    <x v="2"/>
    <x v="1"/>
    <x v="0"/>
    <x v="3"/>
    <x v="0"/>
    <x v="11"/>
    <x v="2"/>
  </r>
  <r>
    <x v="2115"/>
    <x v="8"/>
    <x v="0"/>
    <n v="18.3"/>
    <n v="18.3"/>
    <x v="77"/>
    <x v="78"/>
    <x v="2"/>
    <x v="0"/>
    <x v="0"/>
    <x v="3"/>
    <x v="3"/>
    <x v="11"/>
    <x v="2"/>
  </r>
  <r>
    <x v="2116"/>
    <x v="5"/>
    <x v="0"/>
    <n v="47.5"/>
    <n v="47.5"/>
    <x v="77"/>
    <x v="79"/>
    <x v="1"/>
    <x v="4"/>
    <x v="2"/>
    <x v="3"/>
    <x v="5"/>
    <x v="11"/>
    <x v="1"/>
  </r>
  <r>
    <x v="2117"/>
    <x v="1"/>
    <x v="1"/>
    <n v="78.599999999999994"/>
    <n v="157.19999999999999"/>
    <x v="77"/>
    <x v="78"/>
    <x v="1"/>
    <x v="2"/>
    <x v="2"/>
    <x v="3"/>
    <x v="3"/>
    <x v="11"/>
    <x v="1"/>
  </r>
  <r>
    <x v="2118"/>
    <x v="6"/>
    <x v="12"/>
    <n v="87.3"/>
    <n v="349.2"/>
    <x v="77"/>
    <x v="78"/>
    <x v="1"/>
    <x v="0"/>
    <x v="0"/>
    <x v="3"/>
    <x v="3"/>
    <x v="11"/>
    <x v="1"/>
  </r>
  <r>
    <x v="2119"/>
    <x v="9"/>
    <x v="1"/>
    <n v="63.2"/>
    <n v="126.4"/>
    <x v="77"/>
    <x v="83"/>
    <x v="1"/>
    <x v="4"/>
    <x v="1"/>
    <x v="3"/>
    <x v="7"/>
    <x v="11"/>
    <x v="1"/>
  </r>
  <r>
    <x v="2120"/>
    <x v="5"/>
    <x v="9"/>
    <n v="33.700000000000003"/>
    <n v="168.5"/>
    <x v="77"/>
    <x v="78"/>
    <x v="2"/>
    <x v="0"/>
    <x v="0"/>
    <x v="3"/>
    <x v="3"/>
    <x v="11"/>
    <x v="2"/>
  </r>
  <r>
    <x v="2121"/>
    <x v="2"/>
    <x v="2"/>
    <n v="107.4"/>
    <n v="322.2"/>
    <x v="77"/>
    <x v="84"/>
    <x v="2"/>
    <x v="1"/>
    <x v="2"/>
    <x v="3"/>
    <x v="10"/>
    <x v="11"/>
    <x v="2"/>
  </r>
  <r>
    <x v="2122"/>
    <x v="4"/>
    <x v="12"/>
    <n v="22.2"/>
    <n v="88.8"/>
    <x v="77"/>
    <x v="78"/>
    <x v="0"/>
    <x v="1"/>
    <x v="2"/>
    <x v="24"/>
    <x v="3"/>
    <x v="11"/>
    <x v="0"/>
  </r>
  <r>
    <x v="2123"/>
    <x v="18"/>
    <x v="2"/>
    <n v="52.8"/>
    <n v="158.4"/>
    <x v="77"/>
    <x v="78"/>
    <x v="1"/>
    <x v="3"/>
    <x v="2"/>
    <x v="24"/>
    <x v="3"/>
    <x v="11"/>
    <x v="1"/>
  </r>
  <r>
    <x v="2124"/>
    <x v="8"/>
    <x v="2"/>
    <n v="41.5"/>
    <n v="124.5"/>
    <x v="77"/>
    <x v="80"/>
    <x v="2"/>
    <x v="0"/>
    <x v="0"/>
    <x v="25"/>
    <x v="2"/>
    <x v="11"/>
    <x v="2"/>
  </r>
  <r>
    <x v="2125"/>
    <x v="12"/>
    <x v="8"/>
    <n v="103.5"/>
    <n v="828"/>
    <x v="77"/>
    <x v="80"/>
    <x v="2"/>
    <x v="0"/>
    <x v="2"/>
    <x v="23"/>
    <x v="2"/>
    <x v="11"/>
    <x v="2"/>
  </r>
  <r>
    <x v="2126"/>
    <x v="4"/>
    <x v="21"/>
    <n v="37.5"/>
    <n v="525"/>
    <x v="77"/>
    <x v="83"/>
    <x v="2"/>
    <x v="1"/>
    <x v="2"/>
    <x v="6"/>
    <x v="7"/>
    <x v="11"/>
    <x v="2"/>
  </r>
  <r>
    <x v="2127"/>
    <x v="15"/>
    <x v="8"/>
    <n v="44.4"/>
    <n v="355.2"/>
    <x v="77"/>
    <x v="82"/>
    <x v="2"/>
    <x v="3"/>
    <x v="2"/>
    <x v="7"/>
    <x v="4"/>
    <x v="11"/>
    <x v="2"/>
  </r>
  <r>
    <x v="2128"/>
    <x v="8"/>
    <x v="2"/>
    <n v="26.2"/>
    <n v="78.599999999999994"/>
    <x v="77"/>
    <x v="78"/>
    <x v="1"/>
    <x v="0"/>
    <x v="0"/>
    <x v="8"/>
    <x v="3"/>
    <x v="11"/>
    <x v="1"/>
  </r>
  <r>
    <x v="2129"/>
    <x v="1"/>
    <x v="3"/>
    <n v="32.200000000000003"/>
    <n v="225.4"/>
    <x v="77"/>
    <x v="78"/>
    <x v="2"/>
    <x v="1"/>
    <x v="2"/>
    <x v="8"/>
    <x v="3"/>
    <x v="11"/>
    <x v="2"/>
  </r>
  <r>
    <x v="2130"/>
    <x v="8"/>
    <x v="0"/>
    <n v="17.399999999999999"/>
    <n v="17.399999999999999"/>
    <x v="77"/>
    <x v="79"/>
    <x v="0"/>
    <x v="2"/>
    <x v="1"/>
    <x v="8"/>
    <x v="5"/>
    <x v="11"/>
    <x v="0"/>
  </r>
  <r>
    <x v="2131"/>
    <x v="8"/>
    <x v="13"/>
    <n v="72.3"/>
    <n v="433.8"/>
    <x v="77"/>
    <x v="80"/>
    <x v="2"/>
    <x v="0"/>
    <x v="0"/>
    <x v="8"/>
    <x v="2"/>
    <x v="11"/>
    <x v="2"/>
  </r>
  <r>
    <x v="2132"/>
    <x v="8"/>
    <x v="5"/>
    <n v="24.3"/>
    <n v="267.3"/>
    <x v="77"/>
    <x v="78"/>
    <x v="1"/>
    <x v="0"/>
    <x v="0"/>
    <x v="8"/>
    <x v="3"/>
    <x v="11"/>
    <x v="1"/>
  </r>
  <r>
    <x v="2133"/>
    <x v="13"/>
    <x v="2"/>
    <n v="49.1"/>
    <n v="147.30000000000001"/>
    <x v="77"/>
    <x v="82"/>
    <x v="1"/>
    <x v="2"/>
    <x v="4"/>
    <x v="8"/>
    <x v="4"/>
    <x v="11"/>
    <x v="1"/>
  </r>
  <r>
    <x v="2134"/>
    <x v="2"/>
    <x v="7"/>
    <n v="234.7"/>
    <n v="2347"/>
    <x v="77"/>
    <x v="78"/>
    <x v="1"/>
    <x v="3"/>
    <x v="1"/>
    <x v="8"/>
    <x v="3"/>
    <x v="11"/>
    <x v="1"/>
  </r>
  <r>
    <x v="2135"/>
    <x v="3"/>
    <x v="9"/>
    <n v="76.099999999999994"/>
    <n v="380.5"/>
    <x v="77"/>
    <x v="75"/>
    <x v="1"/>
    <x v="1"/>
    <x v="1"/>
    <x v="17"/>
    <x v="1"/>
    <x v="11"/>
    <x v="1"/>
  </r>
  <r>
    <x v="2136"/>
    <x v="1"/>
    <x v="2"/>
    <n v="93.9"/>
    <n v="281.7"/>
    <x v="77"/>
    <x v="78"/>
    <x v="1"/>
    <x v="1"/>
    <x v="4"/>
    <x v="11"/>
    <x v="3"/>
    <x v="11"/>
    <x v="1"/>
  </r>
  <r>
    <x v="2137"/>
    <x v="2"/>
    <x v="12"/>
    <n v="187"/>
    <n v="748"/>
    <x v="78"/>
    <x v="79"/>
    <x v="1"/>
    <x v="0"/>
    <x v="0"/>
    <x v="11"/>
    <x v="2"/>
    <x v="11"/>
    <x v="1"/>
  </r>
  <r>
    <x v="2138"/>
    <x v="8"/>
    <x v="1"/>
    <n v="18"/>
    <n v="36"/>
    <x v="78"/>
    <x v="75"/>
    <x v="2"/>
    <x v="1"/>
    <x v="2"/>
    <x v="29"/>
    <x v="3"/>
    <x v="11"/>
    <x v="2"/>
  </r>
  <r>
    <x v="2139"/>
    <x v="4"/>
    <x v="0"/>
    <n v="24.4"/>
    <n v="24.4"/>
    <x v="78"/>
    <x v="75"/>
    <x v="2"/>
    <x v="4"/>
    <x v="2"/>
    <x v="21"/>
    <x v="3"/>
    <x v="11"/>
    <x v="2"/>
  </r>
  <r>
    <x v="2140"/>
    <x v="10"/>
    <x v="1"/>
    <n v="38.799999999999997"/>
    <n v="77.599999999999994"/>
    <x v="78"/>
    <x v="75"/>
    <x v="1"/>
    <x v="4"/>
    <x v="1"/>
    <x v="3"/>
    <x v="3"/>
    <x v="11"/>
    <x v="1"/>
  </r>
  <r>
    <x v="2141"/>
    <x v="3"/>
    <x v="0"/>
    <n v="59.7"/>
    <n v="59.7"/>
    <x v="78"/>
    <x v="79"/>
    <x v="1"/>
    <x v="3"/>
    <x v="0"/>
    <x v="3"/>
    <x v="2"/>
    <x v="11"/>
    <x v="1"/>
  </r>
  <r>
    <x v="2142"/>
    <x v="7"/>
    <x v="0"/>
    <n v="31.2"/>
    <n v="31.2"/>
    <x v="78"/>
    <x v="75"/>
    <x v="1"/>
    <x v="1"/>
    <x v="2"/>
    <x v="3"/>
    <x v="3"/>
    <x v="11"/>
    <x v="1"/>
  </r>
  <r>
    <x v="2143"/>
    <x v="0"/>
    <x v="0"/>
    <n v="16.8"/>
    <n v="16.8"/>
    <x v="78"/>
    <x v="75"/>
    <x v="2"/>
    <x v="2"/>
    <x v="1"/>
    <x v="3"/>
    <x v="3"/>
    <x v="11"/>
    <x v="2"/>
  </r>
  <r>
    <x v="2144"/>
    <x v="8"/>
    <x v="0"/>
    <n v="46"/>
    <n v="46"/>
    <x v="78"/>
    <x v="75"/>
    <x v="1"/>
    <x v="0"/>
    <x v="0"/>
    <x v="3"/>
    <x v="3"/>
    <x v="11"/>
    <x v="1"/>
  </r>
  <r>
    <x v="2145"/>
    <x v="9"/>
    <x v="8"/>
    <n v="42.2"/>
    <n v="337.6"/>
    <x v="78"/>
    <x v="79"/>
    <x v="2"/>
    <x v="3"/>
    <x v="2"/>
    <x v="3"/>
    <x v="2"/>
    <x v="11"/>
    <x v="2"/>
  </r>
  <r>
    <x v="2146"/>
    <x v="1"/>
    <x v="2"/>
    <n v="71.5"/>
    <n v="214.5"/>
    <x v="78"/>
    <x v="85"/>
    <x v="2"/>
    <x v="0"/>
    <x v="0"/>
    <x v="3"/>
    <x v="12"/>
    <x v="11"/>
    <x v="2"/>
  </r>
  <r>
    <x v="2147"/>
    <x v="1"/>
    <x v="1"/>
    <n v="76.599999999999994"/>
    <n v="153.19999999999999"/>
    <x v="78"/>
    <x v="78"/>
    <x v="1"/>
    <x v="0"/>
    <x v="2"/>
    <x v="3"/>
    <x v="7"/>
    <x v="11"/>
    <x v="1"/>
  </r>
  <r>
    <x v="2148"/>
    <x v="12"/>
    <x v="1"/>
    <n v="87.3"/>
    <n v="174.6"/>
    <x v="78"/>
    <x v="86"/>
    <x v="2"/>
    <x v="3"/>
    <x v="2"/>
    <x v="3"/>
    <x v="9"/>
    <x v="11"/>
    <x v="2"/>
  </r>
  <r>
    <x v="2149"/>
    <x v="1"/>
    <x v="0"/>
    <n v="63"/>
    <n v="63"/>
    <x v="78"/>
    <x v="79"/>
    <x v="1"/>
    <x v="3"/>
    <x v="0"/>
    <x v="3"/>
    <x v="2"/>
    <x v="11"/>
    <x v="1"/>
  </r>
  <r>
    <x v="2150"/>
    <x v="8"/>
    <x v="1"/>
    <n v="41.7"/>
    <n v="83.4"/>
    <x v="78"/>
    <x v="75"/>
    <x v="2"/>
    <x v="4"/>
    <x v="1"/>
    <x v="19"/>
    <x v="3"/>
    <x v="11"/>
    <x v="2"/>
  </r>
  <r>
    <x v="2151"/>
    <x v="6"/>
    <x v="1"/>
    <n v="76.099999999999994"/>
    <n v="152.19999999999999"/>
    <x v="78"/>
    <x v="78"/>
    <x v="2"/>
    <x v="4"/>
    <x v="2"/>
    <x v="16"/>
    <x v="7"/>
    <x v="11"/>
    <x v="2"/>
  </r>
  <r>
    <x v="2152"/>
    <x v="13"/>
    <x v="1"/>
    <n v="28.5"/>
    <n v="57"/>
    <x v="78"/>
    <x v="75"/>
    <x v="2"/>
    <x v="0"/>
    <x v="2"/>
    <x v="4"/>
    <x v="3"/>
    <x v="11"/>
    <x v="2"/>
  </r>
  <r>
    <x v="2153"/>
    <x v="0"/>
    <x v="12"/>
    <n v="32.1"/>
    <n v="128.4"/>
    <x v="78"/>
    <x v="75"/>
    <x v="2"/>
    <x v="1"/>
    <x v="2"/>
    <x v="25"/>
    <x v="3"/>
    <x v="11"/>
    <x v="2"/>
  </r>
  <r>
    <x v="2154"/>
    <x v="4"/>
    <x v="2"/>
    <n v="39"/>
    <n v="117"/>
    <x v="78"/>
    <x v="79"/>
    <x v="1"/>
    <x v="1"/>
    <x v="2"/>
    <x v="25"/>
    <x v="2"/>
    <x v="11"/>
    <x v="1"/>
  </r>
  <r>
    <x v="2155"/>
    <x v="6"/>
    <x v="0"/>
    <n v="78.5"/>
    <n v="78.5"/>
    <x v="78"/>
    <x v="75"/>
    <x v="1"/>
    <x v="1"/>
    <x v="0"/>
    <x v="6"/>
    <x v="3"/>
    <x v="11"/>
    <x v="1"/>
  </r>
  <r>
    <x v="2156"/>
    <x v="4"/>
    <x v="9"/>
    <n v="49.7"/>
    <n v="248.5"/>
    <x v="78"/>
    <x v="80"/>
    <x v="2"/>
    <x v="0"/>
    <x v="0"/>
    <x v="6"/>
    <x v="1"/>
    <x v="11"/>
    <x v="2"/>
  </r>
  <r>
    <x v="2157"/>
    <x v="1"/>
    <x v="12"/>
    <n v="68.400000000000006"/>
    <n v="273.60000000000002"/>
    <x v="78"/>
    <x v="75"/>
    <x v="2"/>
    <x v="2"/>
    <x v="2"/>
    <x v="7"/>
    <x v="3"/>
    <x v="11"/>
    <x v="2"/>
  </r>
  <r>
    <x v="2158"/>
    <x v="3"/>
    <x v="1"/>
    <n v="72.900000000000006"/>
    <n v="145.80000000000001"/>
    <x v="78"/>
    <x v="79"/>
    <x v="0"/>
    <x v="0"/>
    <x v="2"/>
    <x v="7"/>
    <x v="2"/>
    <x v="11"/>
    <x v="0"/>
  </r>
  <r>
    <x v="2159"/>
    <x v="5"/>
    <x v="15"/>
    <n v="30.3"/>
    <n v="393.9"/>
    <x v="78"/>
    <x v="75"/>
    <x v="1"/>
    <x v="4"/>
    <x v="0"/>
    <x v="7"/>
    <x v="3"/>
    <x v="11"/>
    <x v="1"/>
  </r>
  <r>
    <x v="2160"/>
    <x v="6"/>
    <x v="5"/>
    <n v="57.9"/>
    <n v="636.9"/>
    <x v="78"/>
    <x v="75"/>
    <x v="2"/>
    <x v="0"/>
    <x v="0"/>
    <x v="8"/>
    <x v="3"/>
    <x v="11"/>
    <x v="2"/>
  </r>
  <r>
    <x v="2161"/>
    <x v="1"/>
    <x v="0"/>
    <n v="96.7"/>
    <n v="96.7"/>
    <x v="78"/>
    <x v="75"/>
    <x v="1"/>
    <x v="0"/>
    <x v="0"/>
    <x v="8"/>
    <x v="3"/>
    <x v="11"/>
    <x v="1"/>
  </r>
  <r>
    <x v="2162"/>
    <x v="8"/>
    <x v="4"/>
    <n v="27.6"/>
    <n v="331.2"/>
    <x v="78"/>
    <x v="80"/>
    <x v="1"/>
    <x v="2"/>
    <x v="2"/>
    <x v="8"/>
    <x v="1"/>
    <x v="11"/>
    <x v="1"/>
  </r>
  <r>
    <x v="2163"/>
    <x v="6"/>
    <x v="12"/>
    <n v="64.7"/>
    <n v="258.8"/>
    <x v="78"/>
    <x v="78"/>
    <x v="1"/>
    <x v="3"/>
    <x v="2"/>
    <x v="8"/>
    <x v="7"/>
    <x v="11"/>
    <x v="1"/>
  </r>
  <r>
    <x v="2164"/>
    <x v="10"/>
    <x v="13"/>
    <n v="30.5"/>
    <n v="183"/>
    <x v="78"/>
    <x v="75"/>
    <x v="1"/>
    <x v="4"/>
    <x v="0"/>
    <x v="8"/>
    <x v="3"/>
    <x v="11"/>
    <x v="1"/>
  </r>
  <r>
    <x v="2165"/>
    <x v="6"/>
    <x v="47"/>
    <n v="106"/>
    <n v="7420"/>
    <x v="79"/>
    <x v="79"/>
    <x v="1"/>
    <x v="4"/>
    <x v="2"/>
    <x v="8"/>
    <x v="1"/>
    <x v="11"/>
    <x v="1"/>
  </r>
  <r>
    <x v="2166"/>
    <x v="12"/>
    <x v="9"/>
    <n v="76.8"/>
    <n v="384"/>
    <x v="79"/>
    <x v="87"/>
    <x v="0"/>
    <x v="1"/>
    <x v="1"/>
    <x v="18"/>
    <x v="4"/>
    <x v="11"/>
    <x v="0"/>
  </r>
  <r>
    <x v="2167"/>
    <x v="6"/>
    <x v="1"/>
    <n v="80.400000000000006"/>
    <n v="160.80000000000001"/>
    <x v="79"/>
    <x v="80"/>
    <x v="2"/>
    <x v="2"/>
    <x v="0"/>
    <x v="13"/>
    <x v="3"/>
    <x v="11"/>
    <x v="2"/>
  </r>
  <r>
    <x v="2168"/>
    <x v="6"/>
    <x v="12"/>
    <n v="69.099999999999994"/>
    <n v="276.39999999999998"/>
    <x v="79"/>
    <x v="80"/>
    <x v="1"/>
    <x v="1"/>
    <x v="2"/>
    <x v="21"/>
    <x v="3"/>
    <x v="11"/>
    <x v="1"/>
  </r>
  <r>
    <x v="2169"/>
    <x v="18"/>
    <x v="1"/>
    <n v="76.400000000000006"/>
    <n v="152.80000000000001"/>
    <x v="79"/>
    <x v="75"/>
    <x v="1"/>
    <x v="3"/>
    <x v="0"/>
    <x v="21"/>
    <x v="7"/>
    <x v="11"/>
    <x v="1"/>
  </r>
  <r>
    <x v="2170"/>
    <x v="2"/>
    <x v="1"/>
    <n v="61.3"/>
    <n v="122.6"/>
    <x v="79"/>
    <x v="80"/>
    <x v="2"/>
    <x v="1"/>
    <x v="1"/>
    <x v="21"/>
    <x v="3"/>
    <x v="11"/>
    <x v="2"/>
  </r>
  <r>
    <x v="2171"/>
    <x v="7"/>
    <x v="0"/>
    <n v="58"/>
    <n v="58"/>
    <x v="79"/>
    <x v="80"/>
    <x v="1"/>
    <x v="3"/>
    <x v="1"/>
    <x v="1"/>
    <x v="3"/>
    <x v="11"/>
    <x v="1"/>
  </r>
  <r>
    <x v="2172"/>
    <x v="2"/>
    <x v="8"/>
    <n v="102.3"/>
    <n v="818.4"/>
    <x v="79"/>
    <x v="79"/>
    <x v="1"/>
    <x v="2"/>
    <x v="0"/>
    <x v="18"/>
    <x v="1"/>
    <x v="11"/>
    <x v="1"/>
  </r>
  <r>
    <x v="2173"/>
    <x v="19"/>
    <x v="1"/>
    <n v="13.8"/>
    <n v="27.6"/>
    <x v="79"/>
    <x v="80"/>
    <x v="2"/>
    <x v="4"/>
    <x v="2"/>
    <x v="2"/>
    <x v="3"/>
    <x v="11"/>
    <x v="2"/>
  </r>
  <r>
    <x v="2174"/>
    <x v="8"/>
    <x v="2"/>
    <n v="33.299999999999997"/>
    <n v="99.899999999999991"/>
    <x v="79"/>
    <x v="77"/>
    <x v="2"/>
    <x v="2"/>
    <x v="0"/>
    <x v="22"/>
    <x v="2"/>
    <x v="11"/>
    <x v="2"/>
  </r>
  <r>
    <x v="2175"/>
    <x v="10"/>
    <x v="0"/>
    <n v="27.4"/>
    <n v="27.4"/>
    <x v="79"/>
    <x v="77"/>
    <x v="1"/>
    <x v="0"/>
    <x v="2"/>
    <x v="22"/>
    <x v="2"/>
    <x v="11"/>
    <x v="1"/>
  </r>
  <r>
    <x v="2176"/>
    <x v="14"/>
    <x v="1"/>
    <n v="25.6"/>
    <n v="51.2"/>
    <x v="79"/>
    <x v="80"/>
    <x v="2"/>
    <x v="1"/>
    <x v="1"/>
    <x v="3"/>
    <x v="3"/>
    <x v="11"/>
    <x v="2"/>
  </r>
  <r>
    <x v="2177"/>
    <x v="13"/>
    <x v="0"/>
    <n v="58.4"/>
    <n v="58.4"/>
    <x v="79"/>
    <x v="80"/>
    <x v="2"/>
    <x v="2"/>
    <x v="2"/>
    <x v="3"/>
    <x v="3"/>
    <x v="11"/>
    <x v="2"/>
  </r>
  <r>
    <x v="2178"/>
    <x v="11"/>
    <x v="17"/>
    <n v="27"/>
    <n v="810"/>
    <x v="79"/>
    <x v="80"/>
    <x v="2"/>
    <x v="4"/>
    <x v="0"/>
    <x v="3"/>
    <x v="3"/>
    <x v="11"/>
    <x v="2"/>
  </r>
  <r>
    <x v="2179"/>
    <x v="0"/>
    <x v="12"/>
    <n v="14.2"/>
    <n v="56.8"/>
    <x v="79"/>
    <x v="80"/>
    <x v="1"/>
    <x v="0"/>
    <x v="2"/>
    <x v="3"/>
    <x v="3"/>
    <x v="11"/>
    <x v="1"/>
  </r>
  <r>
    <x v="2180"/>
    <x v="7"/>
    <x v="1"/>
    <n v="68"/>
    <n v="136"/>
    <x v="79"/>
    <x v="88"/>
    <x v="1"/>
    <x v="2"/>
    <x v="1"/>
    <x v="3"/>
    <x v="14"/>
    <x v="11"/>
    <x v="1"/>
  </r>
  <r>
    <x v="2181"/>
    <x v="8"/>
    <x v="0"/>
    <n v="30.7"/>
    <n v="30.7"/>
    <x v="79"/>
    <x v="80"/>
    <x v="1"/>
    <x v="0"/>
    <x v="0"/>
    <x v="3"/>
    <x v="3"/>
    <x v="11"/>
    <x v="1"/>
  </r>
  <r>
    <x v="2182"/>
    <x v="17"/>
    <x v="15"/>
    <n v="51.6"/>
    <n v="670.80000000000007"/>
    <x v="79"/>
    <x v="77"/>
    <x v="3"/>
    <x v="1"/>
    <x v="2"/>
    <x v="3"/>
    <x v="2"/>
    <x v="11"/>
    <x v="3"/>
  </r>
  <r>
    <x v="2183"/>
    <x v="8"/>
    <x v="2"/>
    <n v="20.6"/>
    <n v="61.8"/>
    <x v="79"/>
    <x v="82"/>
    <x v="2"/>
    <x v="4"/>
    <x v="2"/>
    <x v="3"/>
    <x v="5"/>
    <x v="11"/>
    <x v="2"/>
  </r>
  <r>
    <x v="2184"/>
    <x v="8"/>
    <x v="0"/>
    <n v="24.8"/>
    <n v="24.8"/>
    <x v="79"/>
    <x v="80"/>
    <x v="1"/>
    <x v="4"/>
    <x v="0"/>
    <x v="3"/>
    <x v="3"/>
    <x v="11"/>
    <x v="1"/>
  </r>
  <r>
    <x v="2185"/>
    <x v="0"/>
    <x v="3"/>
    <n v="11.2"/>
    <n v="78.399999999999991"/>
    <x v="79"/>
    <x v="77"/>
    <x v="1"/>
    <x v="1"/>
    <x v="0"/>
    <x v="3"/>
    <x v="2"/>
    <x v="11"/>
    <x v="1"/>
  </r>
  <r>
    <x v="2186"/>
    <x v="11"/>
    <x v="1"/>
    <n v="51.2"/>
    <n v="102.4"/>
    <x v="79"/>
    <x v="80"/>
    <x v="2"/>
    <x v="1"/>
    <x v="2"/>
    <x v="3"/>
    <x v="3"/>
    <x v="11"/>
    <x v="2"/>
  </r>
  <r>
    <x v="2187"/>
    <x v="7"/>
    <x v="13"/>
    <n v="90.5"/>
    <n v="543"/>
    <x v="79"/>
    <x v="80"/>
    <x v="2"/>
    <x v="1"/>
    <x v="4"/>
    <x v="3"/>
    <x v="3"/>
    <x v="11"/>
    <x v="2"/>
  </r>
  <r>
    <x v="2188"/>
    <x v="1"/>
    <x v="1"/>
    <n v="42.4"/>
    <n v="84.8"/>
    <x v="79"/>
    <x v="80"/>
    <x v="1"/>
    <x v="1"/>
    <x v="2"/>
    <x v="4"/>
    <x v="3"/>
    <x v="11"/>
    <x v="1"/>
  </r>
  <r>
    <x v="2189"/>
    <x v="1"/>
    <x v="1"/>
    <n v="38.200000000000003"/>
    <n v="76.400000000000006"/>
    <x v="79"/>
    <x v="80"/>
    <x v="1"/>
    <x v="0"/>
    <x v="0"/>
    <x v="5"/>
    <x v="3"/>
    <x v="11"/>
    <x v="1"/>
  </r>
  <r>
    <x v="2190"/>
    <x v="2"/>
    <x v="11"/>
    <n v="121.3"/>
    <n v="1091.7"/>
    <x v="79"/>
    <x v="81"/>
    <x v="1"/>
    <x v="0"/>
    <x v="0"/>
    <x v="6"/>
    <x v="0"/>
    <x v="11"/>
    <x v="1"/>
  </r>
  <r>
    <x v="2191"/>
    <x v="6"/>
    <x v="1"/>
    <n v="46.9"/>
    <n v="93.8"/>
    <x v="79"/>
    <x v="86"/>
    <x v="1"/>
    <x v="0"/>
    <x v="0"/>
    <x v="8"/>
    <x v="6"/>
    <x v="11"/>
    <x v="1"/>
  </r>
  <r>
    <x v="2192"/>
    <x v="10"/>
    <x v="0"/>
    <n v="55.3"/>
    <n v="55.3"/>
    <x v="79"/>
    <x v="79"/>
    <x v="1"/>
    <x v="0"/>
    <x v="0"/>
    <x v="8"/>
    <x v="1"/>
    <x v="11"/>
    <x v="1"/>
  </r>
  <r>
    <x v="2193"/>
    <x v="2"/>
    <x v="2"/>
    <n v="70.599999999999994"/>
    <n v="211.8"/>
    <x v="80"/>
    <x v="80"/>
    <x v="2"/>
    <x v="0"/>
    <x v="1"/>
    <x v="8"/>
    <x v="7"/>
    <x v="11"/>
    <x v="2"/>
  </r>
  <r>
    <x v="2194"/>
    <x v="14"/>
    <x v="12"/>
    <n v="26.1"/>
    <n v="104.4"/>
    <x v="80"/>
    <x v="77"/>
    <x v="1"/>
    <x v="0"/>
    <x v="0"/>
    <x v="8"/>
    <x v="1"/>
    <x v="11"/>
    <x v="1"/>
  </r>
  <r>
    <x v="2195"/>
    <x v="9"/>
    <x v="5"/>
    <n v="34.5"/>
    <n v="379.5"/>
    <x v="80"/>
    <x v="81"/>
    <x v="1"/>
    <x v="2"/>
    <x v="0"/>
    <x v="17"/>
    <x v="5"/>
    <x v="11"/>
    <x v="1"/>
  </r>
  <r>
    <x v="2196"/>
    <x v="1"/>
    <x v="1"/>
    <n v="64.2"/>
    <n v="128.4"/>
    <x v="80"/>
    <x v="79"/>
    <x v="2"/>
    <x v="0"/>
    <x v="1"/>
    <x v="17"/>
    <x v="3"/>
    <x v="11"/>
    <x v="2"/>
  </r>
  <r>
    <x v="2197"/>
    <x v="2"/>
    <x v="12"/>
    <n v="145.69999999999999"/>
    <n v="582.79999999999995"/>
    <x v="80"/>
    <x v="79"/>
    <x v="2"/>
    <x v="0"/>
    <x v="4"/>
    <x v="17"/>
    <x v="3"/>
    <x v="11"/>
    <x v="2"/>
  </r>
  <r>
    <x v="2198"/>
    <x v="12"/>
    <x v="1"/>
    <n v="78.5"/>
    <n v="157"/>
    <x v="80"/>
    <x v="79"/>
    <x v="1"/>
    <x v="2"/>
    <x v="0"/>
    <x v="26"/>
    <x v="3"/>
    <x v="11"/>
    <x v="1"/>
  </r>
  <r>
    <x v="2199"/>
    <x v="1"/>
    <x v="0"/>
    <n v="34.200000000000003"/>
    <n v="34.200000000000003"/>
    <x v="80"/>
    <x v="77"/>
    <x v="1"/>
    <x v="0"/>
    <x v="0"/>
    <x v="9"/>
    <x v="1"/>
    <x v="11"/>
    <x v="1"/>
  </r>
  <r>
    <x v="2200"/>
    <x v="19"/>
    <x v="0"/>
    <n v="26.2"/>
    <n v="26.2"/>
    <x v="80"/>
    <x v="79"/>
    <x v="1"/>
    <x v="2"/>
    <x v="0"/>
    <x v="9"/>
    <x v="3"/>
    <x v="11"/>
    <x v="1"/>
  </r>
  <r>
    <x v="2201"/>
    <x v="6"/>
    <x v="12"/>
    <n v="53.2"/>
    <n v="212.8"/>
    <x v="80"/>
    <x v="79"/>
    <x v="1"/>
    <x v="1"/>
    <x v="1"/>
    <x v="11"/>
    <x v="3"/>
    <x v="11"/>
    <x v="1"/>
  </r>
  <r>
    <x v="2202"/>
    <x v="1"/>
    <x v="0"/>
    <n v="35.4"/>
    <n v="35.4"/>
    <x v="80"/>
    <x v="81"/>
    <x v="1"/>
    <x v="1"/>
    <x v="4"/>
    <x v="18"/>
    <x v="5"/>
    <x v="11"/>
    <x v="1"/>
  </r>
  <r>
    <x v="2203"/>
    <x v="14"/>
    <x v="1"/>
    <n v="21.3"/>
    <n v="42.6"/>
    <x v="80"/>
    <x v="79"/>
    <x v="1"/>
    <x v="2"/>
    <x v="0"/>
    <x v="20"/>
    <x v="3"/>
    <x v="11"/>
    <x v="1"/>
  </r>
  <r>
    <x v="2204"/>
    <x v="8"/>
    <x v="12"/>
    <n v="32.9"/>
    <n v="131.6"/>
    <x v="80"/>
    <x v="82"/>
    <x v="2"/>
    <x v="4"/>
    <x v="2"/>
    <x v="21"/>
    <x v="2"/>
    <x v="11"/>
    <x v="2"/>
  </r>
  <r>
    <x v="2205"/>
    <x v="5"/>
    <x v="20"/>
    <n v="85.5"/>
    <n v="1282.5"/>
    <x v="80"/>
    <x v="77"/>
    <x v="2"/>
    <x v="3"/>
    <x v="1"/>
    <x v="21"/>
    <x v="1"/>
    <x v="11"/>
    <x v="2"/>
  </r>
  <r>
    <x v="2206"/>
    <x v="4"/>
    <x v="0"/>
    <n v="26.8"/>
    <n v="26.8"/>
    <x v="80"/>
    <x v="79"/>
    <x v="2"/>
    <x v="0"/>
    <x v="1"/>
    <x v="2"/>
    <x v="3"/>
    <x v="11"/>
    <x v="2"/>
  </r>
  <r>
    <x v="2207"/>
    <x v="9"/>
    <x v="18"/>
    <n v="31.7"/>
    <n v="824.19999999999993"/>
    <x v="80"/>
    <x v="80"/>
    <x v="2"/>
    <x v="3"/>
    <x v="0"/>
    <x v="2"/>
    <x v="7"/>
    <x v="11"/>
    <x v="2"/>
  </r>
  <r>
    <x v="2208"/>
    <x v="1"/>
    <x v="1"/>
    <n v="78.3"/>
    <n v="156.6"/>
    <x v="80"/>
    <x v="77"/>
    <x v="2"/>
    <x v="1"/>
    <x v="1"/>
    <x v="3"/>
    <x v="1"/>
    <x v="11"/>
    <x v="2"/>
  </r>
  <r>
    <x v="2209"/>
    <x v="6"/>
    <x v="0"/>
    <n v="43.9"/>
    <n v="43.9"/>
    <x v="80"/>
    <x v="79"/>
    <x v="1"/>
    <x v="0"/>
    <x v="0"/>
    <x v="3"/>
    <x v="3"/>
    <x v="11"/>
    <x v="1"/>
  </r>
  <r>
    <x v="2210"/>
    <x v="18"/>
    <x v="2"/>
    <n v="84"/>
    <n v="252"/>
    <x v="80"/>
    <x v="77"/>
    <x v="0"/>
    <x v="3"/>
    <x v="2"/>
    <x v="3"/>
    <x v="1"/>
    <x v="11"/>
    <x v="0"/>
  </r>
  <r>
    <x v="2211"/>
    <x v="0"/>
    <x v="2"/>
    <n v="11.4"/>
    <n v="34.200000000000003"/>
    <x v="80"/>
    <x v="79"/>
    <x v="1"/>
    <x v="4"/>
    <x v="0"/>
    <x v="3"/>
    <x v="3"/>
    <x v="11"/>
    <x v="1"/>
  </r>
  <r>
    <x v="2212"/>
    <x v="12"/>
    <x v="8"/>
    <n v="47.5"/>
    <n v="380"/>
    <x v="80"/>
    <x v="89"/>
    <x v="2"/>
    <x v="0"/>
    <x v="0"/>
    <x v="3"/>
    <x v="9"/>
    <x v="11"/>
    <x v="2"/>
  </r>
  <r>
    <x v="2213"/>
    <x v="9"/>
    <x v="5"/>
    <n v="50.5"/>
    <n v="555.5"/>
    <x v="80"/>
    <x v="77"/>
    <x v="1"/>
    <x v="2"/>
    <x v="0"/>
    <x v="3"/>
    <x v="1"/>
    <x v="11"/>
    <x v="1"/>
  </r>
  <r>
    <x v="2214"/>
    <x v="15"/>
    <x v="0"/>
    <n v="36.299999999999997"/>
    <n v="36.299999999999997"/>
    <x v="80"/>
    <x v="82"/>
    <x v="3"/>
    <x v="0"/>
    <x v="1"/>
    <x v="8"/>
    <x v="2"/>
    <x v="11"/>
    <x v="3"/>
  </r>
  <r>
    <x v="2215"/>
    <x v="8"/>
    <x v="1"/>
    <n v="35.4"/>
    <n v="70.8"/>
    <x v="80"/>
    <x v="79"/>
    <x v="2"/>
    <x v="0"/>
    <x v="0"/>
    <x v="17"/>
    <x v="3"/>
    <x v="11"/>
    <x v="2"/>
  </r>
  <r>
    <x v="2216"/>
    <x v="1"/>
    <x v="2"/>
    <n v="45.9"/>
    <n v="137.69999999999999"/>
    <x v="81"/>
    <x v="77"/>
    <x v="1"/>
    <x v="3"/>
    <x v="0"/>
    <x v="9"/>
    <x v="3"/>
    <x v="12"/>
    <x v="1"/>
  </r>
  <r>
    <x v="2217"/>
    <x v="6"/>
    <x v="7"/>
    <n v="41.2"/>
    <n v="412"/>
    <x v="81"/>
    <x v="87"/>
    <x v="1"/>
    <x v="0"/>
    <x v="0"/>
    <x v="11"/>
    <x v="5"/>
    <x v="12"/>
    <x v="1"/>
  </r>
  <r>
    <x v="2218"/>
    <x v="17"/>
    <x v="1"/>
    <n v="45.1"/>
    <n v="90.2"/>
    <x v="81"/>
    <x v="77"/>
    <x v="1"/>
    <x v="1"/>
    <x v="1"/>
    <x v="21"/>
    <x v="3"/>
    <x v="12"/>
    <x v="1"/>
  </r>
  <r>
    <x v="2219"/>
    <x v="6"/>
    <x v="7"/>
    <n v="63.6"/>
    <n v="636"/>
    <x v="81"/>
    <x v="79"/>
    <x v="1"/>
    <x v="2"/>
    <x v="0"/>
    <x v="1"/>
    <x v="7"/>
    <x v="12"/>
    <x v="1"/>
  </r>
  <r>
    <x v="2220"/>
    <x v="8"/>
    <x v="0"/>
    <n v="70.5"/>
    <n v="70.5"/>
    <x v="81"/>
    <x v="77"/>
    <x v="1"/>
    <x v="0"/>
    <x v="0"/>
    <x v="3"/>
    <x v="3"/>
    <x v="12"/>
    <x v="1"/>
  </r>
  <r>
    <x v="2221"/>
    <x v="6"/>
    <x v="0"/>
    <n v="41.3"/>
    <n v="41.3"/>
    <x v="81"/>
    <x v="79"/>
    <x v="1"/>
    <x v="4"/>
    <x v="0"/>
    <x v="3"/>
    <x v="7"/>
    <x v="12"/>
    <x v="1"/>
  </r>
  <r>
    <x v="2222"/>
    <x v="4"/>
    <x v="0"/>
    <n v="35.299999999999997"/>
    <n v="35.299999999999997"/>
    <x v="81"/>
    <x v="81"/>
    <x v="2"/>
    <x v="4"/>
    <x v="2"/>
    <x v="3"/>
    <x v="2"/>
    <x v="12"/>
    <x v="2"/>
  </r>
  <r>
    <x v="2223"/>
    <x v="8"/>
    <x v="9"/>
    <n v="34.700000000000003"/>
    <n v="173.5"/>
    <x v="81"/>
    <x v="77"/>
    <x v="2"/>
    <x v="0"/>
    <x v="2"/>
    <x v="3"/>
    <x v="3"/>
    <x v="12"/>
    <x v="2"/>
  </r>
  <r>
    <x v="2224"/>
    <x v="8"/>
    <x v="2"/>
    <n v="26.1"/>
    <n v="78.300000000000011"/>
    <x v="81"/>
    <x v="77"/>
    <x v="2"/>
    <x v="0"/>
    <x v="0"/>
    <x v="3"/>
    <x v="3"/>
    <x v="12"/>
    <x v="2"/>
  </r>
  <r>
    <x v="2225"/>
    <x v="9"/>
    <x v="9"/>
    <n v="22.6"/>
    <n v="113"/>
    <x v="81"/>
    <x v="79"/>
    <x v="2"/>
    <x v="1"/>
    <x v="2"/>
    <x v="3"/>
    <x v="7"/>
    <x v="12"/>
    <x v="2"/>
  </r>
  <r>
    <x v="2226"/>
    <x v="2"/>
    <x v="1"/>
    <n v="154.4"/>
    <n v="308.8"/>
    <x v="81"/>
    <x v="81"/>
    <x v="1"/>
    <x v="1"/>
    <x v="1"/>
    <x v="3"/>
    <x v="2"/>
    <x v="12"/>
    <x v="1"/>
  </r>
  <r>
    <x v="2227"/>
    <x v="8"/>
    <x v="1"/>
    <n v="18.399999999999999"/>
    <n v="36.799999999999997"/>
    <x v="81"/>
    <x v="77"/>
    <x v="1"/>
    <x v="0"/>
    <x v="0"/>
    <x v="3"/>
    <x v="3"/>
    <x v="12"/>
    <x v="1"/>
  </r>
  <r>
    <x v="2228"/>
    <x v="14"/>
    <x v="0"/>
    <n v="25"/>
    <n v="25"/>
    <x v="81"/>
    <x v="81"/>
    <x v="2"/>
    <x v="0"/>
    <x v="0"/>
    <x v="3"/>
    <x v="2"/>
    <x v="12"/>
    <x v="2"/>
  </r>
  <r>
    <x v="2229"/>
    <x v="2"/>
    <x v="13"/>
    <n v="105.6"/>
    <n v="633.59999999999991"/>
    <x v="81"/>
    <x v="79"/>
    <x v="2"/>
    <x v="0"/>
    <x v="0"/>
    <x v="3"/>
    <x v="7"/>
    <x v="12"/>
    <x v="2"/>
  </r>
  <r>
    <x v="2230"/>
    <x v="18"/>
    <x v="8"/>
    <n v="59.6"/>
    <n v="476.8"/>
    <x v="81"/>
    <x v="79"/>
    <x v="2"/>
    <x v="0"/>
    <x v="2"/>
    <x v="23"/>
    <x v="7"/>
    <x v="12"/>
    <x v="2"/>
  </r>
  <r>
    <x v="2231"/>
    <x v="15"/>
    <x v="2"/>
    <n v="75.400000000000006"/>
    <n v="226.2"/>
    <x v="81"/>
    <x v="86"/>
    <x v="1"/>
    <x v="0"/>
    <x v="1"/>
    <x v="7"/>
    <x v="0"/>
    <x v="12"/>
    <x v="1"/>
  </r>
  <r>
    <x v="2232"/>
    <x v="7"/>
    <x v="0"/>
    <n v="104.4"/>
    <n v="104.4"/>
    <x v="81"/>
    <x v="77"/>
    <x v="2"/>
    <x v="0"/>
    <x v="0"/>
    <x v="8"/>
    <x v="3"/>
    <x v="12"/>
    <x v="2"/>
  </r>
  <r>
    <x v="2233"/>
    <x v="2"/>
    <x v="7"/>
    <n v="208.2"/>
    <n v="2082"/>
    <x v="81"/>
    <x v="77"/>
    <x v="1"/>
    <x v="0"/>
    <x v="2"/>
    <x v="8"/>
    <x v="3"/>
    <x v="12"/>
    <x v="1"/>
  </r>
  <r>
    <x v="2234"/>
    <x v="6"/>
    <x v="1"/>
    <n v="45"/>
    <n v="90"/>
    <x v="81"/>
    <x v="81"/>
    <x v="2"/>
    <x v="0"/>
    <x v="0"/>
    <x v="10"/>
    <x v="2"/>
    <x v="12"/>
    <x v="2"/>
  </r>
  <r>
    <x v="2235"/>
    <x v="15"/>
    <x v="1"/>
    <n v="20.3"/>
    <n v="40.6"/>
    <x v="82"/>
    <x v="81"/>
    <x v="0"/>
    <x v="1"/>
    <x v="0"/>
    <x v="11"/>
    <x v="1"/>
    <x v="12"/>
    <x v="0"/>
  </r>
  <r>
    <x v="2236"/>
    <x v="2"/>
    <x v="2"/>
    <n v="94.4"/>
    <n v="283.2"/>
    <x v="82"/>
    <x v="82"/>
    <x v="2"/>
    <x v="0"/>
    <x v="2"/>
    <x v="11"/>
    <x v="3"/>
    <x v="12"/>
    <x v="2"/>
  </r>
  <r>
    <x v="2237"/>
    <x v="9"/>
    <x v="0"/>
    <n v="49"/>
    <n v="49"/>
    <x v="82"/>
    <x v="81"/>
    <x v="2"/>
    <x v="0"/>
    <x v="2"/>
    <x v="20"/>
    <x v="1"/>
    <x v="12"/>
    <x v="2"/>
  </r>
  <r>
    <x v="2238"/>
    <x v="4"/>
    <x v="1"/>
    <n v="27.2"/>
    <n v="54.4"/>
    <x v="82"/>
    <x v="81"/>
    <x v="1"/>
    <x v="0"/>
    <x v="2"/>
    <x v="1"/>
    <x v="1"/>
    <x v="12"/>
    <x v="1"/>
  </r>
  <r>
    <x v="2239"/>
    <x v="2"/>
    <x v="13"/>
    <n v="72.599999999999994"/>
    <n v="435.6"/>
    <x v="82"/>
    <x v="82"/>
    <x v="2"/>
    <x v="0"/>
    <x v="2"/>
    <x v="2"/>
    <x v="3"/>
    <x v="12"/>
    <x v="2"/>
  </r>
  <r>
    <x v="2240"/>
    <x v="15"/>
    <x v="12"/>
    <n v="62.4"/>
    <n v="249.6"/>
    <x v="82"/>
    <x v="82"/>
    <x v="2"/>
    <x v="0"/>
    <x v="0"/>
    <x v="3"/>
    <x v="3"/>
    <x v="12"/>
    <x v="2"/>
  </r>
  <r>
    <x v="2241"/>
    <x v="8"/>
    <x v="2"/>
    <n v="19.100000000000001"/>
    <n v="57.3"/>
    <x v="82"/>
    <x v="81"/>
    <x v="1"/>
    <x v="0"/>
    <x v="1"/>
    <x v="3"/>
    <x v="1"/>
    <x v="12"/>
    <x v="1"/>
  </r>
  <r>
    <x v="2242"/>
    <x v="10"/>
    <x v="0"/>
    <n v="29.6"/>
    <n v="29.6"/>
    <x v="82"/>
    <x v="86"/>
    <x v="1"/>
    <x v="0"/>
    <x v="4"/>
    <x v="3"/>
    <x v="5"/>
    <x v="12"/>
    <x v="1"/>
  </r>
  <r>
    <x v="2243"/>
    <x v="8"/>
    <x v="1"/>
    <n v="18.899999999999999"/>
    <n v="37.799999999999997"/>
    <x v="82"/>
    <x v="81"/>
    <x v="2"/>
    <x v="4"/>
    <x v="2"/>
    <x v="3"/>
    <x v="1"/>
    <x v="12"/>
    <x v="2"/>
  </r>
  <r>
    <x v="2244"/>
    <x v="10"/>
    <x v="9"/>
    <n v="41.4"/>
    <n v="207"/>
    <x v="82"/>
    <x v="82"/>
    <x v="1"/>
    <x v="3"/>
    <x v="0"/>
    <x v="3"/>
    <x v="3"/>
    <x v="12"/>
    <x v="1"/>
  </r>
  <r>
    <x v="2245"/>
    <x v="2"/>
    <x v="0"/>
    <n v="118.4"/>
    <n v="118.4"/>
    <x v="82"/>
    <x v="82"/>
    <x v="2"/>
    <x v="0"/>
    <x v="2"/>
    <x v="3"/>
    <x v="3"/>
    <x v="12"/>
    <x v="2"/>
  </r>
  <r>
    <x v="2246"/>
    <x v="2"/>
    <x v="1"/>
    <n v="125.3"/>
    <n v="250.6"/>
    <x v="82"/>
    <x v="87"/>
    <x v="2"/>
    <x v="0"/>
    <x v="2"/>
    <x v="3"/>
    <x v="2"/>
    <x v="12"/>
    <x v="2"/>
  </r>
  <r>
    <x v="2247"/>
    <x v="3"/>
    <x v="1"/>
    <n v="85.8"/>
    <n v="171.6"/>
    <x v="82"/>
    <x v="82"/>
    <x v="2"/>
    <x v="1"/>
    <x v="4"/>
    <x v="3"/>
    <x v="3"/>
    <x v="12"/>
    <x v="2"/>
  </r>
  <r>
    <x v="2248"/>
    <x v="6"/>
    <x v="0"/>
    <n v="44.2"/>
    <n v="44.2"/>
    <x v="82"/>
    <x v="87"/>
    <x v="1"/>
    <x v="1"/>
    <x v="0"/>
    <x v="3"/>
    <x v="2"/>
    <x v="12"/>
    <x v="1"/>
  </r>
  <r>
    <x v="2249"/>
    <x v="5"/>
    <x v="12"/>
    <n v="74.099999999999994"/>
    <n v="296.39999999999998"/>
    <x v="82"/>
    <x v="81"/>
    <x v="2"/>
    <x v="0"/>
    <x v="0"/>
    <x v="3"/>
    <x v="1"/>
    <x v="12"/>
    <x v="2"/>
  </r>
  <r>
    <x v="2250"/>
    <x v="8"/>
    <x v="0"/>
    <n v="33.799999999999997"/>
    <n v="33.799999999999997"/>
    <x v="82"/>
    <x v="82"/>
    <x v="2"/>
    <x v="2"/>
    <x v="2"/>
    <x v="24"/>
    <x v="3"/>
    <x v="12"/>
    <x v="2"/>
  </r>
  <r>
    <x v="2251"/>
    <x v="1"/>
    <x v="1"/>
    <n v="39.1"/>
    <n v="78.2"/>
    <x v="82"/>
    <x v="82"/>
    <x v="1"/>
    <x v="0"/>
    <x v="1"/>
    <x v="24"/>
    <x v="3"/>
    <x v="12"/>
    <x v="1"/>
  </r>
  <r>
    <x v="2252"/>
    <x v="0"/>
    <x v="0"/>
    <n v="37.200000000000003"/>
    <n v="37.200000000000003"/>
    <x v="82"/>
    <x v="82"/>
    <x v="1"/>
    <x v="0"/>
    <x v="1"/>
    <x v="16"/>
    <x v="3"/>
    <x v="12"/>
    <x v="1"/>
  </r>
  <r>
    <x v="2253"/>
    <x v="15"/>
    <x v="2"/>
    <n v="33.9"/>
    <n v="101.7"/>
    <x v="82"/>
    <x v="81"/>
    <x v="1"/>
    <x v="2"/>
    <x v="0"/>
    <x v="6"/>
    <x v="1"/>
    <x v="12"/>
    <x v="1"/>
  </r>
  <r>
    <x v="2254"/>
    <x v="7"/>
    <x v="20"/>
    <n v="73.3"/>
    <n v="1099.5"/>
    <x v="82"/>
    <x v="87"/>
    <x v="2"/>
    <x v="2"/>
    <x v="1"/>
    <x v="8"/>
    <x v="2"/>
    <x v="12"/>
    <x v="2"/>
  </r>
  <r>
    <x v="2255"/>
    <x v="8"/>
    <x v="12"/>
    <n v="35"/>
    <n v="140"/>
    <x v="82"/>
    <x v="81"/>
    <x v="2"/>
    <x v="1"/>
    <x v="0"/>
    <x v="8"/>
    <x v="1"/>
    <x v="12"/>
    <x v="2"/>
  </r>
  <r>
    <x v="2256"/>
    <x v="0"/>
    <x v="2"/>
    <n v="22.2"/>
    <n v="66.599999999999994"/>
    <x v="82"/>
    <x v="82"/>
    <x v="1"/>
    <x v="1"/>
    <x v="0"/>
    <x v="17"/>
    <x v="3"/>
    <x v="12"/>
    <x v="1"/>
  </r>
  <r>
    <x v="2257"/>
    <x v="10"/>
    <x v="0"/>
    <n v="32.4"/>
    <n v="32.4"/>
    <x v="82"/>
    <x v="82"/>
    <x v="2"/>
    <x v="0"/>
    <x v="0"/>
    <x v="11"/>
    <x v="3"/>
    <x v="12"/>
    <x v="2"/>
  </r>
  <r>
    <x v="2258"/>
    <x v="5"/>
    <x v="2"/>
    <n v="88.4"/>
    <n v="265.2"/>
    <x v="83"/>
    <x v="87"/>
    <x v="2"/>
    <x v="1"/>
    <x v="1"/>
    <x v="11"/>
    <x v="1"/>
    <x v="12"/>
    <x v="2"/>
  </r>
  <r>
    <x v="2259"/>
    <x v="5"/>
    <x v="27"/>
    <n v="30.5"/>
    <n v="488"/>
    <x v="83"/>
    <x v="81"/>
    <x v="2"/>
    <x v="2"/>
    <x v="0"/>
    <x v="11"/>
    <x v="3"/>
    <x v="12"/>
    <x v="2"/>
  </r>
  <r>
    <x v="2260"/>
    <x v="1"/>
    <x v="13"/>
    <n v="38.1"/>
    <n v="228.6"/>
    <x v="83"/>
    <x v="87"/>
    <x v="2"/>
    <x v="0"/>
    <x v="1"/>
    <x v="11"/>
    <x v="1"/>
    <x v="12"/>
    <x v="2"/>
  </r>
  <r>
    <x v="2261"/>
    <x v="10"/>
    <x v="9"/>
    <n v="37.6"/>
    <n v="188"/>
    <x v="83"/>
    <x v="90"/>
    <x v="1"/>
    <x v="0"/>
    <x v="0"/>
    <x v="11"/>
    <x v="5"/>
    <x v="12"/>
    <x v="1"/>
  </r>
  <r>
    <x v="2262"/>
    <x v="15"/>
    <x v="1"/>
    <n v="31.4"/>
    <n v="62.8"/>
    <x v="83"/>
    <x v="81"/>
    <x v="1"/>
    <x v="0"/>
    <x v="2"/>
    <x v="11"/>
    <x v="3"/>
    <x v="12"/>
    <x v="1"/>
  </r>
  <r>
    <x v="2263"/>
    <x v="6"/>
    <x v="1"/>
    <n v="61.5"/>
    <n v="123"/>
    <x v="83"/>
    <x v="81"/>
    <x v="1"/>
    <x v="3"/>
    <x v="0"/>
    <x v="31"/>
    <x v="3"/>
    <x v="12"/>
    <x v="1"/>
  </r>
  <r>
    <x v="2264"/>
    <x v="6"/>
    <x v="0"/>
    <n v="72.599999999999994"/>
    <n v="72.599999999999994"/>
    <x v="83"/>
    <x v="81"/>
    <x v="1"/>
    <x v="0"/>
    <x v="1"/>
    <x v="21"/>
    <x v="3"/>
    <x v="12"/>
    <x v="1"/>
  </r>
  <r>
    <x v="2265"/>
    <x v="9"/>
    <x v="2"/>
    <n v="26.9"/>
    <n v="80.699999999999989"/>
    <x v="83"/>
    <x v="89"/>
    <x v="3"/>
    <x v="4"/>
    <x v="1"/>
    <x v="22"/>
    <x v="0"/>
    <x v="12"/>
    <x v="3"/>
  </r>
  <r>
    <x v="2266"/>
    <x v="17"/>
    <x v="4"/>
    <n v="29.4"/>
    <n v="352.8"/>
    <x v="83"/>
    <x v="81"/>
    <x v="2"/>
    <x v="1"/>
    <x v="0"/>
    <x v="27"/>
    <x v="3"/>
    <x v="12"/>
    <x v="2"/>
  </r>
  <r>
    <x v="2267"/>
    <x v="17"/>
    <x v="1"/>
    <n v="42.1"/>
    <n v="84.2"/>
    <x v="83"/>
    <x v="81"/>
    <x v="2"/>
    <x v="3"/>
    <x v="1"/>
    <x v="1"/>
    <x v="3"/>
    <x v="12"/>
    <x v="2"/>
  </r>
  <r>
    <x v="2268"/>
    <x v="5"/>
    <x v="0"/>
    <n v="40.5"/>
    <n v="40.5"/>
    <x v="83"/>
    <x v="81"/>
    <x v="2"/>
    <x v="2"/>
    <x v="1"/>
    <x v="1"/>
    <x v="3"/>
    <x v="12"/>
    <x v="2"/>
  </r>
  <r>
    <x v="2269"/>
    <x v="2"/>
    <x v="12"/>
    <n v="182.3"/>
    <n v="729.2"/>
    <x v="83"/>
    <x v="81"/>
    <x v="2"/>
    <x v="1"/>
    <x v="0"/>
    <x v="1"/>
    <x v="3"/>
    <x v="12"/>
    <x v="2"/>
  </r>
  <r>
    <x v="2270"/>
    <x v="2"/>
    <x v="9"/>
    <n v="157"/>
    <n v="785"/>
    <x v="83"/>
    <x v="86"/>
    <x v="2"/>
    <x v="1"/>
    <x v="2"/>
    <x v="2"/>
    <x v="2"/>
    <x v="12"/>
    <x v="2"/>
  </r>
  <r>
    <x v="2271"/>
    <x v="17"/>
    <x v="9"/>
    <n v="45.2"/>
    <n v="226"/>
    <x v="83"/>
    <x v="86"/>
    <x v="2"/>
    <x v="1"/>
    <x v="0"/>
    <x v="22"/>
    <x v="2"/>
    <x v="12"/>
    <x v="2"/>
  </r>
  <r>
    <x v="2272"/>
    <x v="15"/>
    <x v="12"/>
    <n v="27.4"/>
    <n v="109.6"/>
    <x v="83"/>
    <x v="87"/>
    <x v="2"/>
    <x v="0"/>
    <x v="0"/>
    <x v="3"/>
    <x v="1"/>
    <x v="12"/>
    <x v="2"/>
  </r>
  <r>
    <x v="2273"/>
    <x v="5"/>
    <x v="9"/>
    <n v="34.1"/>
    <n v="170.5"/>
    <x v="83"/>
    <x v="87"/>
    <x v="1"/>
    <x v="0"/>
    <x v="2"/>
    <x v="3"/>
    <x v="1"/>
    <x v="12"/>
    <x v="1"/>
  </r>
  <r>
    <x v="2274"/>
    <x v="0"/>
    <x v="1"/>
    <n v="26"/>
    <n v="52"/>
    <x v="83"/>
    <x v="87"/>
    <x v="1"/>
    <x v="2"/>
    <x v="1"/>
    <x v="3"/>
    <x v="1"/>
    <x v="12"/>
    <x v="1"/>
  </r>
  <r>
    <x v="2275"/>
    <x v="8"/>
    <x v="3"/>
    <n v="19.399999999999999"/>
    <n v="135.80000000000001"/>
    <x v="83"/>
    <x v="87"/>
    <x v="0"/>
    <x v="1"/>
    <x v="1"/>
    <x v="3"/>
    <x v="1"/>
    <x v="12"/>
    <x v="0"/>
  </r>
  <r>
    <x v="2276"/>
    <x v="16"/>
    <x v="2"/>
    <n v="30.3"/>
    <n v="90.9"/>
    <x v="83"/>
    <x v="86"/>
    <x v="2"/>
    <x v="1"/>
    <x v="2"/>
    <x v="3"/>
    <x v="2"/>
    <x v="12"/>
    <x v="2"/>
  </r>
  <r>
    <x v="2277"/>
    <x v="2"/>
    <x v="2"/>
    <n v="101.4"/>
    <n v="304.2"/>
    <x v="83"/>
    <x v="81"/>
    <x v="1"/>
    <x v="0"/>
    <x v="0"/>
    <x v="3"/>
    <x v="3"/>
    <x v="12"/>
    <x v="1"/>
  </r>
  <r>
    <x v="2278"/>
    <x v="3"/>
    <x v="9"/>
    <n v="55.5"/>
    <n v="277.5"/>
    <x v="83"/>
    <x v="86"/>
    <x v="1"/>
    <x v="1"/>
    <x v="0"/>
    <x v="24"/>
    <x v="2"/>
    <x v="12"/>
    <x v="1"/>
  </r>
  <r>
    <x v="2279"/>
    <x v="8"/>
    <x v="0"/>
    <n v="23.1"/>
    <n v="23.1"/>
    <x v="83"/>
    <x v="81"/>
    <x v="1"/>
    <x v="0"/>
    <x v="0"/>
    <x v="25"/>
    <x v="3"/>
    <x v="12"/>
    <x v="1"/>
  </r>
  <r>
    <x v="2280"/>
    <x v="18"/>
    <x v="1"/>
    <n v="38.9"/>
    <n v="77.8"/>
    <x v="83"/>
    <x v="81"/>
    <x v="1"/>
    <x v="2"/>
    <x v="0"/>
    <x v="25"/>
    <x v="3"/>
    <x v="12"/>
    <x v="1"/>
  </r>
  <r>
    <x v="2281"/>
    <x v="6"/>
    <x v="11"/>
    <n v="116.3"/>
    <n v="1046.7"/>
    <x v="83"/>
    <x v="90"/>
    <x v="2"/>
    <x v="0"/>
    <x v="0"/>
    <x v="5"/>
    <x v="5"/>
    <x v="12"/>
    <x v="2"/>
  </r>
  <r>
    <x v="2282"/>
    <x v="16"/>
    <x v="11"/>
    <n v="64.099999999999994"/>
    <n v="576.9"/>
    <x v="83"/>
    <x v="82"/>
    <x v="2"/>
    <x v="0"/>
    <x v="2"/>
    <x v="6"/>
    <x v="7"/>
    <x v="12"/>
    <x v="2"/>
  </r>
  <r>
    <x v="2283"/>
    <x v="2"/>
    <x v="13"/>
    <n v="109.2"/>
    <n v="655.20000000000005"/>
    <x v="83"/>
    <x v="87"/>
    <x v="1"/>
    <x v="0"/>
    <x v="1"/>
    <x v="8"/>
    <x v="1"/>
    <x v="12"/>
    <x v="1"/>
  </r>
  <r>
    <x v="2284"/>
    <x v="10"/>
    <x v="9"/>
    <n v="23.2"/>
    <n v="116"/>
    <x v="84"/>
    <x v="87"/>
    <x v="1"/>
    <x v="0"/>
    <x v="1"/>
    <x v="8"/>
    <x v="3"/>
    <x v="12"/>
    <x v="1"/>
  </r>
  <r>
    <x v="2285"/>
    <x v="18"/>
    <x v="13"/>
    <n v="81.2"/>
    <n v="487.2"/>
    <x v="84"/>
    <x v="86"/>
    <x v="1"/>
    <x v="2"/>
    <x v="2"/>
    <x v="8"/>
    <x v="1"/>
    <x v="12"/>
    <x v="1"/>
  </r>
  <r>
    <x v="2286"/>
    <x v="1"/>
    <x v="21"/>
    <n v="35.700000000000003"/>
    <n v="499.80000000000013"/>
    <x v="84"/>
    <x v="87"/>
    <x v="1"/>
    <x v="3"/>
    <x v="0"/>
    <x v="8"/>
    <x v="3"/>
    <x v="12"/>
    <x v="1"/>
  </r>
  <r>
    <x v="2287"/>
    <x v="7"/>
    <x v="1"/>
    <n v="44.5"/>
    <n v="89"/>
    <x v="84"/>
    <x v="90"/>
    <x v="1"/>
    <x v="4"/>
    <x v="0"/>
    <x v="9"/>
    <x v="2"/>
    <x v="12"/>
    <x v="1"/>
  </r>
  <r>
    <x v="2288"/>
    <x v="1"/>
    <x v="9"/>
    <n v="32"/>
    <n v="160"/>
    <x v="84"/>
    <x v="86"/>
    <x v="3"/>
    <x v="1"/>
    <x v="1"/>
    <x v="9"/>
    <x v="1"/>
    <x v="12"/>
    <x v="3"/>
  </r>
  <r>
    <x v="2289"/>
    <x v="8"/>
    <x v="0"/>
    <n v="25.7"/>
    <n v="25.7"/>
    <x v="84"/>
    <x v="87"/>
    <x v="1"/>
    <x v="0"/>
    <x v="0"/>
    <x v="10"/>
    <x v="3"/>
    <x v="12"/>
    <x v="1"/>
  </r>
  <r>
    <x v="2290"/>
    <x v="16"/>
    <x v="2"/>
    <n v="65.599999999999994"/>
    <n v="196.8"/>
    <x v="84"/>
    <x v="84"/>
    <x v="1"/>
    <x v="0"/>
    <x v="0"/>
    <x v="11"/>
    <x v="4"/>
    <x v="12"/>
    <x v="1"/>
  </r>
  <r>
    <x v="2291"/>
    <x v="1"/>
    <x v="12"/>
    <n v="52.1"/>
    <n v="208.4"/>
    <x v="84"/>
    <x v="87"/>
    <x v="2"/>
    <x v="0"/>
    <x v="2"/>
    <x v="11"/>
    <x v="3"/>
    <x v="12"/>
    <x v="2"/>
  </r>
  <r>
    <x v="2292"/>
    <x v="8"/>
    <x v="0"/>
    <n v="31"/>
    <n v="31"/>
    <x v="84"/>
    <x v="87"/>
    <x v="1"/>
    <x v="0"/>
    <x v="1"/>
    <x v="19"/>
    <x v="3"/>
    <x v="12"/>
    <x v="1"/>
  </r>
  <r>
    <x v="2293"/>
    <x v="8"/>
    <x v="0"/>
    <n v="32"/>
    <n v="32"/>
    <x v="84"/>
    <x v="86"/>
    <x v="3"/>
    <x v="3"/>
    <x v="1"/>
    <x v="31"/>
    <x v="1"/>
    <x v="12"/>
    <x v="3"/>
  </r>
  <r>
    <x v="2294"/>
    <x v="16"/>
    <x v="12"/>
    <n v="58.3"/>
    <n v="233.2"/>
    <x v="84"/>
    <x v="89"/>
    <x v="1"/>
    <x v="1"/>
    <x v="4"/>
    <x v="20"/>
    <x v="5"/>
    <x v="12"/>
    <x v="1"/>
  </r>
  <r>
    <x v="2295"/>
    <x v="8"/>
    <x v="2"/>
    <n v="31"/>
    <n v="93"/>
    <x v="84"/>
    <x v="86"/>
    <x v="2"/>
    <x v="2"/>
    <x v="4"/>
    <x v="13"/>
    <x v="1"/>
    <x v="12"/>
    <x v="2"/>
  </r>
  <r>
    <x v="2296"/>
    <x v="3"/>
    <x v="0"/>
    <n v="40.299999999999997"/>
    <n v="40.299999999999997"/>
    <x v="84"/>
    <x v="87"/>
    <x v="1"/>
    <x v="1"/>
    <x v="2"/>
    <x v="30"/>
    <x v="3"/>
    <x v="12"/>
    <x v="1"/>
  </r>
  <r>
    <x v="2297"/>
    <x v="6"/>
    <x v="2"/>
    <n v="47.3"/>
    <n v="141.9"/>
    <x v="84"/>
    <x v="86"/>
    <x v="1"/>
    <x v="4"/>
    <x v="2"/>
    <x v="2"/>
    <x v="1"/>
    <x v="12"/>
    <x v="1"/>
  </r>
  <r>
    <x v="2298"/>
    <x v="2"/>
    <x v="0"/>
    <n v="82.8"/>
    <n v="82.8"/>
    <x v="84"/>
    <x v="87"/>
    <x v="1"/>
    <x v="0"/>
    <x v="0"/>
    <x v="2"/>
    <x v="3"/>
    <x v="12"/>
    <x v="1"/>
  </r>
  <r>
    <x v="2299"/>
    <x v="8"/>
    <x v="0"/>
    <n v="18.5"/>
    <n v="18.5"/>
    <x v="84"/>
    <x v="91"/>
    <x v="2"/>
    <x v="0"/>
    <x v="0"/>
    <x v="20"/>
    <x v="12"/>
    <x v="12"/>
    <x v="2"/>
  </r>
  <r>
    <x v="2300"/>
    <x v="3"/>
    <x v="1"/>
    <n v="60.4"/>
    <n v="120.8"/>
    <x v="84"/>
    <x v="87"/>
    <x v="1"/>
    <x v="2"/>
    <x v="0"/>
    <x v="22"/>
    <x v="3"/>
    <x v="12"/>
    <x v="1"/>
  </r>
  <r>
    <x v="2301"/>
    <x v="6"/>
    <x v="9"/>
    <n v="80.2"/>
    <n v="401"/>
    <x v="84"/>
    <x v="92"/>
    <x v="1"/>
    <x v="1"/>
    <x v="1"/>
    <x v="26"/>
    <x v="6"/>
    <x v="12"/>
    <x v="1"/>
  </r>
  <r>
    <x v="2302"/>
    <x v="4"/>
    <x v="0"/>
    <n v="41.5"/>
    <n v="41.5"/>
    <x v="84"/>
    <x v="86"/>
    <x v="1"/>
    <x v="2"/>
    <x v="0"/>
    <x v="3"/>
    <x v="1"/>
    <x v="12"/>
    <x v="1"/>
  </r>
  <r>
    <x v="2303"/>
    <x v="2"/>
    <x v="1"/>
    <n v="83.9"/>
    <n v="167.8"/>
    <x v="84"/>
    <x v="90"/>
    <x v="2"/>
    <x v="0"/>
    <x v="0"/>
    <x v="3"/>
    <x v="2"/>
    <x v="12"/>
    <x v="2"/>
  </r>
  <r>
    <x v="2304"/>
    <x v="8"/>
    <x v="1"/>
    <n v="16.7"/>
    <n v="33.4"/>
    <x v="84"/>
    <x v="89"/>
    <x v="2"/>
    <x v="0"/>
    <x v="1"/>
    <x v="3"/>
    <x v="5"/>
    <x v="12"/>
    <x v="2"/>
  </r>
  <r>
    <x v="2305"/>
    <x v="9"/>
    <x v="1"/>
    <n v="72.900000000000006"/>
    <n v="145.80000000000001"/>
    <x v="84"/>
    <x v="87"/>
    <x v="1"/>
    <x v="2"/>
    <x v="1"/>
    <x v="3"/>
    <x v="3"/>
    <x v="12"/>
    <x v="1"/>
  </r>
  <r>
    <x v="2306"/>
    <x v="5"/>
    <x v="1"/>
    <n v="50.2"/>
    <n v="100.4"/>
    <x v="84"/>
    <x v="86"/>
    <x v="2"/>
    <x v="1"/>
    <x v="2"/>
    <x v="3"/>
    <x v="1"/>
    <x v="12"/>
    <x v="2"/>
  </r>
  <r>
    <x v="2307"/>
    <x v="3"/>
    <x v="1"/>
    <n v="34.200000000000003"/>
    <n v="68.400000000000006"/>
    <x v="84"/>
    <x v="93"/>
    <x v="0"/>
    <x v="1"/>
    <x v="0"/>
    <x v="3"/>
    <x v="14"/>
    <x v="12"/>
    <x v="0"/>
  </r>
  <r>
    <x v="2308"/>
    <x v="5"/>
    <x v="1"/>
    <n v="107.9"/>
    <n v="215.8"/>
    <x v="84"/>
    <x v="81"/>
    <x v="1"/>
    <x v="1"/>
    <x v="4"/>
    <x v="3"/>
    <x v="7"/>
    <x v="12"/>
    <x v="1"/>
  </r>
  <r>
    <x v="2309"/>
    <x v="0"/>
    <x v="2"/>
    <n v="17.5"/>
    <n v="52.5"/>
    <x v="84"/>
    <x v="86"/>
    <x v="1"/>
    <x v="4"/>
    <x v="0"/>
    <x v="3"/>
    <x v="1"/>
    <x v="12"/>
    <x v="1"/>
  </r>
  <r>
    <x v="2310"/>
    <x v="13"/>
    <x v="20"/>
    <n v="44.7"/>
    <n v="670.5"/>
    <x v="84"/>
    <x v="87"/>
    <x v="1"/>
    <x v="0"/>
    <x v="1"/>
    <x v="3"/>
    <x v="3"/>
    <x v="12"/>
    <x v="1"/>
  </r>
  <r>
    <x v="2311"/>
    <x v="12"/>
    <x v="13"/>
    <n v="92.7"/>
    <n v="556.20000000000005"/>
    <x v="84"/>
    <x v="86"/>
    <x v="2"/>
    <x v="2"/>
    <x v="1"/>
    <x v="3"/>
    <x v="1"/>
    <x v="12"/>
    <x v="2"/>
  </r>
  <r>
    <x v="2312"/>
    <x v="7"/>
    <x v="2"/>
    <n v="48.8"/>
    <n v="146.4"/>
    <x v="84"/>
    <x v="86"/>
    <x v="2"/>
    <x v="2"/>
    <x v="0"/>
    <x v="3"/>
    <x v="1"/>
    <x v="12"/>
    <x v="2"/>
  </r>
  <r>
    <x v="2313"/>
    <x v="4"/>
    <x v="27"/>
    <n v="21.3"/>
    <n v="340.8"/>
    <x v="84"/>
    <x v="89"/>
    <x v="2"/>
    <x v="3"/>
    <x v="3"/>
    <x v="3"/>
    <x v="5"/>
    <x v="12"/>
    <x v="2"/>
  </r>
  <r>
    <x v="2314"/>
    <x v="16"/>
    <x v="0"/>
    <n v="52.5"/>
    <n v="52.5"/>
    <x v="84"/>
    <x v="87"/>
    <x v="2"/>
    <x v="0"/>
    <x v="0"/>
    <x v="3"/>
    <x v="3"/>
    <x v="12"/>
    <x v="2"/>
  </r>
  <r>
    <x v="2315"/>
    <x v="1"/>
    <x v="1"/>
    <n v="92.4"/>
    <n v="184.8"/>
    <x v="84"/>
    <x v="84"/>
    <x v="2"/>
    <x v="0"/>
    <x v="2"/>
    <x v="3"/>
    <x v="4"/>
    <x v="12"/>
    <x v="2"/>
  </r>
  <r>
    <x v="2316"/>
    <x v="4"/>
    <x v="5"/>
    <n v="58.3"/>
    <n v="641.29999999999995"/>
    <x v="84"/>
    <x v="86"/>
    <x v="1"/>
    <x v="1"/>
    <x v="2"/>
    <x v="3"/>
    <x v="1"/>
    <x v="12"/>
    <x v="1"/>
  </r>
  <r>
    <x v="2317"/>
    <x v="6"/>
    <x v="44"/>
    <n v="152.6"/>
    <n v="3509.8"/>
    <x v="85"/>
    <x v="90"/>
    <x v="0"/>
    <x v="0"/>
    <x v="0"/>
    <x v="3"/>
    <x v="1"/>
    <x v="12"/>
    <x v="0"/>
  </r>
  <r>
    <x v="2318"/>
    <x v="8"/>
    <x v="1"/>
    <n v="26"/>
    <n v="52"/>
    <x v="85"/>
    <x v="87"/>
    <x v="0"/>
    <x v="0"/>
    <x v="1"/>
    <x v="3"/>
    <x v="7"/>
    <x v="12"/>
    <x v="0"/>
  </r>
  <r>
    <x v="2319"/>
    <x v="1"/>
    <x v="12"/>
    <n v="33.1"/>
    <n v="132.4"/>
    <x v="85"/>
    <x v="87"/>
    <x v="1"/>
    <x v="2"/>
    <x v="4"/>
    <x v="5"/>
    <x v="7"/>
    <x v="12"/>
    <x v="1"/>
  </r>
  <r>
    <x v="2320"/>
    <x v="18"/>
    <x v="0"/>
    <n v="51.4"/>
    <n v="51.4"/>
    <x v="85"/>
    <x v="90"/>
    <x v="2"/>
    <x v="1"/>
    <x v="1"/>
    <x v="5"/>
    <x v="1"/>
    <x v="12"/>
    <x v="2"/>
  </r>
  <r>
    <x v="2321"/>
    <x v="8"/>
    <x v="1"/>
    <n v="30.2"/>
    <n v="60.4"/>
    <x v="85"/>
    <x v="86"/>
    <x v="2"/>
    <x v="2"/>
    <x v="2"/>
    <x v="6"/>
    <x v="3"/>
    <x v="12"/>
    <x v="2"/>
  </r>
  <r>
    <x v="2322"/>
    <x v="2"/>
    <x v="13"/>
    <n v="97"/>
    <n v="582"/>
    <x v="85"/>
    <x v="88"/>
    <x v="2"/>
    <x v="0"/>
    <x v="2"/>
    <x v="7"/>
    <x v="5"/>
    <x v="12"/>
    <x v="2"/>
  </r>
  <r>
    <x v="2323"/>
    <x v="2"/>
    <x v="0"/>
    <n v="76.900000000000006"/>
    <n v="76.900000000000006"/>
    <x v="85"/>
    <x v="86"/>
    <x v="1"/>
    <x v="1"/>
    <x v="2"/>
    <x v="8"/>
    <x v="3"/>
    <x v="12"/>
    <x v="1"/>
  </r>
  <r>
    <x v="2324"/>
    <x v="7"/>
    <x v="13"/>
    <n v="36.1"/>
    <n v="216.6"/>
    <x v="85"/>
    <x v="88"/>
    <x v="2"/>
    <x v="0"/>
    <x v="0"/>
    <x v="8"/>
    <x v="5"/>
    <x v="12"/>
    <x v="2"/>
  </r>
  <r>
    <x v="2325"/>
    <x v="1"/>
    <x v="3"/>
    <n v="34.4"/>
    <n v="240.8"/>
    <x v="85"/>
    <x v="87"/>
    <x v="2"/>
    <x v="2"/>
    <x v="1"/>
    <x v="11"/>
    <x v="7"/>
    <x v="12"/>
    <x v="2"/>
  </r>
  <r>
    <x v="2326"/>
    <x v="1"/>
    <x v="31"/>
    <n v="53.4"/>
    <n v="1495.2"/>
    <x v="85"/>
    <x v="90"/>
    <x v="2"/>
    <x v="1"/>
    <x v="0"/>
    <x v="18"/>
    <x v="1"/>
    <x v="12"/>
    <x v="2"/>
  </r>
  <r>
    <x v="2327"/>
    <x v="2"/>
    <x v="0"/>
    <n v="77.599999999999994"/>
    <n v="77.599999999999994"/>
    <x v="85"/>
    <x v="86"/>
    <x v="2"/>
    <x v="0"/>
    <x v="1"/>
    <x v="19"/>
    <x v="3"/>
    <x v="12"/>
    <x v="2"/>
  </r>
  <r>
    <x v="2328"/>
    <x v="1"/>
    <x v="2"/>
    <n v="71.7"/>
    <n v="215.1"/>
    <x v="85"/>
    <x v="89"/>
    <x v="2"/>
    <x v="1"/>
    <x v="0"/>
    <x v="19"/>
    <x v="2"/>
    <x v="12"/>
    <x v="2"/>
  </r>
  <r>
    <x v="2329"/>
    <x v="3"/>
    <x v="2"/>
    <n v="80.599999999999994"/>
    <n v="241.8"/>
    <x v="85"/>
    <x v="86"/>
    <x v="1"/>
    <x v="4"/>
    <x v="1"/>
    <x v="19"/>
    <x v="3"/>
    <x v="12"/>
    <x v="1"/>
  </r>
  <r>
    <x v="2330"/>
    <x v="1"/>
    <x v="20"/>
    <n v="70"/>
    <n v="1050"/>
    <x v="85"/>
    <x v="90"/>
    <x v="1"/>
    <x v="0"/>
    <x v="0"/>
    <x v="20"/>
    <x v="1"/>
    <x v="12"/>
    <x v="1"/>
  </r>
  <r>
    <x v="2331"/>
    <x v="4"/>
    <x v="13"/>
    <n v="27.3"/>
    <n v="163.80000000000001"/>
    <x v="85"/>
    <x v="90"/>
    <x v="2"/>
    <x v="1"/>
    <x v="1"/>
    <x v="2"/>
    <x v="1"/>
    <x v="12"/>
    <x v="2"/>
  </r>
  <r>
    <x v="2332"/>
    <x v="8"/>
    <x v="21"/>
    <n v="37.6"/>
    <n v="526.4"/>
    <x v="85"/>
    <x v="90"/>
    <x v="1"/>
    <x v="1"/>
    <x v="0"/>
    <x v="3"/>
    <x v="1"/>
    <x v="12"/>
    <x v="1"/>
  </r>
  <r>
    <x v="2333"/>
    <x v="5"/>
    <x v="2"/>
    <n v="36.6"/>
    <n v="109.8"/>
    <x v="85"/>
    <x v="90"/>
    <x v="2"/>
    <x v="4"/>
    <x v="0"/>
    <x v="3"/>
    <x v="1"/>
    <x v="12"/>
    <x v="2"/>
  </r>
  <r>
    <x v="2334"/>
    <x v="13"/>
    <x v="0"/>
    <n v="55.2"/>
    <n v="55.2"/>
    <x v="85"/>
    <x v="90"/>
    <x v="1"/>
    <x v="3"/>
    <x v="0"/>
    <x v="3"/>
    <x v="1"/>
    <x v="12"/>
    <x v="1"/>
  </r>
  <r>
    <x v="2335"/>
    <x v="6"/>
    <x v="9"/>
    <n v="59.9"/>
    <n v="299.5"/>
    <x v="85"/>
    <x v="90"/>
    <x v="1"/>
    <x v="0"/>
    <x v="0"/>
    <x v="3"/>
    <x v="1"/>
    <x v="12"/>
    <x v="1"/>
  </r>
  <r>
    <x v="2336"/>
    <x v="6"/>
    <x v="0"/>
    <n v="44"/>
    <n v="44"/>
    <x v="85"/>
    <x v="86"/>
    <x v="2"/>
    <x v="2"/>
    <x v="2"/>
    <x v="3"/>
    <x v="3"/>
    <x v="12"/>
    <x v="2"/>
  </r>
  <r>
    <x v="2337"/>
    <x v="9"/>
    <x v="1"/>
    <n v="68.7"/>
    <n v="137.4"/>
    <x v="85"/>
    <x v="87"/>
    <x v="1"/>
    <x v="0"/>
    <x v="0"/>
    <x v="3"/>
    <x v="7"/>
    <x v="12"/>
    <x v="1"/>
  </r>
  <r>
    <x v="2338"/>
    <x v="5"/>
    <x v="1"/>
    <n v="61.6"/>
    <n v="123.2"/>
    <x v="85"/>
    <x v="88"/>
    <x v="1"/>
    <x v="3"/>
    <x v="1"/>
    <x v="3"/>
    <x v="5"/>
    <x v="12"/>
    <x v="1"/>
  </r>
  <r>
    <x v="2339"/>
    <x v="7"/>
    <x v="3"/>
    <n v="51.8"/>
    <n v="362.6"/>
    <x v="85"/>
    <x v="86"/>
    <x v="1"/>
    <x v="0"/>
    <x v="0"/>
    <x v="3"/>
    <x v="3"/>
    <x v="12"/>
    <x v="1"/>
  </r>
  <r>
    <x v="2340"/>
    <x v="8"/>
    <x v="7"/>
    <n v="46.2"/>
    <n v="462"/>
    <x v="85"/>
    <x v="90"/>
    <x v="1"/>
    <x v="1"/>
    <x v="2"/>
    <x v="3"/>
    <x v="1"/>
    <x v="12"/>
    <x v="1"/>
  </r>
  <r>
    <x v="2341"/>
    <x v="0"/>
    <x v="1"/>
    <n v="19.399999999999999"/>
    <n v="38.799999999999997"/>
    <x v="85"/>
    <x v="90"/>
    <x v="2"/>
    <x v="1"/>
    <x v="2"/>
    <x v="6"/>
    <x v="1"/>
    <x v="12"/>
    <x v="2"/>
  </r>
  <r>
    <x v="2342"/>
    <x v="11"/>
    <x v="2"/>
    <n v="52.1"/>
    <n v="156.30000000000001"/>
    <x v="85"/>
    <x v="89"/>
    <x v="1"/>
    <x v="3"/>
    <x v="3"/>
    <x v="6"/>
    <x v="2"/>
    <x v="12"/>
    <x v="1"/>
  </r>
  <r>
    <x v="2343"/>
    <x v="6"/>
    <x v="0"/>
    <n v="74.900000000000006"/>
    <n v="74.900000000000006"/>
    <x v="85"/>
    <x v="90"/>
    <x v="3"/>
    <x v="0"/>
    <x v="0"/>
    <x v="7"/>
    <x v="1"/>
    <x v="12"/>
    <x v="3"/>
  </r>
  <r>
    <x v="2344"/>
    <x v="9"/>
    <x v="3"/>
    <n v="49.6"/>
    <n v="347.2"/>
    <x v="85"/>
    <x v="89"/>
    <x v="2"/>
    <x v="4"/>
    <x v="0"/>
    <x v="8"/>
    <x v="2"/>
    <x v="12"/>
    <x v="2"/>
  </r>
  <r>
    <x v="2345"/>
    <x v="16"/>
    <x v="12"/>
    <n v="82.8"/>
    <n v="331.2"/>
    <x v="86"/>
    <x v="88"/>
    <x v="2"/>
    <x v="4"/>
    <x v="0"/>
    <x v="8"/>
    <x v="2"/>
    <x v="12"/>
    <x v="2"/>
  </r>
  <r>
    <x v="2346"/>
    <x v="2"/>
    <x v="0"/>
    <n v="97.7"/>
    <n v="97.7"/>
    <x v="86"/>
    <x v="90"/>
    <x v="2"/>
    <x v="1"/>
    <x v="0"/>
    <x v="8"/>
    <x v="3"/>
    <x v="12"/>
    <x v="2"/>
  </r>
  <r>
    <x v="2347"/>
    <x v="6"/>
    <x v="9"/>
    <n v="83.6"/>
    <n v="418"/>
    <x v="86"/>
    <x v="90"/>
    <x v="2"/>
    <x v="4"/>
    <x v="0"/>
    <x v="8"/>
    <x v="3"/>
    <x v="12"/>
    <x v="2"/>
  </r>
  <r>
    <x v="2348"/>
    <x v="8"/>
    <x v="9"/>
    <n v="23.5"/>
    <n v="117.5"/>
    <x v="86"/>
    <x v="84"/>
    <x v="3"/>
    <x v="0"/>
    <x v="0"/>
    <x v="8"/>
    <x v="5"/>
    <x v="12"/>
    <x v="3"/>
  </r>
  <r>
    <x v="2349"/>
    <x v="9"/>
    <x v="2"/>
    <n v="44.6"/>
    <n v="133.80000000000001"/>
    <x v="86"/>
    <x v="88"/>
    <x v="2"/>
    <x v="4"/>
    <x v="1"/>
    <x v="26"/>
    <x v="2"/>
    <x v="12"/>
    <x v="2"/>
  </r>
  <r>
    <x v="2350"/>
    <x v="0"/>
    <x v="2"/>
    <n v="20.100000000000001"/>
    <n v="60.3"/>
    <x v="86"/>
    <x v="89"/>
    <x v="2"/>
    <x v="3"/>
    <x v="4"/>
    <x v="11"/>
    <x v="1"/>
    <x v="12"/>
    <x v="2"/>
  </r>
  <r>
    <x v="2351"/>
    <x v="2"/>
    <x v="9"/>
    <n v="153.6"/>
    <n v="768"/>
    <x v="86"/>
    <x v="90"/>
    <x v="2"/>
    <x v="1"/>
    <x v="2"/>
    <x v="29"/>
    <x v="3"/>
    <x v="12"/>
    <x v="2"/>
  </r>
  <r>
    <x v="2352"/>
    <x v="1"/>
    <x v="1"/>
    <n v="71.8"/>
    <n v="143.6"/>
    <x v="86"/>
    <x v="84"/>
    <x v="2"/>
    <x v="1"/>
    <x v="0"/>
    <x v="1"/>
    <x v="5"/>
    <x v="12"/>
    <x v="2"/>
  </r>
  <r>
    <x v="2353"/>
    <x v="10"/>
    <x v="0"/>
    <n v="64.7"/>
    <n v="64.7"/>
    <x v="86"/>
    <x v="89"/>
    <x v="0"/>
    <x v="0"/>
    <x v="1"/>
    <x v="1"/>
    <x v="1"/>
    <x v="12"/>
    <x v="0"/>
  </r>
  <r>
    <x v="2354"/>
    <x v="9"/>
    <x v="8"/>
    <n v="60.4"/>
    <n v="483.2"/>
    <x v="86"/>
    <x v="89"/>
    <x v="2"/>
    <x v="3"/>
    <x v="2"/>
    <x v="2"/>
    <x v="1"/>
    <x v="12"/>
    <x v="2"/>
  </r>
  <r>
    <x v="2355"/>
    <x v="6"/>
    <x v="12"/>
    <n v="86"/>
    <n v="344"/>
    <x v="86"/>
    <x v="88"/>
    <x v="2"/>
    <x v="2"/>
    <x v="2"/>
    <x v="22"/>
    <x v="2"/>
    <x v="12"/>
    <x v="2"/>
  </r>
  <r>
    <x v="2356"/>
    <x v="12"/>
    <x v="1"/>
    <n v="42.1"/>
    <n v="84.2"/>
    <x v="86"/>
    <x v="90"/>
    <x v="2"/>
    <x v="4"/>
    <x v="1"/>
    <x v="0"/>
    <x v="3"/>
    <x v="12"/>
    <x v="2"/>
  </r>
  <r>
    <x v="2357"/>
    <x v="16"/>
    <x v="11"/>
    <n v="51.1"/>
    <n v="459.9"/>
    <x v="86"/>
    <x v="90"/>
    <x v="1"/>
    <x v="2"/>
    <x v="1"/>
    <x v="3"/>
    <x v="3"/>
    <x v="12"/>
    <x v="1"/>
  </r>
  <r>
    <x v="2358"/>
    <x v="9"/>
    <x v="12"/>
    <n v="73.8"/>
    <n v="295.2"/>
    <x v="86"/>
    <x v="90"/>
    <x v="1"/>
    <x v="4"/>
    <x v="0"/>
    <x v="3"/>
    <x v="3"/>
    <x v="12"/>
    <x v="1"/>
  </r>
  <r>
    <x v="2359"/>
    <x v="8"/>
    <x v="9"/>
    <n v="27"/>
    <n v="135"/>
    <x v="86"/>
    <x v="88"/>
    <x v="2"/>
    <x v="2"/>
    <x v="2"/>
    <x v="3"/>
    <x v="2"/>
    <x v="12"/>
    <x v="2"/>
  </r>
  <r>
    <x v="2360"/>
    <x v="8"/>
    <x v="13"/>
    <n v="60.1"/>
    <n v="360.6"/>
    <x v="86"/>
    <x v="90"/>
    <x v="1"/>
    <x v="3"/>
    <x v="0"/>
    <x v="3"/>
    <x v="3"/>
    <x v="12"/>
    <x v="1"/>
  </r>
  <r>
    <x v="2361"/>
    <x v="2"/>
    <x v="3"/>
    <n v="94.1"/>
    <n v="658.69999999999993"/>
    <x v="86"/>
    <x v="89"/>
    <x v="2"/>
    <x v="4"/>
    <x v="1"/>
    <x v="3"/>
    <x v="1"/>
    <x v="12"/>
    <x v="2"/>
  </r>
  <r>
    <x v="2362"/>
    <x v="2"/>
    <x v="1"/>
    <n v="124.1"/>
    <n v="248.2"/>
    <x v="86"/>
    <x v="86"/>
    <x v="2"/>
    <x v="2"/>
    <x v="3"/>
    <x v="19"/>
    <x v="7"/>
    <x v="12"/>
    <x v="2"/>
  </r>
  <r>
    <x v="2363"/>
    <x v="8"/>
    <x v="12"/>
    <n v="16.899999999999999"/>
    <n v="67.599999999999994"/>
    <x v="86"/>
    <x v="88"/>
    <x v="1"/>
    <x v="3"/>
    <x v="0"/>
    <x v="6"/>
    <x v="2"/>
    <x v="12"/>
    <x v="1"/>
  </r>
  <r>
    <x v="2364"/>
    <x v="1"/>
    <x v="0"/>
    <n v="36.9"/>
    <n v="36.9"/>
    <x v="86"/>
    <x v="90"/>
    <x v="1"/>
    <x v="0"/>
    <x v="0"/>
    <x v="6"/>
    <x v="3"/>
    <x v="12"/>
    <x v="1"/>
  </r>
  <r>
    <x v="2365"/>
    <x v="9"/>
    <x v="1"/>
    <n v="22.6"/>
    <n v="45.2"/>
    <x v="86"/>
    <x v="94"/>
    <x v="2"/>
    <x v="2"/>
    <x v="1"/>
    <x v="8"/>
    <x v="10"/>
    <x v="12"/>
    <x v="2"/>
  </r>
  <r>
    <x v="2366"/>
    <x v="7"/>
    <x v="12"/>
    <n v="35"/>
    <n v="140"/>
    <x v="86"/>
    <x v="92"/>
    <x v="1"/>
    <x v="3"/>
    <x v="1"/>
    <x v="8"/>
    <x v="0"/>
    <x v="12"/>
    <x v="1"/>
  </r>
  <r>
    <x v="2367"/>
    <x v="9"/>
    <x v="13"/>
    <n v="63.6"/>
    <n v="381.6"/>
    <x v="86"/>
    <x v="95"/>
    <x v="0"/>
    <x v="1"/>
    <x v="2"/>
    <x v="8"/>
    <x v="6"/>
    <x v="12"/>
    <x v="0"/>
  </r>
  <r>
    <x v="2368"/>
    <x v="15"/>
    <x v="12"/>
    <n v="78.599999999999994"/>
    <n v="314.39999999999998"/>
    <x v="86"/>
    <x v="90"/>
    <x v="1"/>
    <x v="4"/>
    <x v="1"/>
    <x v="8"/>
    <x v="3"/>
    <x v="12"/>
    <x v="1"/>
  </r>
  <r>
    <x v="2369"/>
    <x v="3"/>
    <x v="1"/>
    <n v="38.5"/>
    <n v="77"/>
    <x v="86"/>
    <x v="90"/>
    <x v="1"/>
    <x v="0"/>
    <x v="2"/>
    <x v="8"/>
    <x v="3"/>
    <x v="12"/>
    <x v="1"/>
  </r>
  <r>
    <x v="2370"/>
    <x v="8"/>
    <x v="5"/>
    <n v="71.5"/>
    <n v="786.5"/>
    <x v="86"/>
    <x v="90"/>
    <x v="2"/>
    <x v="1"/>
    <x v="4"/>
    <x v="8"/>
    <x v="3"/>
    <x v="12"/>
    <x v="2"/>
  </r>
  <r>
    <x v="2371"/>
    <x v="6"/>
    <x v="12"/>
    <n v="121.4"/>
    <n v="485.6"/>
    <x v="86"/>
    <x v="84"/>
    <x v="1"/>
    <x v="1"/>
    <x v="2"/>
    <x v="17"/>
    <x v="5"/>
    <x v="12"/>
    <x v="1"/>
  </r>
  <r>
    <x v="2372"/>
    <x v="11"/>
    <x v="0"/>
    <n v="40.200000000000003"/>
    <n v="40.200000000000003"/>
    <x v="86"/>
    <x v="88"/>
    <x v="2"/>
    <x v="0"/>
    <x v="2"/>
    <x v="11"/>
    <x v="2"/>
    <x v="12"/>
    <x v="2"/>
  </r>
  <r>
    <x v="2373"/>
    <x v="5"/>
    <x v="9"/>
    <n v="31.9"/>
    <n v="159.5"/>
    <x v="86"/>
    <x v="89"/>
    <x v="2"/>
    <x v="2"/>
    <x v="2"/>
    <x v="28"/>
    <x v="1"/>
    <x v="12"/>
    <x v="2"/>
  </r>
  <r>
    <x v="2374"/>
    <x v="14"/>
    <x v="9"/>
    <n v="15.8"/>
    <n v="79"/>
    <x v="87"/>
    <x v="89"/>
    <x v="1"/>
    <x v="3"/>
    <x v="2"/>
    <x v="21"/>
    <x v="3"/>
    <x v="12"/>
    <x v="1"/>
  </r>
  <r>
    <x v="2375"/>
    <x v="10"/>
    <x v="1"/>
    <n v="25.1"/>
    <n v="50.2"/>
    <x v="87"/>
    <x v="88"/>
    <x v="0"/>
    <x v="1"/>
    <x v="0"/>
    <x v="21"/>
    <x v="1"/>
    <x v="12"/>
    <x v="0"/>
  </r>
  <r>
    <x v="2376"/>
    <x v="1"/>
    <x v="44"/>
    <n v="38.1"/>
    <n v="876.30000000000007"/>
    <x v="87"/>
    <x v="89"/>
    <x v="2"/>
    <x v="4"/>
    <x v="0"/>
    <x v="1"/>
    <x v="3"/>
    <x v="12"/>
    <x v="2"/>
  </r>
  <r>
    <x v="2377"/>
    <x v="3"/>
    <x v="1"/>
    <n v="42.2"/>
    <n v="84.4"/>
    <x v="87"/>
    <x v="88"/>
    <x v="2"/>
    <x v="0"/>
    <x v="2"/>
    <x v="1"/>
    <x v="1"/>
    <x v="12"/>
    <x v="2"/>
  </r>
  <r>
    <x v="2378"/>
    <x v="0"/>
    <x v="7"/>
    <n v="12.3"/>
    <n v="123"/>
    <x v="87"/>
    <x v="89"/>
    <x v="2"/>
    <x v="4"/>
    <x v="0"/>
    <x v="2"/>
    <x v="3"/>
    <x v="12"/>
    <x v="2"/>
  </r>
  <r>
    <x v="2379"/>
    <x v="7"/>
    <x v="0"/>
    <n v="30.2"/>
    <n v="30.2"/>
    <x v="87"/>
    <x v="88"/>
    <x v="2"/>
    <x v="1"/>
    <x v="2"/>
    <x v="0"/>
    <x v="1"/>
    <x v="12"/>
    <x v="2"/>
  </r>
  <r>
    <x v="2380"/>
    <x v="5"/>
    <x v="2"/>
    <n v="25.3"/>
    <n v="75.900000000000006"/>
    <x v="87"/>
    <x v="84"/>
    <x v="2"/>
    <x v="2"/>
    <x v="0"/>
    <x v="3"/>
    <x v="2"/>
    <x v="12"/>
    <x v="2"/>
  </r>
  <r>
    <x v="2381"/>
    <x v="8"/>
    <x v="9"/>
    <n v="29.7"/>
    <n v="148.5"/>
    <x v="87"/>
    <x v="88"/>
    <x v="1"/>
    <x v="3"/>
    <x v="0"/>
    <x v="3"/>
    <x v="1"/>
    <x v="12"/>
    <x v="1"/>
  </r>
  <r>
    <x v="2382"/>
    <x v="9"/>
    <x v="8"/>
    <n v="32.9"/>
    <n v="263.2"/>
    <x v="87"/>
    <x v="89"/>
    <x v="0"/>
    <x v="3"/>
    <x v="2"/>
    <x v="3"/>
    <x v="3"/>
    <x v="12"/>
    <x v="0"/>
  </r>
  <r>
    <x v="2383"/>
    <x v="10"/>
    <x v="1"/>
    <n v="43.6"/>
    <n v="87.2"/>
    <x v="87"/>
    <x v="89"/>
    <x v="1"/>
    <x v="1"/>
    <x v="2"/>
    <x v="3"/>
    <x v="3"/>
    <x v="12"/>
    <x v="1"/>
  </r>
  <r>
    <x v="2384"/>
    <x v="15"/>
    <x v="12"/>
    <n v="78.400000000000006"/>
    <n v="313.60000000000002"/>
    <x v="87"/>
    <x v="89"/>
    <x v="1"/>
    <x v="2"/>
    <x v="0"/>
    <x v="3"/>
    <x v="3"/>
    <x v="12"/>
    <x v="1"/>
  </r>
  <r>
    <x v="2385"/>
    <x v="6"/>
    <x v="1"/>
    <n v="56.5"/>
    <n v="113"/>
    <x v="87"/>
    <x v="92"/>
    <x v="1"/>
    <x v="1"/>
    <x v="1"/>
    <x v="3"/>
    <x v="5"/>
    <x v="12"/>
    <x v="1"/>
  </r>
  <r>
    <x v="2386"/>
    <x v="16"/>
    <x v="0"/>
    <n v="36.700000000000003"/>
    <n v="36.700000000000003"/>
    <x v="87"/>
    <x v="89"/>
    <x v="2"/>
    <x v="0"/>
    <x v="2"/>
    <x v="3"/>
    <x v="3"/>
    <x v="12"/>
    <x v="2"/>
  </r>
  <r>
    <x v="2387"/>
    <x v="2"/>
    <x v="12"/>
    <n v="103.6"/>
    <n v="414.4"/>
    <x v="87"/>
    <x v="91"/>
    <x v="1"/>
    <x v="4"/>
    <x v="2"/>
    <x v="3"/>
    <x v="11"/>
    <x v="12"/>
    <x v="1"/>
  </r>
  <r>
    <x v="2388"/>
    <x v="8"/>
    <x v="13"/>
    <n v="16.2"/>
    <n v="97.199999999999989"/>
    <x v="87"/>
    <x v="92"/>
    <x v="1"/>
    <x v="1"/>
    <x v="2"/>
    <x v="6"/>
    <x v="5"/>
    <x v="12"/>
    <x v="1"/>
  </r>
  <r>
    <x v="2389"/>
    <x v="8"/>
    <x v="1"/>
    <n v="20.2"/>
    <n v="40.4"/>
    <x v="87"/>
    <x v="89"/>
    <x v="2"/>
    <x v="0"/>
    <x v="0"/>
    <x v="6"/>
    <x v="3"/>
    <x v="12"/>
    <x v="2"/>
  </r>
  <r>
    <x v="2390"/>
    <x v="11"/>
    <x v="1"/>
    <n v="26.9"/>
    <n v="53.8"/>
    <x v="87"/>
    <x v="88"/>
    <x v="2"/>
    <x v="2"/>
    <x v="0"/>
    <x v="6"/>
    <x v="1"/>
    <x v="12"/>
    <x v="2"/>
  </r>
  <r>
    <x v="2391"/>
    <x v="1"/>
    <x v="1"/>
    <n v="82.4"/>
    <n v="164.8"/>
    <x v="87"/>
    <x v="84"/>
    <x v="0"/>
    <x v="0"/>
    <x v="0"/>
    <x v="7"/>
    <x v="2"/>
    <x v="12"/>
    <x v="0"/>
  </r>
  <r>
    <x v="2392"/>
    <x v="2"/>
    <x v="1"/>
    <n v="117.8"/>
    <n v="235.6"/>
    <x v="87"/>
    <x v="88"/>
    <x v="1"/>
    <x v="1"/>
    <x v="2"/>
    <x v="8"/>
    <x v="1"/>
    <x v="12"/>
    <x v="1"/>
  </r>
  <r>
    <x v="2393"/>
    <x v="11"/>
    <x v="12"/>
    <n v="36.700000000000003"/>
    <n v="146.80000000000001"/>
    <x v="87"/>
    <x v="89"/>
    <x v="1"/>
    <x v="1"/>
    <x v="0"/>
    <x v="8"/>
    <x v="3"/>
    <x v="12"/>
    <x v="1"/>
  </r>
  <r>
    <x v="2394"/>
    <x v="17"/>
    <x v="2"/>
    <n v="46.8"/>
    <n v="140.4"/>
    <x v="87"/>
    <x v="89"/>
    <x v="1"/>
    <x v="4"/>
    <x v="2"/>
    <x v="10"/>
    <x v="3"/>
    <x v="12"/>
    <x v="1"/>
  </r>
  <r>
    <x v="2395"/>
    <x v="3"/>
    <x v="0"/>
    <n v="61.4"/>
    <n v="61.4"/>
    <x v="87"/>
    <x v="89"/>
    <x v="1"/>
    <x v="1"/>
    <x v="0"/>
    <x v="10"/>
    <x v="3"/>
    <x v="12"/>
    <x v="1"/>
  </r>
  <r>
    <x v="2396"/>
    <x v="15"/>
    <x v="1"/>
    <n v="22.9"/>
    <n v="45.8"/>
    <x v="87"/>
    <x v="89"/>
    <x v="1"/>
    <x v="0"/>
    <x v="0"/>
    <x v="11"/>
    <x v="3"/>
    <x v="12"/>
    <x v="1"/>
  </r>
  <r>
    <x v="2397"/>
    <x v="10"/>
    <x v="1"/>
    <n v="22.1"/>
    <n v="44.2"/>
    <x v="87"/>
    <x v="89"/>
    <x v="2"/>
    <x v="4"/>
    <x v="0"/>
    <x v="11"/>
    <x v="3"/>
    <x v="12"/>
    <x v="2"/>
  </r>
  <r>
    <x v="2398"/>
    <x v="12"/>
    <x v="1"/>
    <n v="31"/>
    <n v="62"/>
    <x v="87"/>
    <x v="88"/>
    <x v="2"/>
    <x v="2"/>
    <x v="0"/>
    <x v="18"/>
    <x v="1"/>
    <x v="12"/>
    <x v="2"/>
  </r>
  <r>
    <x v="2399"/>
    <x v="18"/>
    <x v="1"/>
    <n v="84.2"/>
    <n v="168.4"/>
    <x v="87"/>
    <x v="88"/>
    <x v="1"/>
    <x v="2"/>
    <x v="2"/>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A85E34-0A28-4B42-9531-953EC688F225}" name="Shipping Dura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1">
  <location ref="A108:B124" firstHeaderRow="1" firstDataRow="1" firstDataCol="1"/>
  <pivotFields count="19">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items count="21">
        <item x="3"/>
        <item x="8"/>
        <item x="13"/>
        <item x="1"/>
        <item x="16"/>
        <item x="9"/>
        <item x="2"/>
        <item x="0"/>
        <item x="5"/>
        <item x="17"/>
        <item x="11"/>
        <item x="18"/>
        <item x="19"/>
        <item x="6"/>
        <item x="7"/>
        <item x="4"/>
        <item x="15"/>
        <item x="12"/>
        <item x="10"/>
        <item x="14"/>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numFmtId="3" showAll="0"/>
    <pivotField numFmtId="3" showAll="0"/>
    <pivotField numFmtId="16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64"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items count="5">
        <item x="2"/>
        <item x="1"/>
        <item x="3"/>
        <item x="0"/>
        <item t="default"/>
      </items>
    </pivotField>
    <pivotField showAll="0">
      <items count="6">
        <item x="0"/>
        <item x="3"/>
        <item x="2"/>
        <item x="1"/>
        <item x="4"/>
        <item t="default"/>
      </items>
    </pivotField>
    <pivotField showAll="0"/>
    <pivotField showAll="0">
      <items count="35">
        <item x="0"/>
        <item x="6"/>
        <item x="15"/>
        <item x="13"/>
        <item x="28"/>
        <item x="33"/>
        <item x="3"/>
        <item x="22"/>
        <item x="5"/>
        <item x="8"/>
        <item x="11"/>
        <item x="17"/>
        <item x="32"/>
        <item x="27"/>
        <item x="4"/>
        <item x="9"/>
        <item x="26"/>
        <item x="10"/>
        <item x="19"/>
        <item x="25"/>
        <item x="12"/>
        <item x="18"/>
        <item x="24"/>
        <item x="14"/>
        <item x="16"/>
        <item x="21"/>
        <item x="2"/>
        <item x="1"/>
        <item x="29"/>
        <item x="30"/>
        <item x="23"/>
        <item x="20"/>
        <item x="31"/>
        <item x="7"/>
        <item t="default"/>
      </items>
    </pivotField>
    <pivotField axis="axisRow" showAll="0">
      <items count="16">
        <item x="7"/>
        <item x="3"/>
        <item x="1"/>
        <item x="2"/>
        <item x="5"/>
        <item x="0"/>
        <item x="4"/>
        <item x="6"/>
        <item x="9"/>
        <item x="8"/>
        <item x="14"/>
        <item x="11"/>
        <item x="13"/>
        <item x="10"/>
        <item x="12"/>
        <item t="default"/>
      </items>
    </pivotField>
    <pivotField showAll="0">
      <items count="14">
        <item x="0"/>
        <item x="1"/>
        <item x="2"/>
        <item x="3"/>
        <item x="4"/>
        <item x="5"/>
        <item x="6"/>
        <item x="7"/>
        <item x="8"/>
        <item x="9"/>
        <item x="10"/>
        <item x="11"/>
        <item x="12"/>
        <item t="default"/>
      </items>
    </pivotField>
    <pivotField showAll="0" sortType="ascending">
      <items count="5">
        <item x="2"/>
        <item x="1"/>
        <item x="3"/>
        <item x="0"/>
        <item t="default"/>
      </items>
    </pivotField>
    <pivotField showAll="0">
      <items count="8">
        <item x="2"/>
        <item x="3"/>
        <item x="4"/>
        <item x="5"/>
        <item x="6"/>
        <item n="6 To 10" x="0"/>
        <item n="More than 10"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16">
    <i>
      <x/>
    </i>
    <i>
      <x v="1"/>
    </i>
    <i>
      <x v="2"/>
    </i>
    <i>
      <x v="3"/>
    </i>
    <i>
      <x v="4"/>
    </i>
    <i>
      <x v="5"/>
    </i>
    <i>
      <x v="6"/>
    </i>
    <i>
      <x v="7"/>
    </i>
    <i>
      <x v="8"/>
    </i>
    <i>
      <x v="9"/>
    </i>
    <i>
      <x v="10"/>
    </i>
    <i>
      <x v="11"/>
    </i>
    <i>
      <x v="12"/>
    </i>
    <i>
      <x v="13"/>
    </i>
    <i>
      <x v="14"/>
    </i>
    <i t="grand">
      <x/>
    </i>
  </rowItems>
  <colItems count="1">
    <i/>
  </colItems>
  <dataFields count="1">
    <dataField name="Count of Transaction ID" fld="0" subtotal="count" baseField="0" baseItem="0"/>
  </dataFields>
  <chartFormats count="1">
    <chartFormat chart="60" format="2" series="1">
      <pivotArea type="data" outline="0" fieldPosition="0">
        <references count="1">
          <reference field="4294967294" count="1" selected="0">
            <x v="0"/>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D49ECD-CD52-4BDC-BEBF-62DCDC67DC44}" name="Mode­_Matrix"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2:P13" firstHeaderRow="0" firstDataRow="1" firstDataCol="0"/>
  <pivotFields count="19">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numFmtId="3" showAll="0"/>
    <pivotField dataField="1" numFmtId="3" showAll="0"/>
    <pivotField numFmtId="16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64"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pivotField showAll="0">
      <items count="6">
        <item x="0"/>
        <item x="3"/>
        <item x="2"/>
        <item x="1"/>
        <item x="4"/>
        <item t="default"/>
      </items>
    </pivotField>
    <pivotField dataField="1" showAll="0"/>
    <pivotField showAll="0"/>
    <pivotField dataField="1" showAll="0"/>
    <pivotField showAll="0"/>
    <pivotField showAll="0"/>
    <pivotField showAll="0">
      <items count="8">
        <item x="2"/>
        <item x="3"/>
        <item x="4"/>
        <item x="5"/>
        <item x="6"/>
        <item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ransaction ID" fld="0" subtotal="count" baseField="0" baseItem="0"/>
    <dataField name="Sum of Quantity" fld="2" baseField="0" baseItem="0"/>
    <dataField name="Sum of Amount($)" fld="4" baseField="0" baseItem="0" numFmtId="3"/>
    <dataField name="Average Deliver" fld="11" subtotal="average" baseField="0" baseItem="3"/>
    <dataField name="Average  Rating" fld="9"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1ADAF5-FE0B-4915-9792-D8E7FC592B2A}" name="Main Matrix"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9">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numFmtId="3" showAll="0"/>
    <pivotField dataField="1" numFmtId="3" showAll="0"/>
    <pivotField numFmtId="16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64"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pivotField showAll="0"/>
    <pivotField dataField="1" showAll="0"/>
    <pivotField showAll="0"/>
    <pivotField dataField="1" showAll="0"/>
    <pivotField showAll="0"/>
    <pivotField showAll="0"/>
    <pivotField showAll="0">
      <items count="8">
        <item x="2"/>
        <item x="3"/>
        <item x="4"/>
        <item x="5"/>
        <item x="6"/>
        <item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ransaction ID" fld="0" subtotal="count" baseField="0" baseItem="0"/>
    <dataField name="Sum of Quantity" fld="2" baseField="0" baseItem="0"/>
    <dataField name="Sum of Amount($)" fld="4" baseField="0" baseItem="0" numFmtId="3"/>
    <dataField name="Average Deliver" fld="11" subtotal="average" baseField="0" baseItem="3"/>
    <dataField name="Average  Rating" fld="9"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058BD97-A11A-43C2-A9B8-1BA29355A504}" name="Where Customer Live"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9" rowHeaderCaption="Province">
  <location ref="A69:C103" firstHeaderRow="0" firstDataRow="1" firstDataCol="1"/>
  <pivotFields count="19">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items count="21">
        <item x="3"/>
        <item x="8"/>
        <item x="13"/>
        <item x="1"/>
        <item x="16"/>
        <item x="9"/>
        <item x="2"/>
        <item x="0"/>
        <item x="5"/>
        <item x="17"/>
        <item x="11"/>
        <item x="18"/>
        <item x="19"/>
        <item x="6"/>
        <item x="7"/>
        <item x="4"/>
        <item x="15"/>
        <item x="12"/>
        <item x="10"/>
        <item x="14"/>
        <item t="default"/>
      </items>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numFmtId="3" showAll="0"/>
    <pivotField dataField="1" numFmtId="3" showAll="0"/>
    <pivotField numFmtId="16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64"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items count="5">
        <item x="2"/>
        <item x="1"/>
        <item x="3"/>
        <item x="0"/>
        <item t="default"/>
      </items>
    </pivotField>
    <pivotField showAll="0">
      <items count="6">
        <item x="0"/>
        <item x="3"/>
        <item x="2"/>
        <item x="1"/>
        <item x="4"/>
        <item t="default"/>
      </items>
    </pivotField>
    <pivotField showAll="0"/>
    <pivotField axis="axisRow" showAll="0">
      <items count="35">
        <item x="0"/>
        <item x="6"/>
        <item x="15"/>
        <item x="13"/>
        <item x="28"/>
        <item x="33"/>
        <item x="3"/>
        <item x="22"/>
        <item x="5"/>
        <item x="8"/>
        <item x="11"/>
        <item x="17"/>
        <item x="32"/>
        <item x="27"/>
        <item x="4"/>
        <item x="9"/>
        <item x="26"/>
        <item x="10"/>
        <item x="19"/>
        <item x="25"/>
        <item x="12"/>
        <item x="18"/>
        <item x="24"/>
        <item x="14"/>
        <item x="16"/>
        <item x="21"/>
        <item x="2"/>
        <item x="1"/>
        <item x="29"/>
        <item x="30"/>
        <item x="23"/>
        <item x="20"/>
        <item x="31"/>
        <item x="7"/>
        <item t="default"/>
      </items>
    </pivotField>
    <pivotField showAll="0"/>
    <pivotField showAll="0">
      <items count="14">
        <item x="0"/>
        <item x="1"/>
        <item x="2"/>
        <item x="3"/>
        <item x="4"/>
        <item x="5"/>
        <item x="6"/>
        <item x="7"/>
        <item x="8"/>
        <item x="9"/>
        <item x="10"/>
        <item x="11"/>
        <item x="12"/>
        <item t="default"/>
      </items>
    </pivotField>
    <pivotField showAll="0" sortType="ascending">
      <items count="5">
        <item x="2"/>
        <item x="1"/>
        <item x="3"/>
        <item x="0"/>
        <item t="default"/>
      </items>
    </pivotField>
    <pivotField showAll="0">
      <items count="8">
        <item x="2"/>
        <item x="3"/>
        <item x="4"/>
        <item x="5"/>
        <item x="6"/>
        <item n="6 To 10" x="0"/>
        <item n="More than 10"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rowItems>
  <colFields count="1">
    <field x="-2"/>
  </colFields>
  <colItems count="2">
    <i>
      <x/>
    </i>
    <i i="1">
      <x v="1"/>
    </i>
  </colItems>
  <dataFields count="2">
    <dataField name="Sum of Quantity" fld="2" baseField="0" baseItem="0"/>
    <dataField name="Sum of Amount($)" fld="4"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6EBAC6A-720E-4515-82F8-B9BAA2558FFE}" name="Units Bough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29:B37" firstHeaderRow="1" firstDataRow="1" firstDataCol="1"/>
  <pivotFields count="19">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numFmtId="3" showAll="0"/>
    <pivotField numFmtId="3" showAll="0"/>
    <pivotField numFmtId="16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64"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pivotField showAll="0">
      <items count="6">
        <item x="0"/>
        <item x="3"/>
        <item x="2"/>
        <item x="1"/>
        <item x="4"/>
        <item t="default"/>
      </items>
    </pivotField>
    <pivotField showAll="0"/>
    <pivotField showAll="0"/>
    <pivotField showAll="0"/>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axis="axisRow" showAll="0">
      <items count="8">
        <item x="2"/>
        <item x="3"/>
        <item x="4"/>
        <item x="5"/>
        <item x="6"/>
        <item n="6 To 10" x="0"/>
        <item n="More than 10"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8">
    <i>
      <x/>
    </i>
    <i>
      <x v="1"/>
    </i>
    <i>
      <x v="2"/>
    </i>
    <i>
      <x v="3"/>
    </i>
    <i>
      <x v="4"/>
    </i>
    <i>
      <x v="5"/>
    </i>
    <i>
      <x v="6"/>
    </i>
    <i t="grand">
      <x/>
    </i>
  </rowItems>
  <colItems count="1">
    <i/>
  </colItems>
  <dataFields count="1">
    <dataField name="Count of Transaction ID" fld="0" subtotal="count" baseField="0" baseItem="0"/>
  </dataFields>
  <chartFormats count="3">
    <chartFormat chart="14" format="0" series="1">
      <pivotArea type="data" outline="0" fieldPosition="0">
        <references count="1">
          <reference field="4294967294" count="1" selected="0">
            <x v="0"/>
          </reference>
        </references>
      </pivotArea>
    </chartFormat>
    <chartFormat chart="19" format="3"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811AAD2-B8CF-4258-8040-441CC1DCD534}" name="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0:C24" firstHeaderRow="0" firstDataRow="1" firstDataCol="1"/>
  <pivotFields count="19">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numFmtId="3" showAll="0"/>
    <pivotField dataField="1" numFmtId="3" showAll="0"/>
    <pivotField numFmtId="16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64"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items count="5">
        <item x="2"/>
        <item x="1"/>
        <item x="3"/>
        <item x="0"/>
        <item t="default"/>
      </items>
    </pivotField>
    <pivotField showAll="0">
      <items count="6">
        <item x="0"/>
        <item x="3"/>
        <item x="2"/>
        <item x="1"/>
        <item x="4"/>
        <item t="default"/>
      </items>
    </pivotField>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2"/>
        <item x="3"/>
        <item x="4"/>
        <item x="5"/>
        <item x="6"/>
        <item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Amount($)" fld="4" baseField="0" baseItem="0" numFmtId="3"/>
    <dataField name="Sum of Quantity" fld="2" baseField="0" baseItem="0"/>
  </dataFields>
  <formats count="1">
    <format dxfId="1">
      <pivotArea collapsedLevelsAreSubtotals="1" fieldPosition="0">
        <references count="2">
          <reference field="4294967294" count="1" selected="0">
            <x v="0"/>
          </reference>
          <reference field="12" count="0"/>
        </references>
      </pivotArea>
    </format>
  </formats>
  <chartFormats count="4">
    <chartFormat chart="14" format="6" series="1">
      <pivotArea type="data" outline="0" fieldPosition="0">
        <references count="1">
          <reference field="4294967294" count="1" selected="0">
            <x v="1"/>
          </reference>
        </references>
      </pivotArea>
    </chartFormat>
    <chartFormat chart="14" format="7" series="1">
      <pivotArea type="data" outline="0" fieldPosition="0">
        <references count="1">
          <reference field="4294967294" count="1" selected="0">
            <x v="0"/>
          </reference>
        </references>
      </pivotArea>
    </chartFormat>
    <chartFormat chart="15" format="8" series="1">
      <pivotArea type="data" outline="0" fieldPosition="0">
        <references count="1">
          <reference field="4294967294" count="1" selected="0">
            <x v="1"/>
          </reference>
        </references>
      </pivotArea>
    </chartFormat>
    <chartFormat chart="15" format="9" series="1">
      <pivotArea type="data" outline="0" fieldPosition="0">
        <references count="1">
          <reference field="4294967294" count="1" selected="0">
            <x v="0"/>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ED6731A-28A0-4324-A013-56579862EF8C}" name="Gender Wise top Produc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42:F64" firstHeaderRow="1" firstDataRow="2" firstDataCol="1"/>
  <pivotFields count="19">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axis="axisRow" showAll="0" sortType="descending">
      <items count="21">
        <item x="3"/>
        <item x="8"/>
        <item x="13"/>
        <item x="1"/>
        <item x="16"/>
        <item x="9"/>
        <item x="2"/>
        <item x="0"/>
        <item x="5"/>
        <item x="17"/>
        <item x="11"/>
        <item x="18"/>
        <item x="19"/>
        <item x="6"/>
        <item x="7"/>
        <item x="4"/>
        <item x="15"/>
        <item x="12"/>
        <item x="10"/>
        <item x="14"/>
        <item t="default"/>
      </items>
      <autoSortScope>
        <pivotArea dataOnly="0" outline="0" fieldPosition="0">
          <references count="2">
            <reference field="4294967294" count="1" selected="0">
              <x v="0"/>
            </reference>
            <reference field="13"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numFmtId="3" showAll="0"/>
    <pivotField numFmtId="3" showAll="0"/>
    <pivotField numFmtId="16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64"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items count="5">
        <item x="2"/>
        <item x="1"/>
        <item x="3"/>
        <item x="0"/>
        <item t="default"/>
      </items>
    </pivotField>
    <pivotField showAll="0">
      <items count="6">
        <item x="0"/>
        <item x="3"/>
        <item x="2"/>
        <item x="1"/>
        <item x="4"/>
        <item t="default"/>
      </items>
    </pivotField>
    <pivotField showAll="0"/>
    <pivotField showAll="0">
      <items count="35">
        <item x="0"/>
        <item x="6"/>
        <item x="15"/>
        <item x="13"/>
        <item x="28"/>
        <item x="33"/>
        <item x="3"/>
        <item x="22"/>
        <item x="5"/>
        <item x="8"/>
        <item x="11"/>
        <item x="17"/>
        <item x="32"/>
        <item x="27"/>
        <item x="4"/>
        <item x="9"/>
        <item x="26"/>
        <item x="10"/>
        <item x="19"/>
        <item x="25"/>
        <item x="12"/>
        <item x="18"/>
        <item x="24"/>
        <item x="14"/>
        <item x="16"/>
        <item x="21"/>
        <item x="2"/>
        <item x="1"/>
        <item x="29"/>
        <item x="30"/>
        <item x="23"/>
        <item x="20"/>
        <item x="31"/>
        <item x="7"/>
        <item t="default"/>
      </items>
    </pivotField>
    <pivotField showAll="0"/>
    <pivotField showAll="0">
      <items count="14">
        <item x="0"/>
        <item x="1"/>
        <item x="2"/>
        <item x="3"/>
        <item x="4"/>
        <item x="5"/>
        <item x="6"/>
        <item x="7"/>
        <item x="8"/>
        <item x="9"/>
        <item x="10"/>
        <item x="11"/>
        <item x="12"/>
        <item t="default"/>
      </items>
    </pivotField>
    <pivotField axis="axisCol" showAll="0" sortType="ascending">
      <items count="5">
        <item x="2"/>
        <item x="1"/>
        <item x="3"/>
        <item x="0"/>
        <item t="default"/>
      </items>
    </pivotField>
    <pivotField showAll="0">
      <items count="8">
        <item x="2"/>
        <item x="3"/>
        <item x="4"/>
        <item x="5"/>
        <item x="6"/>
        <item n="6 To 10" x="0"/>
        <item n="More than 10"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
    </i>
    <i>
      <x v="13"/>
    </i>
    <i>
      <x v="6"/>
    </i>
    <i>
      <x v="3"/>
    </i>
    <i>
      <x v="18"/>
    </i>
    <i>
      <x v="5"/>
    </i>
    <i>
      <x v="15"/>
    </i>
    <i>
      <x v="7"/>
    </i>
    <i>
      <x v="8"/>
    </i>
    <i>
      <x v="14"/>
    </i>
    <i>
      <x v="17"/>
    </i>
    <i>
      <x v="11"/>
    </i>
    <i>
      <x v="10"/>
    </i>
    <i>
      <x v="16"/>
    </i>
    <i>
      <x/>
    </i>
    <i>
      <x v="9"/>
    </i>
    <i>
      <x v="4"/>
    </i>
    <i>
      <x v="2"/>
    </i>
    <i>
      <x v="19"/>
    </i>
    <i>
      <x v="12"/>
    </i>
    <i t="grand">
      <x/>
    </i>
  </rowItems>
  <colFields count="1">
    <field x="13"/>
  </colFields>
  <colItems count="5">
    <i>
      <x/>
    </i>
    <i>
      <x v="1"/>
    </i>
    <i>
      <x v="2"/>
    </i>
    <i>
      <x v="3"/>
    </i>
    <i t="grand">
      <x/>
    </i>
  </colItems>
  <dataFields count="1">
    <dataField name="Sum of Quantity" fld="2" baseField="0" baseItem="0"/>
  </dataFields>
  <chartFormats count="8">
    <chartFormat chart="30" format="12" series="1">
      <pivotArea type="data" outline="0" fieldPosition="0">
        <references count="2">
          <reference field="4294967294" count="1" selected="0">
            <x v="0"/>
          </reference>
          <reference field="13" count="1" selected="0">
            <x v="0"/>
          </reference>
        </references>
      </pivotArea>
    </chartFormat>
    <chartFormat chart="30" format="13" series="1">
      <pivotArea type="data" outline="0" fieldPosition="0">
        <references count="2">
          <reference field="4294967294" count="1" selected="0">
            <x v="0"/>
          </reference>
          <reference field="13" count="1" selected="0">
            <x v="1"/>
          </reference>
        </references>
      </pivotArea>
    </chartFormat>
    <chartFormat chart="30" format="14" series="1">
      <pivotArea type="data" outline="0" fieldPosition="0">
        <references count="2">
          <reference field="4294967294" count="1" selected="0">
            <x v="0"/>
          </reference>
          <reference field="13" count="1" selected="0">
            <x v="2"/>
          </reference>
        </references>
      </pivotArea>
    </chartFormat>
    <chartFormat chart="30" format="15" series="1">
      <pivotArea type="data" outline="0" fieldPosition="0">
        <references count="2">
          <reference field="4294967294" count="1" selected="0">
            <x v="0"/>
          </reference>
          <reference field="13" count="1" selected="0">
            <x v="3"/>
          </reference>
        </references>
      </pivotArea>
    </chartFormat>
    <chartFormat chart="31" format="16" series="1">
      <pivotArea type="data" outline="0" fieldPosition="0">
        <references count="2">
          <reference field="4294967294" count="1" selected="0">
            <x v="0"/>
          </reference>
          <reference field="13" count="1" selected="0">
            <x v="0"/>
          </reference>
        </references>
      </pivotArea>
    </chartFormat>
    <chartFormat chart="31" format="17" series="1">
      <pivotArea type="data" outline="0" fieldPosition="0">
        <references count="2">
          <reference field="4294967294" count="1" selected="0">
            <x v="0"/>
          </reference>
          <reference field="13" count="1" selected="0">
            <x v="1"/>
          </reference>
        </references>
      </pivotArea>
    </chartFormat>
    <chartFormat chart="31" format="18" series="1">
      <pivotArea type="data" outline="0" fieldPosition="0">
        <references count="2">
          <reference field="4294967294" count="1" selected="0">
            <x v="0"/>
          </reference>
          <reference field="13" count="1" selected="0">
            <x v="2"/>
          </reference>
        </references>
      </pivotArea>
    </chartFormat>
    <chartFormat chart="31" format="19" series="1">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D18A0E5-C51B-448A-AA45-2CA5C139CF68}" name="Gender Spilt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H42:I47" firstHeaderRow="1" firstDataRow="1" firstDataCol="1"/>
  <pivotFields count="19">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items count="21">
        <item x="3"/>
        <item x="8"/>
        <item x="13"/>
        <item x="1"/>
        <item x="16"/>
        <item x="9"/>
        <item x="2"/>
        <item x="0"/>
        <item x="5"/>
        <item x="17"/>
        <item x="11"/>
        <item x="18"/>
        <item x="19"/>
        <item x="6"/>
        <item x="7"/>
        <item x="4"/>
        <item x="15"/>
        <item x="12"/>
        <item x="10"/>
        <item x="14"/>
        <item t="default"/>
      </items>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numFmtId="3" showAll="0"/>
    <pivotField numFmtId="3" showAll="0"/>
    <pivotField numFmtId="16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64"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items count="5">
        <item x="2"/>
        <item x="1"/>
        <item x="3"/>
        <item x="0"/>
        <item t="default"/>
      </items>
    </pivotField>
    <pivotField showAll="0">
      <items count="6">
        <item x="0"/>
        <item x="3"/>
        <item x="2"/>
        <item x="1"/>
        <item x="4"/>
        <item t="default"/>
      </items>
    </pivotField>
    <pivotField showAll="0"/>
    <pivotField showAll="0">
      <items count="35">
        <item x="0"/>
        <item x="6"/>
        <item x="15"/>
        <item x="13"/>
        <item x="28"/>
        <item x="33"/>
        <item x="3"/>
        <item x="22"/>
        <item x="5"/>
        <item x="8"/>
        <item x="11"/>
        <item x="17"/>
        <item x="32"/>
        <item x="27"/>
        <item x="4"/>
        <item x="9"/>
        <item x="26"/>
        <item x="10"/>
        <item x="19"/>
        <item x="25"/>
        <item x="12"/>
        <item x="18"/>
        <item x="24"/>
        <item x="14"/>
        <item x="16"/>
        <item x="21"/>
        <item x="2"/>
        <item x="1"/>
        <item x="29"/>
        <item x="30"/>
        <item x="23"/>
        <item x="20"/>
        <item x="31"/>
        <item x="7"/>
        <item t="default"/>
      </items>
    </pivotField>
    <pivotField showAll="0"/>
    <pivotField showAll="0">
      <items count="14">
        <item x="0"/>
        <item x="1"/>
        <item x="2"/>
        <item x="3"/>
        <item x="4"/>
        <item x="5"/>
        <item x="6"/>
        <item x="7"/>
        <item x="8"/>
        <item x="9"/>
        <item x="10"/>
        <item x="11"/>
        <item x="12"/>
        <item t="default"/>
      </items>
    </pivotField>
    <pivotField axis="axisRow" showAll="0" sortType="ascending">
      <items count="5">
        <item x="2"/>
        <item x="1"/>
        <item x="3"/>
        <item x="0"/>
        <item t="default"/>
      </items>
    </pivotField>
    <pivotField showAll="0">
      <items count="8">
        <item x="2"/>
        <item x="3"/>
        <item x="4"/>
        <item x="5"/>
        <item x="6"/>
        <item n="6 To 10" x="0"/>
        <item n="More than 10"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5">
    <i>
      <x/>
    </i>
    <i>
      <x v="1"/>
    </i>
    <i>
      <x v="2"/>
    </i>
    <i>
      <x v="3"/>
    </i>
    <i t="grand">
      <x/>
    </i>
  </rowItems>
  <colItems count="1">
    <i/>
  </colItems>
  <dataFields count="1">
    <dataField name="Sum of Quantity" fld="2" baseField="0" baseItem="0"/>
  </dataFields>
  <chartFormats count="11">
    <chartFormat chart="33" format="0" series="1">
      <pivotArea type="data" outline="0" fieldPosition="0">
        <references count="1">
          <reference field="4294967294" count="1" selected="0">
            <x v="0"/>
          </reference>
        </references>
      </pivotArea>
    </chartFormat>
    <chartFormat chart="39" format="11" series="1">
      <pivotArea type="data" outline="0" fieldPosition="0">
        <references count="1">
          <reference field="4294967294" count="1" selected="0">
            <x v="0"/>
          </reference>
        </references>
      </pivotArea>
    </chartFormat>
    <chartFormat chart="39" format="12">
      <pivotArea type="data" outline="0" fieldPosition="0">
        <references count="2">
          <reference field="4294967294" count="1" selected="0">
            <x v="0"/>
          </reference>
          <reference field="13" count="1" selected="0">
            <x v="0"/>
          </reference>
        </references>
      </pivotArea>
    </chartFormat>
    <chartFormat chart="39" format="13">
      <pivotArea type="data" outline="0" fieldPosition="0">
        <references count="2">
          <reference field="4294967294" count="1" selected="0">
            <x v="0"/>
          </reference>
          <reference field="13" count="1" selected="0">
            <x v="1"/>
          </reference>
        </references>
      </pivotArea>
    </chartFormat>
    <chartFormat chart="39" format="14">
      <pivotArea type="data" outline="0" fieldPosition="0">
        <references count="2">
          <reference field="4294967294" count="1" selected="0">
            <x v="0"/>
          </reference>
          <reference field="13" count="1" selected="0">
            <x v="2"/>
          </reference>
        </references>
      </pivotArea>
    </chartFormat>
    <chartFormat chart="39" format="15">
      <pivotArea type="data" outline="0" fieldPosition="0">
        <references count="2">
          <reference field="4294967294" count="1" selected="0">
            <x v="0"/>
          </reference>
          <reference field="13" count="1" selected="0">
            <x v="3"/>
          </reference>
        </references>
      </pivotArea>
    </chartFormat>
    <chartFormat chart="40" format="16" series="1">
      <pivotArea type="data" outline="0" fieldPosition="0">
        <references count="1">
          <reference field="4294967294" count="1" selected="0">
            <x v="0"/>
          </reference>
        </references>
      </pivotArea>
    </chartFormat>
    <chartFormat chart="40" format="17">
      <pivotArea type="data" outline="0" fieldPosition="0">
        <references count="2">
          <reference field="4294967294" count="1" selected="0">
            <x v="0"/>
          </reference>
          <reference field="13" count="1" selected="0">
            <x v="0"/>
          </reference>
        </references>
      </pivotArea>
    </chartFormat>
    <chartFormat chart="40" format="18">
      <pivotArea type="data" outline="0" fieldPosition="0">
        <references count="2">
          <reference field="4294967294" count="1" selected="0">
            <x v="0"/>
          </reference>
          <reference field="13" count="1" selected="0">
            <x v="1"/>
          </reference>
        </references>
      </pivotArea>
    </chartFormat>
    <chartFormat chart="40" format="19">
      <pivotArea type="data" outline="0" fieldPosition="0">
        <references count="2">
          <reference field="4294967294" count="1" selected="0">
            <x v="0"/>
          </reference>
          <reference field="13" count="1" selected="0">
            <x v="2"/>
          </reference>
        </references>
      </pivotArea>
    </chartFormat>
    <chartFormat chart="40" format="20">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1BFC5E8-2900-4CD9-A675-211CFA64C9FA}" name="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9">
  <location ref="E108:K113" firstHeaderRow="1" firstDataRow="2" firstDataCol="1"/>
  <pivotFields count="19">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items count="21">
        <item x="3"/>
        <item x="8"/>
        <item x="13"/>
        <item x="1"/>
        <item x="16"/>
        <item x="9"/>
        <item x="2"/>
        <item x="0"/>
        <item x="5"/>
        <item x="17"/>
        <item x="11"/>
        <item x="18"/>
        <item x="19"/>
        <item x="6"/>
        <item x="7"/>
        <item x="4"/>
        <item x="15"/>
        <item x="12"/>
        <item x="10"/>
        <item x="14"/>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numFmtId="3" showAll="0"/>
    <pivotField numFmtId="3" showAll="0"/>
    <pivotField numFmtId="16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64"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items count="5">
        <item x="2"/>
        <item x="1"/>
        <item x="3"/>
        <item x="0"/>
        <item t="default"/>
      </items>
    </pivotField>
    <pivotField showAll="0">
      <items count="6">
        <item x="0"/>
        <item x="3"/>
        <item x="2"/>
        <item x="1"/>
        <item x="4"/>
        <item t="default"/>
      </items>
    </pivotField>
    <pivotField axis="axisCol" showAll="0">
      <items count="6">
        <item x="3"/>
        <item x="4"/>
        <item x="1"/>
        <item x="0"/>
        <item x="2"/>
        <item t="default"/>
      </items>
    </pivotField>
    <pivotField showAll="0">
      <items count="35">
        <item x="0"/>
        <item x="6"/>
        <item x="15"/>
        <item x="13"/>
        <item x="28"/>
        <item x="33"/>
        <item x="3"/>
        <item x="22"/>
        <item x="5"/>
        <item x="8"/>
        <item x="11"/>
        <item x="17"/>
        <item x="32"/>
        <item x="27"/>
        <item x="4"/>
        <item x="9"/>
        <item x="26"/>
        <item x="10"/>
        <item x="19"/>
        <item x="25"/>
        <item x="12"/>
        <item x="18"/>
        <item x="24"/>
        <item x="14"/>
        <item x="16"/>
        <item x="21"/>
        <item x="2"/>
        <item x="1"/>
        <item x="29"/>
        <item x="30"/>
        <item x="23"/>
        <item x="20"/>
        <item x="31"/>
        <item x="7"/>
        <item t="default"/>
      </items>
    </pivotField>
    <pivotField showAll="0">
      <items count="16">
        <item x="7"/>
        <item x="3"/>
        <item x="1"/>
        <item x="2"/>
        <item x="5"/>
        <item x="0"/>
        <item x="4"/>
        <item x="6"/>
        <item x="9"/>
        <item x="8"/>
        <item x="14"/>
        <item x="11"/>
        <item x="13"/>
        <item x="10"/>
        <item x="12"/>
        <item t="default"/>
      </items>
    </pivotField>
    <pivotField showAll="0">
      <items count="14">
        <item x="0"/>
        <item x="1"/>
        <item x="2"/>
        <item x="3"/>
        <item x="4"/>
        <item x="5"/>
        <item x="6"/>
        <item x="7"/>
        <item x="8"/>
        <item x="9"/>
        <item x="10"/>
        <item x="11"/>
        <item x="12"/>
        <item t="default"/>
      </items>
    </pivotField>
    <pivotField showAll="0" sortType="ascending">
      <items count="5">
        <item x="2"/>
        <item x="1"/>
        <item x="3"/>
        <item x="0"/>
        <item t="default"/>
      </items>
    </pivotField>
    <pivotField showAll="0">
      <items count="8">
        <item x="2"/>
        <item x="3"/>
        <item x="4"/>
        <item x="5"/>
        <item x="6"/>
        <item n="6 To 10" x="0"/>
        <item n="More than 10"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8"/>
  </rowFields>
  <rowItems count="4">
    <i>
      <x v="1"/>
    </i>
    <i>
      <x v="2"/>
    </i>
    <i>
      <x v="3"/>
    </i>
    <i t="grand">
      <x/>
    </i>
  </rowItems>
  <colFields count="1">
    <field x="9"/>
  </colFields>
  <colItems count="6">
    <i>
      <x/>
    </i>
    <i>
      <x v="1"/>
    </i>
    <i>
      <x v="2"/>
    </i>
    <i>
      <x v="3"/>
    </i>
    <i>
      <x v="4"/>
    </i>
    <i t="grand">
      <x/>
    </i>
  </colItems>
  <dataFields count="1">
    <dataField name="Count of Transaction ID" fld="0" subtotal="count" baseField="0" baseItem="0"/>
  </dataFields>
  <formats count="10">
    <format dxfId="11">
      <pivotArea type="all" dataOnly="0" outline="0" fieldPosition="0"/>
    </format>
    <format dxfId="10">
      <pivotArea outline="0" collapsedLevelsAreSubtotals="1" fieldPosition="0"/>
    </format>
    <format dxfId="9">
      <pivotArea type="origin" dataOnly="0" labelOnly="1" outline="0" fieldPosition="0"/>
    </format>
    <format dxfId="8">
      <pivotArea field="9" type="button" dataOnly="0" labelOnly="1" outline="0" axis="axisCol" fieldPosition="0"/>
    </format>
    <format dxfId="7">
      <pivotArea type="topRight" dataOnly="0" labelOnly="1" outline="0" fieldPosition="0"/>
    </format>
    <format dxfId="6">
      <pivotArea field="18" type="button" dataOnly="0" labelOnly="1" outline="0" axis="axisRow" fieldPosition="0"/>
    </format>
    <format dxfId="5">
      <pivotArea dataOnly="0" labelOnly="1" fieldPosition="0">
        <references count="1">
          <reference field="18" count="3">
            <x v="1"/>
            <x v="2"/>
            <x v="3"/>
          </reference>
        </references>
      </pivotArea>
    </format>
    <format dxfId="4">
      <pivotArea dataOnly="0" labelOnly="1" grandRow="1" outline="0" fieldPosition="0"/>
    </format>
    <format dxfId="3">
      <pivotArea dataOnly="0" labelOnly="1" fieldPosition="0">
        <references count="1">
          <reference field="9" count="0"/>
        </references>
      </pivotArea>
    </format>
    <format dxfId="2">
      <pivotArea dataOnly="0" labelOnly="1" grandCol="1" outline="0" fieldPosition="0"/>
    </format>
  </formats>
  <chartFormats count="15">
    <chartFormat chart="66" format="0" series="1">
      <pivotArea type="data" outline="0" fieldPosition="0">
        <references count="2">
          <reference field="4294967294" count="1" selected="0">
            <x v="0"/>
          </reference>
          <reference field="9" count="1" selected="0">
            <x v="0"/>
          </reference>
        </references>
      </pivotArea>
    </chartFormat>
    <chartFormat chart="66" format="1" series="1">
      <pivotArea type="data" outline="0" fieldPosition="0">
        <references count="2">
          <reference field="4294967294" count="1" selected="0">
            <x v="0"/>
          </reference>
          <reference field="9" count="1" selected="0">
            <x v="1"/>
          </reference>
        </references>
      </pivotArea>
    </chartFormat>
    <chartFormat chart="66" format="2" series="1">
      <pivotArea type="data" outline="0" fieldPosition="0">
        <references count="2">
          <reference field="4294967294" count="1" selected="0">
            <x v="0"/>
          </reference>
          <reference field="9" count="1" selected="0">
            <x v="2"/>
          </reference>
        </references>
      </pivotArea>
    </chartFormat>
    <chartFormat chart="66" format="3" series="1">
      <pivotArea type="data" outline="0" fieldPosition="0">
        <references count="2">
          <reference field="4294967294" count="1" selected="0">
            <x v="0"/>
          </reference>
          <reference field="9" count="1" selected="0">
            <x v="3"/>
          </reference>
        </references>
      </pivotArea>
    </chartFormat>
    <chartFormat chart="66" format="4" series="1">
      <pivotArea type="data" outline="0" fieldPosition="0">
        <references count="2">
          <reference field="4294967294" count="1" selected="0">
            <x v="0"/>
          </reference>
          <reference field="9" count="1" selected="0">
            <x v="4"/>
          </reference>
        </references>
      </pivotArea>
    </chartFormat>
    <chartFormat chart="67" format="5" series="1">
      <pivotArea type="data" outline="0" fieldPosition="0">
        <references count="2">
          <reference field="4294967294" count="1" selected="0">
            <x v="0"/>
          </reference>
          <reference field="9" count="1" selected="0">
            <x v="0"/>
          </reference>
        </references>
      </pivotArea>
    </chartFormat>
    <chartFormat chart="67" format="6" series="1">
      <pivotArea type="data" outline="0" fieldPosition="0">
        <references count="2">
          <reference field="4294967294" count="1" selected="0">
            <x v="0"/>
          </reference>
          <reference field="9" count="1" selected="0">
            <x v="1"/>
          </reference>
        </references>
      </pivotArea>
    </chartFormat>
    <chartFormat chart="67" format="7" series="1">
      <pivotArea type="data" outline="0" fieldPosition="0">
        <references count="2">
          <reference field="4294967294" count="1" selected="0">
            <x v="0"/>
          </reference>
          <reference field="9" count="1" selected="0">
            <x v="2"/>
          </reference>
        </references>
      </pivotArea>
    </chartFormat>
    <chartFormat chart="67" format="8" series="1">
      <pivotArea type="data" outline="0" fieldPosition="0">
        <references count="2">
          <reference field="4294967294" count="1" selected="0">
            <x v="0"/>
          </reference>
          <reference field="9" count="1" selected="0">
            <x v="3"/>
          </reference>
        </references>
      </pivotArea>
    </chartFormat>
    <chartFormat chart="67" format="9" series="1">
      <pivotArea type="data" outline="0" fieldPosition="0">
        <references count="2">
          <reference field="4294967294" count="1" selected="0">
            <x v="0"/>
          </reference>
          <reference field="9" count="1" selected="0">
            <x v="4"/>
          </reference>
        </references>
      </pivotArea>
    </chartFormat>
    <chartFormat chart="68" format="10" series="1">
      <pivotArea type="data" outline="0" fieldPosition="0">
        <references count="2">
          <reference field="4294967294" count="1" selected="0">
            <x v="0"/>
          </reference>
          <reference field="9" count="1" selected="0">
            <x v="0"/>
          </reference>
        </references>
      </pivotArea>
    </chartFormat>
    <chartFormat chart="68" format="11" series="1">
      <pivotArea type="data" outline="0" fieldPosition="0">
        <references count="2">
          <reference field="4294967294" count="1" selected="0">
            <x v="0"/>
          </reference>
          <reference field="9" count="1" selected="0">
            <x v="1"/>
          </reference>
        </references>
      </pivotArea>
    </chartFormat>
    <chartFormat chart="68" format="12" series="1">
      <pivotArea type="data" outline="0" fieldPosition="0">
        <references count="2">
          <reference field="4294967294" count="1" selected="0">
            <x v="0"/>
          </reference>
          <reference field="9" count="1" selected="0">
            <x v="2"/>
          </reference>
        </references>
      </pivotArea>
    </chartFormat>
    <chartFormat chart="68" format="13" series="1">
      <pivotArea type="data" outline="0" fieldPosition="0">
        <references count="2">
          <reference field="4294967294" count="1" selected="0">
            <x v="0"/>
          </reference>
          <reference field="9" count="1" selected="0">
            <x v="3"/>
          </reference>
        </references>
      </pivotArea>
    </chartFormat>
    <chartFormat chart="68" format="14" series="1">
      <pivotArea type="data" outline="0" fieldPosition="0">
        <references count="2">
          <reference field="4294967294" count="1" selected="0">
            <x v="0"/>
          </reference>
          <reference field="9" count="1" selected="0">
            <x v="4"/>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C2B4B77-E809-47D6-88B4-57C681BF3731}"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
  <location ref="B4:G10" firstHeaderRow="1" firstDataRow="2" firstDataCol="1"/>
  <pivotFields count="19">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numFmtId="3" showAll="0"/>
    <pivotField dataField="1" numFmtId="3" showAll="0"/>
    <pivotField numFmtId="16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64"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pivotField axis="axisRow" showAll="0">
      <items count="6">
        <item x="0"/>
        <item x="3"/>
        <item x="2"/>
        <item x="1"/>
        <item x="4"/>
        <item t="default"/>
      </items>
    </pivotField>
    <pivotField showAll="0"/>
    <pivotField showAll="0"/>
    <pivotField showAll="0"/>
    <pivotField showAll="0"/>
    <pivotField axis="axisCol" showAll="0">
      <items count="5">
        <item x="2"/>
        <item x="1"/>
        <item x="3"/>
        <item x="0"/>
        <item t="default"/>
      </items>
    </pivotField>
    <pivotField showAll="0" defaultSubtotal="0">
      <items count="7">
        <item x="0"/>
        <item x="1"/>
        <item x="2"/>
        <item x="3"/>
        <item x="4"/>
        <item x="5"/>
        <item x="6"/>
      </items>
    </pivotField>
    <pivotField showAll="0" defaultSubtotal="0"/>
    <pivotField showAll="0" defaultSubtotal="0">
      <items count="14">
        <item x="0"/>
        <item x="1"/>
        <item x="2"/>
        <item x="3"/>
        <item x="4"/>
        <item x="5"/>
        <item x="6"/>
        <item x="7"/>
        <item x="8"/>
        <item x="9"/>
        <item x="10"/>
        <item x="11"/>
        <item x="12"/>
        <item x="13"/>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5">
    <i>
      <x/>
    </i>
    <i>
      <x v="1"/>
    </i>
    <i>
      <x v="2"/>
    </i>
    <i>
      <x v="3"/>
    </i>
    <i>
      <x v="4"/>
    </i>
  </rowItems>
  <colFields count="1">
    <field x="13"/>
  </colFields>
  <colItems count="5">
    <i>
      <x/>
    </i>
    <i>
      <x v="1"/>
    </i>
    <i>
      <x v="2"/>
    </i>
    <i>
      <x v="3"/>
    </i>
    <i t="grand">
      <x/>
    </i>
  </colItems>
  <dataFields count="1">
    <dataField name="Sum of Amount($)" fld="4" showDataAs="percentOfTotal" baseField="0" baseItem="0" numFmtId="166"/>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84E9516A-8C64-425F-83D3-C2475FCA8207}" sourceName="Order Mode">
  <pivotTables>
    <pivotTable tabId="8" name="Trend"/>
    <pivotTable tabId="8" name="Gender Spilt "/>
    <pivotTable tabId="8" name="Gender Wise top Products"/>
    <pivotTable tabId="8" name="Rating"/>
    <pivotTable tabId="8" name="Shipping Duration"/>
    <pivotTable tabId="8" name="Units Bought"/>
    <pivotTable tabId="8" name="Where Customer Live"/>
    <pivotTable tabId="8" name="Mode­_Matrix"/>
  </pivotTables>
  <data>
    <tabular pivotCacheId="1800365114">
      <items count="5">
        <i x="0" s="1"/>
        <i x="3"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7F31184F-BD28-4DC8-ADF8-E1CD819129A0}" sourceName="Gender Value">
  <pivotTables>
    <pivotTable tabId="8" name="Trend"/>
    <pivotTable tabId="8" name="Rating"/>
    <pivotTable tabId="8" name="Shipping Duration"/>
    <pivotTable tabId="8" name="Units Bought"/>
    <pivotTable tabId="8" name="Where Customer Live"/>
  </pivotTables>
  <data>
    <tabular pivotCacheId="1800365114">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67F727A9-5D71-4EA1-AD46-B42F25D9C00B}" cache="Slicer_Order_Mode" caption="Order Mode" startItem="2" style="SlicerStyleDark6" rowHeight="234950"/>
  <slicer name="Gender Value" xr10:uid="{72AB18FC-051F-4647-9B23-6534B35E59DF}" cache="Slicer_Gender_Value" caption="Gender Value" style="SlicerStyleDark6" rowHeight="234950"/>
</slicers>
</file>

<file path=xl/theme/theme1.xml><?xml version="1.0" encoding="utf-8"?>
<a:theme xmlns:a="http://schemas.openxmlformats.org/drawingml/2006/main" name="Office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3E836-C6D1-407E-821E-99752BCEF282}">
  <dimension ref="A1"/>
  <sheetViews>
    <sheetView tabSelected="1" zoomScale="89" zoomScaleNormal="90" workbookViewId="0">
      <selection activeCell="X9" sqref="X9"/>
    </sheetView>
  </sheetViews>
  <sheetFormatPr defaultRowHeight="14.4" x14ac:dyDescent="0.3"/>
  <cols>
    <col min="1" max="16384" width="8.88671875" style="42"/>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ACF64-9806-4E20-BA44-1D7534220C62}">
  <dimension ref="A3:P124"/>
  <sheetViews>
    <sheetView topLeftCell="B1" workbookViewId="0">
      <selection activeCell="K4" sqref="K4"/>
    </sheetView>
  </sheetViews>
  <sheetFormatPr defaultRowHeight="14.4" x14ac:dyDescent="0.3"/>
  <cols>
    <col min="1" max="1" width="23.109375" bestFit="1" customWidth="1"/>
    <col min="2" max="2" width="14.88671875" bestFit="1" customWidth="1"/>
    <col min="3" max="3" width="16.77734375" bestFit="1" customWidth="1"/>
    <col min="4" max="4" width="5.77734375" bestFit="1" customWidth="1"/>
    <col min="5" max="5" width="21" bestFit="1" customWidth="1"/>
    <col min="6" max="6" width="17.77734375" bestFit="1" customWidth="1"/>
    <col min="7" max="8" width="4" bestFit="1" customWidth="1"/>
    <col min="9" max="9" width="5" bestFit="1" customWidth="1"/>
    <col min="10" max="10" width="4" bestFit="1" customWidth="1"/>
    <col min="11" max="11" width="10.77734375" bestFit="1" customWidth="1"/>
    <col min="12" max="12" width="21" bestFit="1" customWidth="1"/>
    <col min="13" max="13" width="14.88671875" bestFit="1" customWidth="1"/>
    <col min="14" max="14" width="16.77734375" bestFit="1" customWidth="1"/>
    <col min="15" max="16" width="14.21875" bestFit="1" customWidth="1"/>
  </cols>
  <sheetData>
    <row r="3" spans="1:16" x14ac:dyDescent="0.3">
      <c r="A3" t="s">
        <v>0</v>
      </c>
      <c r="B3" t="s">
        <v>1</v>
      </c>
      <c r="C3" t="s">
        <v>2</v>
      </c>
      <c r="D3" t="s">
        <v>3</v>
      </c>
      <c r="E3" t="s">
        <v>4</v>
      </c>
      <c r="H3" s="11" t="str" cm="1">
        <f t="array" ref="H3:L3">A3:E3</f>
        <v>Count of Transaction ID</v>
      </c>
      <c r="I3" s="11" t="str">
        <v>Sum of Quantity</v>
      </c>
      <c r="J3" s="11" t="str">
        <v>Sum of Amount($)</v>
      </c>
      <c r="K3" s="11" t="str">
        <v>Average Deliver</v>
      </c>
      <c r="L3" s="11" t="str">
        <v>Average  Rating</v>
      </c>
    </row>
    <row r="4" spans="1:16" x14ac:dyDescent="0.3">
      <c r="A4">
        <v>2400</v>
      </c>
      <c r="B4">
        <v>11997</v>
      </c>
      <c r="C4" s="2">
        <v>649019.80000000144</v>
      </c>
      <c r="D4">
        <v>2.3424999999999998</v>
      </c>
      <c r="E4">
        <v>3.9620833333333332</v>
      </c>
      <c r="H4" s="12" t="str">
        <f>TEXT(A4,"#,##")</f>
        <v>2,400</v>
      </c>
      <c r="I4" s="12" t="str">
        <f>TEXT(B4,"#,##")</f>
        <v>11,997</v>
      </c>
      <c r="J4" s="12" t="str">
        <f>TEXT(C4,"$#,##,.0k")</f>
        <v>$649.0k</v>
      </c>
      <c r="K4" s="12" t="str">
        <f>TEXT(D4,"0.0")</f>
        <v>2.3</v>
      </c>
      <c r="L4" s="12" t="str">
        <f>TEXT(E4,"0.0")</f>
        <v>4.0</v>
      </c>
    </row>
    <row r="8" spans="1:16" x14ac:dyDescent="0.3">
      <c r="A8" s="43" t="s">
        <v>2492</v>
      </c>
      <c r="B8" s="43"/>
      <c r="C8" s="43"/>
    </row>
    <row r="10" spans="1:16" x14ac:dyDescent="0.3">
      <c r="A10" s="13" t="s">
        <v>2500</v>
      </c>
      <c r="B10" t="s">
        <v>2</v>
      </c>
      <c r="C10" t="s">
        <v>1</v>
      </c>
      <c r="L10" t="s">
        <v>2519</v>
      </c>
    </row>
    <row r="11" spans="1:16" x14ac:dyDescent="0.3">
      <c r="A11" s="15">
        <v>1</v>
      </c>
      <c r="B11" s="16">
        <v>32413.300000000003</v>
      </c>
      <c r="C11">
        <v>546</v>
      </c>
    </row>
    <row r="12" spans="1:16" x14ac:dyDescent="0.3">
      <c r="A12" s="15">
        <v>2</v>
      </c>
      <c r="B12" s="16">
        <v>49562.999999999993</v>
      </c>
      <c r="C12">
        <v>905</v>
      </c>
      <c r="L12" t="s">
        <v>0</v>
      </c>
      <c r="M12" t="s">
        <v>1</v>
      </c>
      <c r="N12" t="s">
        <v>2</v>
      </c>
      <c r="O12" t="s">
        <v>3</v>
      </c>
      <c r="P12" t="s">
        <v>4</v>
      </c>
    </row>
    <row r="13" spans="1:16" x14ac:dyDescent="0.3">
      <c r="A13" s="15">
        <v>3</v>
      </c>
      <c r="B13" s="16">
        <v>41700.400000000016</v>
      </c>
      <c r="C13">
        <v>796</v>
      </c>
      <c r="L13">
        <v>2400</v>
      </c>
      <c r="M13">
        <v>11997</v>
      </c>
      <c r="N13" s="2">
        <v>649019.80000000144</v>
      </c>
      <c r="O13">
        <v>2.3424999999999998</v>
      </c>
      <c r="P13">
        <v>3.9620833333333332</v>
      </c>
    </row>
    <row r="14" spans="1:16" x14ac:dyDescent="0.3">
      <c r="A14" s="15">
        <v>4</v>
      </c>
      <c r="B14" s="16">
        <v>46782.599999999984</v>
      </c>
      <c r="C14">
        <v>913</v>
      </c>
    </row>
    <row r="15" spans="1:16" x14ac:dyDescent="0.3">
      <c r="A15" s="15">
        <v>5</v>
      </c>
      <c r="B15" s="16">
        <v>42676.100000000006</v>
      </c>
      <c r="C15">
        <v>844</v>
      </c>
    </row>
    <row r="16" spans="1:16" x14ac:dyDescent="0.3">
      <c r="A16" s="15">
        <v>6</v>
      </c>
      <c r="B16" s="16">
        <v>62910.7</v>
      </c>
      <c r="C16">
        <v>1202</v>
      </c>
      <c r="L16" t="str">
        <f>TEXT(L13,"#,##")</f>
        <v>2,400</v>
      </c>
      <c r="M16" t="str">
        <f>TEXT(M13,"#,##")</f>
        <v>11,997</v>
      </c>
      <c r="N16" t="str">
        <f>TEXT(N13,"$#,##,.0k")</f>
        <v>$649.0k</v>
      </c>
      <c r="O16" t="str">
        <f>TEXT(O13,"0.0")</f>
        <v>2.3</v>
      </c>
      <c r="P16" t="str">
        <f>TEXT(P13,"0.0")</f>
        <v>4.0</v>
      </c>
    </row>
    <row r="17" spans="1:3" x14ac:dyDescent="0.3">
      <c r="A17" s="15">
        <v>7</v>
      </c>
      <c r="B17" s="16">
        <v>50332.200000000004</v>
      </c>
      <c r="C17">
        <v>935</v>
      </c>
    </row>
    <row r="18" spans="1:3" x14ac:dyDescent="0.3">
      <c r="A18" s="15">
        <v>8</v>
      </c>
      <c r="B18" s="16">
        <v>58760.599999999977</v>
      </c>
      <c r="C18">
        <v>1128</v>
      </c>
    </row>
    <row r="19" spans="1:3" x14ac:dyDescent="0.3">
      <c r="A19" s="15">
        <v>9</v>
      </c>
      <c r="B19" s="16">
        <v>52017.299999999996</v>
      </c>
      <c r="C19">
        <v>1007</v>
      </c>
    </row>
    <row r="20" spans="1:3" x14ac:dyDescent="0.3">
      <c r="A20" s="15">
        <v>10</v>
      </c>
      <c r="B20" s="16">
        <v>64915.700000000033</v>
      </c>
      <c r="C20">
        <v>1128</v>
      </c>
    </row>
    <row r="21" spans="1:3" x14ac:dyDescent="0.3">
      <c r="A21" s="15">
        <v>11</v>
      </c>
      <c r="B21" s="16">
        <v>45943.80000000001</v>
      </c>
      <c r="C21">
        <v>861</v>
      </c>
    </row>
    <row r="22" spans="1:3" x14ac:dyDescent="0.3">
      <c r="A22" s="15">
        <v>12</v>
      </c>
      <c r="B22" s="16">
        <v>55077.900000000031</v>
      </c>
      <c r="C22">
        <v>944</v>
      </c>
    </row>
    <row r="23" spans="1:3" x14ac:dyDescent="0.3">
      <c r="A23" s="15">
        <v>13</v>
      </c>
      <c r="B23" s="16">
        <v>45926.19999999999</v>
      </c>
      <c r="C23">
        <v>788</v>
      </c>
    </row>
    <row r="24" spans="1:3" x14ac:dyDescent="0.3">
      <c r="A24" s="15" t="s">
        <v>2501</v>
      </c>
      <c r="B24" s="2">
        <v>649019.79999999993</v>
      </c>
      <c r="C24">
        <v>11997</v>
      </c>
    </row>
    <row r="27" spans="1:3" x14ac:dyDescent="0.3">
      <c r="A27" s="43" t="s">
        <v>2494</v>
      </c>
      <c r="B27" s="43"/>
      <c r="C27" s="43"/>
    </row>
    <row r="29" spans="1:3" x14ac:dyDescent="0.3">
      <c r="A29" s="13" t="s">
        <v>2500</v>
      </c>
      <c r="B29" t="s">
        <v>0</v>
      </c>
    </row>
    <row r="30" spans="1:3" x14ac:dyDescent="0.3">
      <c r="A30" s="15" t="s">
        <v>2503</v>
      </c>
      <c r="B30">
        <v>397</v>
      </c>
    </row>
    <row r="31" spans="1:3" x14ac:dyDescent="0.3">
      <c r="A31" s="15" t="s">
        <v>2504</v>
      </c>
      <c r="B31">
        <v>540</v>
      </c>
    </row>
    <row r="32" spans="1:3" x14ac:dyDescent="0.3">
      <c r="A32" s="15" t="s">
        <v>2505</v>
      </c>
      <c r="B32">
        <v>375</v>
      </c>
    </row>
    <row r="33" spans="1:9" x14ac:dyDescent="0.3">
      <c r="A33" s="15" t="s">
        <v>2506</v>
      </c>
      <c r="B33">
        <v>246</v>
      </c>
    </row>
    <row r="34" spans="1:9" x14ac:dyDescent="0.3">
      <c r="A34" s="15" t="s">
        <v>2507</v>
      </c>
      <c r="B34">
        <v>195</v>
      </c>
    </row>
    <row r="35" spans="1:9" x14ac:dyDescent="0.3">
      <c r="A35" s="15" t="s">
        <v>2508</v>
      </c>
      <c r="B35">
        <v>414</v>
      </c>
    </row>
    <row r="36" spans="1:9" x14ac:dyDescent="0.3">
      <c r="A36" s="15" t="s">
        <v>2509</v>
      </c>
      <c r="B36">
        <v>233</v>
      </c>
    </row>
    <row r="37" spans="1:9" x14ac:dyDescent="0.3">
      <c r="A37" s="15" t="s">
        <v>2501</v>
      </c>
      <c r="B37">
        <v>2400</v>
      </c>
    </row>
    <row r="40" spans="1:9" x14ac:dyDescent="0.3">
      <c r="A40" s="43" t="s">
        <v>2495</v>
      </c>
      <c r="B40" s="43" t="s">
        <v>2495</v>
      </c>
      <c r="C40" s="43"/>
    </row>
    <row r="42" spans="1:9" x14ac:dyDescent="0.3">
      <c r="A42" s="13" t="s">
        <v>1</v>
      </c>
      <c r="B42" s="13" t="s">
        <v>2502</v>
      </c>
      <c r="H42" s="13" t="s">
        <v>2500</v>
      </c>
      <c r="I42" t="s">
        <v>1</v>
      </c>
    </row>
    <row r="43" spans="1:9" x14ac:dyDescent="0.3">
      <c r="A43" s="13" t="s">
        <v>2500</v>
      </c>
      <c r="B43" t="s">
        <v>33</v>
      </c>
      <c r="C43" t="s">
        <v>28</v>
      </c>
      <c r="D43" t="s">
        <v>95</v>
      </c>
      <c r="E43" t="s">
        <v>23</v>
      </c>
      <c r="F43" t="s">
        <v>2501</v>
      </c>
      <c r="H43" s="15" t="s">
        <v>33</v>
      </c>
      <c r="I43">
        <v>6272</v>
      </c>
    </row>
    <row r="44" spans="1:9" x14ac:dyDescent="0.3">
      <c r="A44" s="15" t="s">
        <v>49</v>
      </c>
      <c r="B44">
        <v>744</v>
      </c>
      <c r="C44">
        <v>713</v>
      </c>
      <c r="D44">
        <v>90</v>
      </c>
      <c r="E44">
        <v>98</v>
      </c>
      <c r="F44">
        <v>1645</v>
      </c>
      <c r="H44" s="15" t="s">
        <v>28</v>
      </c>
      <c r="I44">
        <v>4672</v>
      </c>
    </row>
    <row r="45" spans="1:9" x14ac:dyDescent="0.3">
      <c r="A45" s="15" t="s">
        <v>44</v>
      </c>
      <c r="B45">
        <v>716</v>
      </c>
      <c r="C45">
        <v>598</v>
      </c>
      <c r="D45">
        <v>18</v>
      </c>
      <c r="E45">
        <v>214</v>
      </c>
      <c r="F45">
        <v>1546</v>
      </c>
      <c r="H45" s="15" t="s">
        <v>95</v>
      </c>
      <c r="I45">
        <v>317</v>
      </c>
    </row>
    <row r="46" spans="1:9" x14ac:dyDescent="0.3">
      <c r="A46" s="15" t="s">
        <v>30</v>
      </c>
      <c r="B46">
        <v>627</v>
      </c>
      <c r="C46">
        <v>393</v>
      </c>
      <c r="D46">
        <v>29</v>
      </c>
      <c r="E46">
        <v>137</v>
      </c>
      <c r="F46">
        <v>1186</v>
      </c>
      <c r="H46" s="15" t="s">
        <v>23</v>
      </c>
      <c r="I46">
        <v>736</v>
      </c>
    </row>
    <row r="47" spans="1:9" x14ac:dyDescent="0.3">
      <c r="A47" s="15" t="s">
        <v>25</v>
      </c>
      <c r="B47">
        <v>568</v>
      </c>
      <c r="C47">
        <v>306</v>
      </c>
      <c r="D47">
        <v>22</v>
      </c>
      <c r="E47">
        <v>16</v>
      </c>
      <c r="F47">
        <v>912</v>
      </c>
      <c r="H47" s="15" t="s">
        <v>2501</v>
      </c>
      <c r="I47">
        <v>11997</v>
      </c>
    </row>
    <row r="48" spans="1:9" x14ac:dyDescent="0.3">
      <c r="A48" s="15" t="s">
        <v>59</v>
      </c>
      <c r="B48">
        <v>482</v>
      </c>
      <c r="C48">
        <v>295</v>
      </c>
      <c r="D48">
        <v>8</v>
      </c>
      <c r="E48">
        <v>22</v>
      </c>
      <c r="F48">
        <v>807</v>
      </c>
    </row>
    <row r="49" spans="1:6" x14ac:dyDescent="0.3">
      <c r="A49" s="15" t="s">
        <v>51</v>
      </c>
      <c r="B49">
        <v>445</v>
      </c>
      <c r="C49">
        <v>202</v>
      </c>
      <c r="D49">
        <v>14</v>
      </c>
      <c r="E49">
        <v>39</v>
      </c>
      <c r="F49">
        <v>700</v>
      </c>
    </row>
    <row r="50" spans="1:6" x14ac:dyDescent="0.3">
      <c r="A50" s="15" t="s">
        <v>37</v>
      </c>
      <c r="B50">
        <v>431</v>
      </c>
      <c r="C50">
        <v>187</v>
      </c>
      <c r="D50">
        <v>14</v>
      </c>
      <c r="E50">
        <v>15</v>
      </c>
      <c r="F50">
        <v>647</v>
      </c>
    </row>
    <row r="51" spans="1:6" x14ac:dyDescent="0.3">
      <c r="A51" s="15" t="s">
        <v>20</v>
      </c>
      <c r="B51">
        <v>428</v>
      </c>
      <c r="C51">
        <v>293</v>
      </c>
      <c r="E51">
        <v>24</v>
      </c>
      <c r="F51">
        <v>745</v>
      </c>
    </row>
    <row r="52" spans="1:6" x14ac:dyDescent="0.3">
      <c r="A52" s="15" t="s">
        <v>42</v>
      </c>
      <c r="B52">
        <v>296</v>
      </c>
      <c r="C52">
        <v>275</v>
      </c>
      <c r="D52">
        <v>9</v>
      </c>
      <c r="E52">
        <v>23</v>
      </c>
      <c r="F52">
        <v>603</v>
      </c>
    </row>
    <row r="53" spans="1:6" x14ac:dyDescent="0.3">
      <c r="A53" s="15" t="s">
        <v>47</v>
      </c>
      <c r="B53">
        <v>264</v>
      </c>
      <c r="C53">
        <v>318</v>
      </c>
      <c r="D53">
        <v>15</v>
      </c>
      <c r="E53">
        <v>9</v>
      </c>
      <c r="F53">
        <v>606</v>
      </c>
    </row>
    <row r="54" spans="1:6" x14ac:dyDescent="0.3">
      <c r="A54" s="15" t="s">
        <v>74</v>
      </c>
      <c r="B54">
        <v>234</v>
      </c>
      <c r="C54">
        <v>93</v>
      </c>
      <c r="D54">
        <v>19</v>
      </c>
      <c r="E54">
        <v>24</v>
      </c>
      <c r="F54">
        <v>370</v>
      </c>
    </row>
    <row r="55" spans="1:6" x14ac:dyDescent="0.3">
      <c r="A55" s="15" t="s">
        <v>152</v>
      </c>
      <c r="B55">
        <v>189</v>
      </c>
      <c r="C55">
        <v>168</v>
      </c>
      <c r="D55">
        <v>10</v>
      </c>
      <c r="E55">
        <v>31</v>
      </c>
      <c r="F55">
        <v>398</v>
      </c>
    </row>
    <row r="56" spans="1:6" x14ac:dyDescent="0.3">
      <c r="A56" s="15" t="s">
        <v>72</v>
      </c>
      <c r="B56">
        <v>179</v>
      </c>
      <c r="C56">
        <v>76</v>
      </c>
      <c r="D56">
        <v>3</v>
      </c>
      <c r="F56">
        <v>258</v>
      </c>
    </row>
    <row r="57" spans="1:6" x14ac:dyDescent="0.3">
      <c r="A57" s="15" t="s">
        <v>129</v>
      </c>
      <c r="B57">
        <v>153</v>
      </c>
      <c r="C57">
        <v>246</v>
      </c>
      <c r="D57">
        <v>30</v>
      </c>
      <c r="E57">
        <v>8</v>
      </c>
      <c r="F57">
        <v>437</v>
      </c>
    </row>
    <row r="58" spans="1:6" x14ac:dyDescent="0.3">
      <c r="A58" s="15" t="s">
        <v>35</v>
      </c>
      <c r="B58">
        <v>146</v>
      </c>
      <c r="C58">
        <v>94</v>
      </c>
      <c r="D58">
        <v>4</v>
      </c>
      <c r="E58">
        <v>28</v>
      </c>
      <c r="F58">
        <v>272</v>
      </c>
    </row>
    <row r="59" spans="1:6" x14ac:dyDescent="0.3">
      <c r="A59" s="15" t="s">
        <v>141</v>
      </c>
      <c r="B59">
        <v>127</v>
      </c>
      <c r="C59">
        <v>118</v>
      </c>
      <c r="D59">
        <v>13</v>
      </c>
      <c r="E59">
        <v>12</v>
      </c>
      <c r="F59">
        <v>270</v>
      </c>
    </row>
    <row r="60" spans="1:6" x14ac:dyDescent="0.3">
      <c r="A60" s="15" t="s">
        <v>134</v>
      </c>
      <c r="B60">
        <v>99</v>
      </c>
      <c r="C60">
        <v>69</v>
      </c>
      <c r="D60">
        <v>3</v>
      </c>
      <c r="E60">
        <v>24</v>
      </c>
      <c r="F60">
        <v>195</v>
      </c>
    </row>
    <row r="61" spans="1:6" x14ac:dyDescent="0.3">
      <c r="A61" s="15" t="s">
        <v>81</v>
      </c>
      <c r="B61">
        <v>75</v>
      </c>
      <c r="C61">
        <v>103</v>
      </c>
      <c r="D61">
        <v>4</v>
      </c>
      <c r="E61">
        <v>6</v>
      </c>
      <c r="F61">
        <v>188</v>
      </c>
    </row>
    <row r="62" spans="1:6" x14ac:dyDescent="0.3">
      <c r="A62" s="15" t="s">
        <v>86</v>
      </c>
      <c r="B62">
        <v>43</v>
      </c>
      <c r="C62">
        <v>90</v>
      </c>
      <c r="D62">
        <v>8</v>
      </c>
      <c r="E62">
        <v>6</v>
      </c>
      <c r="F62">
        <v>147</v>
      </c>
    </row>
    <row r="63" spans="1:6" x14ac:dyDescent="0.3">
      <c r="A63" s="15" t="s">
        <v>177</v>
      </c>
      <c r="B63">
        <v>26</v>
      </c>
      <c r="C63">
        <v>35</v>
      </c>
      <c r="D63">
        <v>4</v>
      </c>
      <c r="F63">
        <v>65</v>
      </c>
    </row>
    <row r="64" spans="1:6" x14ac:dyDescent="0.3">
      <c r="A64" s="15" t="s">
        <v>2501</v>
      </c>
      <c r="B64">
        <v>6272</v>
      </c>
      <c r="C64">
        <v>4672</v>
      </c>
      <c r="D64">
        <v>317</v>
      </c>
      <c r="E64">
        <v>736</v>
      </c>
      <c r="F64">
        <v>11997</v>
      </c>
    </row>
    <row r="67" spans="1:10" x14ac:dyDescent="0.3">
      <c r="A67" s="43" t="s">
        <v>2497</v>
      </c>
      <c r="B67" s="43"/>
      <c r="C67" s="43"/>
      <c r="F67" s="43" t="s">
        <v>7</v>
      </c>
      <c r="G67" s="43"/>
      <c r="I67" s="43" t="s">
        <v>2510</v>
      </c>
      <c r="J67" s="43"/>
    </row>
    <row r="69" spans="1:10" x14ac:dyDescent="0.3">
      <c r="A69" s="13" t="s">
        <v>15</v>
      </c>
      <c r="B69" t="s">
        <v>1</v>
      </c>
      <c r="C69" t="s">
        <v>2</v>
      </c>
      <c r="F69" s="18" t="s">
        <v>15</v>
      </c>
      <c r="G69" s="18" t="s">
        <v>2511</v>
      </c>
      <c r="I69" s="18" t="s">
        <v>15</v>
      </c>
      <c r="J69" s="18" t="s">
        <v>2512</v>
      </c>
    </row>
    <row r="70" spans="1:10" x14ac:dyDescent="0.3">
      <c r="A70" s="15" t="s">
        <v>22</v>
      </c>
      <c r="B70">
        <v>37</v>
      </c>
      <c r="C70" s="2">
        <v>1569.3000000000002</v>
      </c>
      <c r="F70" t="str" cm="1">
        <f t="array" ref="F70:F103">A70:A103</f>
        <v>Aceh</v>
      </c>
      <c r="G70">
        <f>IF(B70="","",B70)</f>
        <v>37</v>
      </c>
      <c r="I70" t="str" cm="1">
        <f t="array" ref="I70:I103">A70:A103</f>
        <v>Aceh</v>
      </c>
      <c r="J70" s="17">
        <f>IF(C70="","",C70)</f>
        <v>1569.3000000000002</v>
      </c>
    </row>
    <row r="71" spans="1:10" x14ac:dyDescent="0.3">
      <c r="A71" s="15" t="s">
        <v>60</v>
      </c>
      <c r="B71">
        <v>699</v>
      </c>
      <c r="C71" s="2">
        <v>37784.900000000016</v>
      </c>
      <c r="F71" t="str">
        <v>Bali</v>
      </c>
      <c r="G71">
        <f t="shared" ref="G71:G103" si="0">IF(B71="","",B71)</f>
        <v>699</v>
      </c>
      <c r="I71" t="str">
        <v>Bali</v>
      </c>
      <c r="J71" s="17">
        <f t="shared" ref="J71:J103" si="1">IF(C71="","",C71)</f>
        <v>37784.900000000016</v>
      </c>
    </row>
    <row r="72" spans="1:10" x14ac:dyDescent="0.3">
      <c r="A72" s="15" t="s">
        <v>91</v>
      </c>
      <c r="B72">
        <v>14</v>
      </c>
      <c r="C72" s="2">
        <v>1333.3000000000002</v>
      </c>
      <c r="F72" t="str">
        <v>Bangka Belitung</v>
      </c>
      <c r="G72">
        <f t="shared" si="0"/>
        <v>14</v>
      </c>
      <c r="I72" t="str">
        <v>Bangka Belitung</v>
      </c>
      <c r="J72" s="17">
        <f t="shared" si="1"/>
        <v>1333.3000000000002</v>
      </c>
    </row>
    <row r="73" spans="1:10" x14ac:dyDescent="0.3">
      <c r="A73" s="15" t="s">
        <v>87</v>
      </c>
      <c r="B73">
        <v>179</v>
      </c>
      <c r="C73" s="2">
        <v>9869.0999999999985</v>
      </c>
      <c r="F73" t="str">
        <v>Banten</v>
      </c>
      <c r="G73">
        <f t="shared" si="0"/>
        <v>179</v>
      </c>
      <c r="I73" t="str">
        <v>Banten</v>
      </c>
      <c r="J73" s="17">
        <f t="shared" si="1"/>
        <v>9869.0999999999985</v>
      </c>
    </row>
    <row r="74" spans="1:10" x14ac:dyDescent="0.3">
      <c r="A74" s="15" t="s">
        <v>249</v>
      </c>
      <c r="B74">
        <v>43</v>
      </c>
      <c r="C74" s="2">
        <v>2020.3</v>
      </c>
      <c r="F74" t="str">
        <v>Bengkulu</v>
      </c>
      <c r="G74">
        <f t="shared" si="0"/>
        <v>43</v>
      </c>
      <c r="I74" t="str">
        <v>Bengkulu</v>
      </c>
      <c r="J74" s="17">
        <f t="shared" si="1"/>
        <v>2020.3</v>
      </c>
    </row>
    <row r="75" spans="1:10" x14ac:dyDescent="0.3">
      <c r="A75" s="15" t="s">
        <v>337</v>
      </c>
      <c r="B75">
        <v>72</v>
      </c>
      <c r="C75" s="2">
        <v>2983.9999999999995</v>
      </c>
      <c r="F75" t="str">
        <v>DIY Yogyakarta</v>
      </c>
      <c r="G75">
        <f t="shared" si="0"/>
        <v>72</v>
      </c>
      <c r="I75" t="str">
        <v>DIY Yogyakarta</v>
      </c>
      <c r="J75" s="17">
        <f t="shared" si="1"/>
        <v>2983.9999999999995</v>
      </c>
    </row>
    <row r="76" spans="1:10" x14ac:dyDescent="0.3">
      <c r="A76" s="15" t="s">
        <v>38</v>
      </c>
      <c r="B76">
        <v>3991</v>
      </c>
      <c r="C76" s="2">
        <v>215551.19999999981</v>
      </c>
      <c r="F76" t="str">
        <v>DKI Jakarta</v>
      </c>
      <c r="G76">
        <f t="shared" si="0"/>
        <v>3991</v>
      </c>
      <c r="I76" t="str">
        <v>DKI Jakarta</v>
      </c>
      <c r="J76" s="17">
        <f t="shared" si="1"/>
        <v>215551.19999999981</v>
      </c>
    </row>
    <row r="77" spans="1:10" x14ac:dyDescent="0.3">
      <c r="A77" s="15" t="s">
        <v>153</v>
      </c>
      <c r="B77">
        <v>231</v>
      </c>
      <c r="C77" s="2">
        <v>12154.499999999995</v>
      </c>
      <c r="F77" t="str">
        <v>Gorontalo</v>
      </c>
      <c r="G77">
        <f t="shared" si="0"/>
        <v>231</v>
      </c>
      <c r="I77" t="str">
        <v>Gorontalo</v>
      </c>
      <c r="J77" s="17">
        <f t="shared" si="1"/>
        <v>12154.499999999995</v>
      </c>
    </row>
    <row r="78" spans="1:10" x14ac:dyDescent="0.3">
      <c r="A78" s="15" t="s">
        <v>57</v>
      </c>
      <c r="B78">
        <v>164</v>
      </c>
      <c r="C78" s="2">
        <v>10544.5</v>
      </c>
      <c r="F78" t="str">
        <v>Jambi</v>
      </c>
      <c r="G78">
        <f t="shared" si="0"/>
        <v>164</v>
      </c>
      <c r="I78" t="str">
        <v>Jambi</v>
      </c>
      <c r="J78" s="17">
        <f t="shared" si="1"/>
        <v>10544.5</v>
      </c>
    </row>
    <row r="79" spans="1:10" x14ac:dyDescent="0.3">
      <c r="A79" s="15" t="s">
        <v>67</v>
      </c>
      <c r="B79">
        <v>1768</v>
      </c>
      <c r="C79" s="2">
        <v>98367.099999999977</v>
      </c>
      <c r="F79" t="str">
        <v>Jawa Barat</v>
      </c>
      <c r="G79">
        <f t="shared" si="0"/>
        <v>1768</v>
      </c>
      <c r="I79" t="str">
        <v>Jawa Barat</v>
      </c>
      <c r="J79" s="17">
        <f t="shared" si="1"/>
        <v>98367.099999999977</v>
      </c>
    </row>
    <row r="80" spans="1:10" x14ac:dyDescent="0.3">
      <c r="A80" s="15" t="s">
        <v>82</v>
      </c>
      <c r="B80">
        <v>737</v>
      </c>
      <c r="C80" s="2">
        <v>37449.000000000007</v>
      </c>
      <c r="F80" t="str">
        <v>Jawa Tengah</v>
      </c>
      <c r="G80">
        <f t="shared" si="0"/>
        <v>737</v>
      </c>
      <c r="I80" t="str">
        <v>Jawa Tengah</v>
      </c>
      <c r="J80" s="17">
        <f t="shared" si="1"/>
        <v>37449.000000000007</v>
      </c>
    </row>
    <row r="81" spans="1:10" x14ac:dyDescent="0.3">
      <c r="A81" s="15" t="s">
        <v>109</v>
      </c>
      <c r="B81">
        <v>307</v>
      </c>
      <c r="C81" s="2">
        <v>21911.9</v>
      </c>
      <c r="F81" t="str">
        <v>Jawa Timur</v>
      </c>
      <c r="G81">
        <f t="shared" si="0"/>
        <v>307</v>
      </c>
      <c r="I81" t="str">
        <v>Jawa Timur</v>
      </c>
      <c r="J81" s="17">
        <f t="shared" si="1"/>
        <v>21911.9</v>
      </c>
    </row>
    <row r="82" spans="1:10" x14ac:dyDescent="0.3">
      <c r="A82" s="15" t="s">
        <v>315</v>
      </c>
      <c r="B82">
        <v>42</v>
      </c>
      <c r="C82" s="2">
        <v>2732.5</v>
      </c>
      <c r="F82" t="str">
        <v>Kalimantan Barat</v>
      </c>
      <c r="G82">
        <f t="shared" si="0"/>
        <v>42</v>
      </c>
      <c r="I82" t="str">
        <v>Kalimantan Barat</v>
      </c>
      <c r="J82" s="17">
        <f t="shared" si="1"/>
        <v>2732.5</v>
      </c>
    </row>
    <row r="83" spans="1:10" x14ac:dyDescent="0.3">
      <c r="A83" s="15" t="s">
        <v>214</v>
      </c>
      <c r="B83">
        <v>44</v>
      </c>
      <c r="C83" s="2">
        <v>1405.8</v>
      </c>
      <c r="F83" t="str">
        <v>Kalimantan Selatan</v>
      </c>
      <c r="G83">
        <f t="shared" si="0"/>
        <v>44</v>
      </c>
      <c r="I83" t="str">
        <v>Kalimantan Selatan</v>
      </c>
      <c r="J83" s="17">
        <f t="shared" si="1"/>
        <v>1405.8</v>
      </c>
    </row>
    <row r="84" spans="1:10" x14ac:dyDescent="0.3">
      <c r="A84" s="15" t="s">
        <v>54</v>
      </c>
      <c r="B84">
        <v>31</v>
      </c>
      <c r="C84" s="2">
        <v>2015.3999999999999</v>
      </c>
      <c r="F84" t="str">
        <v>Kalimantan Tengah</v>
      </c>
      <c r="G84">
        <f t="shared" si="0"/>
        <v>31</v>
      </c>
      <c r="I84" t="str">
        <v>Kalimantan Tengah</v>
      </c>
      <c r="J84" s="17">
        <f t="shared" si="1"/>
        <v>2015.3999999999999</v>
      </c>
    </row>
    <row r="85" spans="1:10" x14ac:dyDescent="0.3">
      <c r="A85" s="15" t="s">
        <v>77</v>
      </c>
      <c r="B85">
        <v>364</v>
      </c>
      <c r="C85" s="2">
        <v>16172.000000000005</v>
      </c>
      <c r="F85" t="str">
        <v>Kalimantan Timur</v>
      </c>
      <c r="G85">
        <f t="shared" si="0"/>
        <v>364</v>
      </c>
      <c r="I85" t="str">
        <v>Kalimantan Timur</v>
      </c>
      <c r="J85" s="17">
        <f t="shared" si="1"/>
        <v>16172.000000000005</v>
      </c>
    </row>
    <row r="86" spans="1:10" x14ac:dyDescent="0.3">
      <c r="A86" s="15" t="s">
        <v>207</v>
      </c>
      <c r="B86">
        <v>147</v>
      </c>
      <c r="C86" s="2">
        <v>7665.0999999999995</v>
      </c>
      <c r="F86" t="str">
        <v>Kalimantan Utara</v>
      </c>
      <c r="G86">
        <f t="shared" si="0"/>
        <v>147</v>
      </c>
      <c r="I86" t="str">
        <v>Kalimantan Utara</v>
      </c>
      <c r="J86" s="17">
        <f t="shared" si="1"/>
        <v>7665.0999999999995</v>
      </c>
    </row>
    <row r="87" spans="1:10" x14ac:dyDescent="0.3">
      <c r="A87" s="15" t="s">
        <v>79</v>
      </c>
      <c r="B87">
        <v>140</v>
      </c>
      <c r="C87" s="2">
        <v>7022.3999999999969</v>
      </c>
      <c r="F87" t="str">
        <v>Kepulauan Bangka Belitung</v>
      </c>
      <c r="G87">
        <f t="shared" si="0"/>
        <v>140</v>
      </c>
      <c r="I87" t="str">
        <v>Kepulauan Bangka Belitung</v>
      </c>
      <c r="J87" s="17">
        <f t="shared" si="1"/>
        <v>7022.3999999999969</v>
      </c>
    </row>
    <row r="88" spans="1:10" x14ac:dyDescent="0.3">
      <c r="A88" s="15" t="s">
        <v>116</v>
      </c>
      <c r="B88">
        <v>234</v>
      </c>
      <c r="C88" s="2">
        <v>11649.199999999999</v>
      </c>
      <c r="F88" t="str">
        <v>Kepulauan Riau</v>
      </c>
      <c r="G88">
        <f t="shared" si="0"/>
        <v>234</v>
      </c>
      <c r="I88" t="str">
        <v>Kepulauan Riau</v>
      </c>
      <c r="J88" s="17">
        <f t="shared" si="1"/>
        <v>11649.199999999999</v>
      </c>
    </row>
    <row r="89" spans="1:10" x14ac:dyDescent="0.3">
      <c r="A89" s="15" t="s">
        <v>194</v>
      </c>
      <c r="B89">
        <v>209</v>
      </c>
      <c r="C89" s="2">
        <v>11288.299999999997</v>
      </c>
      <c r="F89" t="str">
        <v>Lampung</v>
      </c>
      <c r="G89">
        <f t="shared" si="0"/>
        <v>209</v>
      </c>
      <c r="I89" t="str">
        <v>Lampung</v>
      </c>
      <c r="J89" s="17">
        <f t="shared" si="1"/>
        <v>11288.299999999997</v>
      </c>
    </row>
    <row r="90" spans="1:10" x14ac:dyDescent="0.3">
      <c r="A90" s="15" t="s">
        <v>84</v>
      </c>
      <c r="B90">
        <v>58</v>
      </c>
      <c r="C90" s="2">
        <v>3498.9999999999995</v>
      </c>
      <c r="F90" t="str">
        <v>Maluku</v>
      </c>
      <c r="G90">
        <f t="shared" si="0"/>
        <v>58</v>
      </c>
      <c r="I90" t="str">
        <v>Maluku</v>
      </c>
      <c r="J90" s="17">
        <f t="shared" si="1"/>
        <v>3498.9999999999995</v>
      </c>
    </row>
    <row r="91" spans="1:10" x14ac:dyDescent="0.3">
      <c r="A91" s="15" t="s">
        <v>114</v>
      </c>
      <c r="B91">
        <v>326</v>
      </c>
      <c r="C91" s="2">
        <v>23032.400000000001</v>
      </c>
      <c r="F91" t="str">
        <v>Maluku Utara</v>
      </c>
      <c r="G91">
        <f t="shared" si="0"/>
        <v>326</v>
      </c>
      <c r="I91" t="str">
        <v>Maluku Utara</v>
      </c>
      <c r="J91" s="17">
        <f t="shared" si="1"/>
        <v>23032.400000000001</v>
      </c>
    </row>
    <row r="92" spans="1:10" x14ac:dyDescent="0.3">
      <c r="A92" s="15" t="s">
        <v>192</v>
      </c>
      <c r="B92">
        <v>62</v>
      </c>
      <c r="C92" s="2">
        <v>2721.2000000000003</v>
      </c>
      <c r="F92" t="str">
        <v>Nusa Tenggara Barat</v>
      </c>
      <c r="G92">
        <f t="shared" si="0"/>
        <v>62</v>
      </c>
      <c r="I92" t="str">
        <v>Nusa Tenggara Barat</v>
      </c>
      <c r="J92" s="17">
        <f t="shared" si="1"/>
        <v>2721.2000000000003</v>
      </c>
    </row>
    <row r="93" spans="1:10" x14ac:dyDescent="0.3">
      <c r="A93" s="15" t="s">
        <v>89</v>
      </c>
      <c r="B93">
        <v>14</v>
      </c>
      <c r="C93" s="2">
        <v>354.6</v>
      </c>
      <c r="F93" t="str">
        <v>Nusa Tenggara Timur</v>
      </c>
      <c r="G93">
        <f t="shared" si="0"/>
        <v>14</v>
      </c>
      <c r="I93" t="str">
        <v>Nusa Tenggara Timur</v>
      </c>
      <c r="J93" s="17">
        <f t="shared" si="1"/>
        <v>354.6</v>
      </c>
    </row>
    <row r="94" spans="1:10" x14ac:dyDescent="0.3">
      <c r="A94" s="15" t="s">
        <v>104</v>
      </c>
      <c r="B94">
        <v>101</v>
      </c>
      <c r="C94" s="2">
        <v>6837.7</v>
      </c>
      <c r="F94" t="str">
        <v>Papua</v>
      </c>
      <c r="G94">
        <f t="shared" si="0"/>
        <v>101</v>
      </c>
      <c r="I94" t="str">
        <v>Papua</v>
      </c>
      <c r="J94" s="17">
        <f t="shared" si="1"/>
        <v>6837.7</v>
      </c>
    </row>
    <row r="95" spans="1:10" x14ac:dyDescent="0.3">
      <c r="A95" s="15" t="s">
        <v>121</v>
      </c>
      <c r="B95">
        <v>584</v>
      </c>
      <c r="C95" s="2">
        <v>32052.699999999997</v>
      </c>
      <c r="F95" t="str">
        <v>Papua Barat</v>
      </c>
      <c r="G95">
        <f t="shared" si="0"/>
        <v>584</v>
      </c>
      <c r="I95" t="str">
        <v>Papua Barat</v>
      </c>
      <c r="J95" s="17">
        <f t="shared" si="1"/>
        <v>32052.699999999997</v>
      </c>
    </row>
    <row r="96" spans="1:10" x14ac:dyDescent="0.3">
      <c r="A96" s="15" t="s">
        <v>32</v>
      </c>
      <c r="B96">
        <v>279</v>
      </c>
      <c r="C96" s="2">
        <v>12662.500000000002</v>
      </c>
      <c r="F96" t="str">
        <v>Riau</v>
      </c>
      <c r="G96">
        <f t="shared" si="0"/>
        <v>279</v>
      </c>
      <c r="I96" t="str">
        <v>Riau</v>
      </c>
      <c r="J96" s="17">
        <f t="shared" si="1"/>
        <v>12662.500000000002</v>
      </c>
    </row>
    <row r="97" spans="1:11" x14ac:dyDescent="0.3">
      <c r="A97" s="15" t="s">
        <v>27</v>
      </c>
      <c r="B97">
        <v>341</v>
      </c>
      <c r="C97" s="2">
        <v>16168.7</v>
      </c>
      <c r="F97" t="str">
        <v>Sulawesi Selatan</v>
      </c>
      <c r="G97">
        <f t="shared" si="0"/>
        <v>341</v>
      </c>
      <c r="I97" t="str">
        <v>Sulawesi Selatan</v>
      </c>
      <c r="J97" s="17">
        <f t="shared" si="1"/>
        <v>16168.7</v>
      </c>
    </row>
    <row r="98" spans="1:11" x14ac:dyDescent="0.3">
      <c r="A98" s="15" t="s">
        <v>264</v>
      </c>
      <c r="B98">
        <v>65</v>
      </c>
      <c r="C98" s="2">
        <v>3664.7</v>
      </c>
      <c r="F98" t="str">
        <v>Sulawesi Tengah</v>
      </c>
      <c r="G98">
        <f t="shared" si="0"/>
        <v>65</v>
      </c>
      <c r="I98" t="str">
        <v>Sulawesi Tengah</v>
      </c>
      <c r="J98" s="17">
        <f t="shared" si="1"/>
        <v>3664.7</v>
      </c>
    </row>
    <row r="99" spans="1:11" x14ac:dyDescent="0.3">
      <c r="A99" s="15" t="s">
        <v>274</v>
      </c>
      <c r="B99">
        <v>12</v>
      </c>
      <c r="C99" s="2">
        <v>499.8</v>
      </c>
      <c r="F99" t="str">
        <v>Sulawesi Tenggara</v>
      </c>
      <c r="G99">
        <f t="shared" si="0"/>
        <v>12</v>
      </c>
      <c r="I99" t="str">
        <v>Sulawesi Tenggara</v>
      </c>
      <c r="J99" s="17">
        <f t="shared" si="1"/>
        <v>499.8</v>
      </c>
    </row>
    <row r="100" spans="1:11" x14ac:dyDescent="0.3">
      <c r="A100" s="15" t="s">
        <v>164</v>
      </c>
      <c r="B100">
        <v>182</v>
      </c>
      <c r="C100" s="2">
        <v>7896.1</v>
      </c>
      <c r="F100" t="str">
        <v>Sulawesi Utara</v>
      </c>
      <c r="G100">
        <f t="shared" si="0"/>
        <v>182</v>
      </c>
      <c r="I100" t="str">
        <v>Sulawesi Utara</v>
      </c>
      <c r="J100" s="17">
        <f t="shared" si="1"/>
        <v>7896.1</v>
      </c>
    </row>
    <row r="101" spans="1:11" x14ac:dyDescent="0.3">
      <c r="A101" s="15" t="s">
        <v>119</v>
      </c>
      <c r="B101">
        <v>143</v>
      </c>
      <c r="C101" s="2">
        <v>6166.8000000000011</v>
      </c>
      <c r="F101" t="str">
        <v>Sumatera Barat</v>
      </c>
      <c r="G101">
        <f t="shared" si="0"/>
        <v>143</v>
      </c>
      <c r="I101" t="str">
        <v>Sumatera Barat</v>
      </c>
      <c r="J101" s="17">
        <f t="shared" si="1"/>
        <v>6166.8000000000011</v>
      </c>
    </row>
    <row r="102" spans="1:11" x14ac:dyDescent="0.3">
      <c r="A102" s="15" t="s">
        <v>298</v>
      </c>
      <c r="B102">
        <v>21</v>
      </c>
      <c r="C102" s="2">
        <v>984.89999999999986</v>
      </c>
      <c r="F102" t="str">
        <v>Sumatera Selatan</v>
      </c>
      <c r="G102">
        <f t="shared" si="0"/>
        <v>21</v>
      </c>
      <c r="I102" t="str">
        <v>Sumatera Selatan</v>
      </c>
      <c r="J102" s="17">
        <f t="shared" si="1"/>
        <v>984.89999999999986</v>
      </c>
    </row>
    <row r="103" spans="1:11" x14ac:dyDescent="0.3">
      <c r="A103" s="15" t="s">
        <v>64</v>
      </c>
      <c r="B103">
        <v>356</v>
      </c>
      <c r="C103" s="2">
        <v>20988.9</v>
      </c>
      <c r="F103" t="str">
        <v>Sumatera Utara</v>
      </c>
      <c r="G103">
        <f t="shared" si="0"/>
        <v>356</v>
      </c>
      <c r="I103" t="str">
        <v>Sumatera Utara</v>
      </c>
      <c r="J103" s="17">
        <f t="shared" si="1"/>
        <v>20988.9</v>
      </c>
    </row>
    <row r="106" spans="1:11" x14ac:dyDescent="0.3">
      <c r="A106" s="15" t="s">
        <v>2516</v>
      </c>
      <c r="E106" t="s">
        <v>2517</v>
      </c>
    </row>
    <row r="108" spans="1:11" x14ac:dyDescent="0.3">
      <c r="A108" s="13" t="s">
        <v>2500</v>
      </c>
      <c r="B108" t="s">
        <v>0</v>
      </c>
      <c r="E108" s="30" t="s">
        <v>0</v>
      </c>
      <c r="F108" s="30" t="s">
        <v>2502</v>
      </c>
      <c r="G108" s="12"/>
      <c r="H108" s="12"/>
      <c r="I108" s="12"/>
      <c r="J108" s="12"/>
      <c r="K108" s="12"/>
    </row>
    <row r="109" spans="1:11" x14ac:dyDescent="0.3">
      <c r="A109" s="15">
        <v>0</v>
      </c>
      <c r="B109">
        <v>175</v>
      </c>
      <c r="E109" s="30" t="s">
        <v>2500</v>
      </c>
      <c r="F109" s="12">
        <v>1</v>
      </c>
      <c r="G109" s="12">
        <v>2</v>
      </c>
      <c r="H109" s="12">
        <v>3</v>
      </c>
      <c r="I109" s="12">
        <v>4</v>
      </c>
      <c r="J109" s="12">
        <v>5</v>
      </c>
      <c r="K109" s="12" t="s">
        <v>2501</v>
      </c>
    </row>
    <row r="110" spans="1:11" x14ac:dyDescent="0.3">
      <c r="A110" s="15">
        <v>1</v>
      </c>
      <c r="B110">
        <v>888</v>
      </c>
      <c r="E110" s="12" t="s">
        <v>2513</v>
      </c>
      <c r="F110" s="12">
        <v>7</v>
      </c>
      <c r="G110" s="12">
        <v>37</v>
      </c>
      <c r="H110" s="12">
        <v>150</v>
      </c>
      <c r="I110" s="12">
        <v>312</v>
      </c>
      <c r="J110" s="12">
        <v>224</v>
      </c>
      <c r="K110" s="12">
        <v>730</v>
      </c>
    </row>
    <row r="111" spans="1:11" x14ac:dyDescent="0.3">
      <c r="A111" s="15">
        <v>2</v>
      </c>
      <c r="B111">
        <v>538</v>
      </c>
      <c r="E111" s="12" t="s">
        <v>2514</v>
      </c>
      <c r="F111" s="12">
        <v>8</v>
      </c>
      <c r="G111" s="12">
        <v>51</v>
      </c>
      <c r="H111" s="12">
        <v>182</v>
      </c>
      <c r="I111" s="12">
        <v>373</v>
      </c>
      <c r="J111" s="12">
        <v>247</v>
      </c>
      <c r="K111" s="12">
        <v>861</v>
      </c>
    </row>
    <row r="112" spans="1:11" x14ac:dyDescent="0.3">
      <c r="A112" s="15">
        <v>3</v>
      </c>
      <c r="B112">
        <v>344</v>
      </c>
      <c r="E112" s="12" t="s">
        <v>2515</v>
      </c>
      <c r="F112" s="12">
        <v>6</v>
      </c>
      <c r="G112" s="12">
        <v>39</v>
      </c>
      <c r="H112" s="12">
        <v>163</v>
      </c>
      <c r="I112" s="12">
        <v>351</v>
      </c>
      <c r="J112" s="12">
        <v>250</v>
      </c>
      <c r="K112" s="12">
        <v>809</v>
      </c>
    </row>
    <row r="113" spans="1:11" x14ac:dyDescent="0.3">
      <c r="A113" s="15">
        <v>4</v>
      </c>
      <c r="B113">
        <v>200</v>
      </c>
      <c r="E113" s="12" t="s">
        <v>2501</v>
      </c>
      <c r="F113" s="12">
        <v>21</v>
      </c>
      <c r="G113" s="12">
        <v>127</v>
      </c>
      <c r="H113" s="12">
        <v>495</v>
      </c>
      <c r="I113" s="12">
        <v>1036</v>
      </c>
      <c r="J113" s="12">
        <v>721</v>
      </c>
      <c r="K113" s="12">
        <v>2400</v>
      </c>
    </row>
    <row r="114" spans="1:11" x14ac:dyDescent="0.3">
      <c r="A114" s="15">
        <v>5</v>
      </c>
      <c r="B114">
        <v>94</v>
      </c>
    </row>
    <row r="115" spans="1:11" x14ac:dyDescent="0.3">
      <c r="A115" s="15">
        <v>6</v>
      </c>
      <c r="B115">
        <v>51</v>
      </c>
    </row>
    <row r="116" spans="1:11" x14ac:dyDescent="0.3">
      <c r="A116" s="15">
        <v>7</v>
      </c>
      <c r="B116">
        <v>32</v>
      </c>
    </row>
    <row r="117" spans="1:11" x14ac:dyDescent="0.3">
      <c r="A117" s="15">
        <v>8</v>
      </c>
      <c r="B117">
        <v>23</v>
      </c>
    </row>
    <row r="118" spans="1:11" x14ac:dyDescent="0.3">
      <c r="A118" s="15">
        <v>9</v>
      </c>
      <c r="B118">
        <v>9</v>
      </c>
    </row>
    <row r="119" spans="1:11" x14ac:dyDescent="0.3">
      <c r="A119" s="15">
        <v>10</v>
      </c>
      <c r="B119">
        <v>8</v>
      </c>
    </row>
    <row r="120" spans="1:11" x14ac:dyDescent="0.3">
      <c r="A120" s="15">
        <v>11</v>
      </c>
      <c r="B120">
        <v>11</v>
      </c>
    </row>
    <row r="121" spans="1:11" x14ac:dyDescent="0.3">
      <c r="A121" s="15">
        <v>12</v>
      </c>
      <c r="B121">
        <v>4</v>
      </c>
    </row>
    <row r="122" spans="1:11" x14ac:dyDescent="0.3">
      <c r="A122" s="15">
        <v>13</v>
      </c>
      <c r="B122">
        <v>10</v>
      </c>
    </row>
    <row r="123" spans="1:11" x14ac:dyDescent="0.3">
      <c r="A123" s="15">
        <v>14</v>
      </c>
      <c r="B123">
        <v>13</v>
      </c>
    </row>
    <row r="124" spans="1:11" x14ac:dyDescent="0.3">
      <c r="A124" s="15" t="s">
        <v>2501</v>
      </c>
      <c r="B124">
        <v>2400</v>
      </c>
    </row>
  </sheetData>
  <mergeCells count="6">
    <mergeCell ref="I67:J67"/>
    <mergeCell ref="A8:C8"/>
    <mergeCell ref="A27:C27"/>
    <mergeCell ref="A40:C40"/>
    <mergeCell ref="A67:C67"/>
    <mergeCell ref="F67:G6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F855D-90CA-4BCF-95EA-CB5E10BFADCC}">
  <dimension ref="B4:P20"/>
  <sheetViews>
    <sheetView showGridLines="0" topLeftCell="A4" workbookViewId="0">
      <selection activeCell="W15" sqref="W15"/>
    </sheetView>
  </sheetViews>
  <sheetFormatPr defaultRowHeight="14.4" x14ac:dyDescent="0.3"/>
  <cols>
    <col min="2" max="2" width="16.77734375" bestFit="1" customWidth="1"/>
    <col min="3" max="3" width="7.33203125" bestFit="1" customWidth="1"/>
    <col min="4" max="4" width="6.5546875" bestFit="1" customWidth="1"/>
    <col min="5" max="5" width="5.88671875" bestFit="1" customWidth="1"/>
    <col min="6" max="6" width="9.21875" bestFit="1" customWidth="1"/>
    <col min="7" max="7" width="10.77734375" bestFit="1" customWidth="1"/>
    <col min="11" max="11" width="14.6640625" bestFit="1" customWidth="1"/>
    <col min="12" max="12" width="6.88671875" bestFit="1" customWidth="1"/>
    <col min="13" max="13" width="5.109375" bestFit="1" customWidth="1"/>
    <col min="14" max="14" width="5.6640625" bestFit="1" customWidth="1"/>
    <col min="15" max="15" width="8.77734375" bestFit="1" customWidth="1"/>
    <col min="16" max="16" width="7.77734375" customWidth="1"/>
  </cols>
  <sheetData>
    <row r="4" spans="2:16" x14ac:dyDescent="0.3">
      <c r="B4" s="13" t="s">
        <v>2</v>
      </c>
      <c r="C4" s="13" t="s">
        <v>2502</v>
      </c>
    </row>
    <row r="5" spans="2:16" x14ac:dyDescent="0.3">
      <c r="B5" s="13" t="s">
        <v>2518</v>
      </c>
      <c r="C5" t="s">
        <v>33</v>
      </c>
      <c r="D5" t="s">
        <v>28</v>
      </c>
      <c r="E5" t="s">
        <v>95</v>
      </c>
      <c r="F5" t="s">
        <v>23</v>
      </c>
      <c r="G5" t="s">
        <v>2501</v>
      </c>
    </row>
    <row r="6" spans="2:16" ht="19.2" customHeight="1" x14ac:dyDescent="0.3">
      <c r="B6" s="15" t="s">
        <v>21</v>
      </c>
      <c r="C6" s="19">
        <v>0.18961825201634841</v>
      </c>
      <c r="D6" s="19">
        <v>0.12262322351336576</v>
      </c>
      <c r="E6" s="19">
        <v>1.060537752469185E-2</v>
      </c>
      <c r="F6" s="19">
        <v>3.0599220547662797E-2</v>
      </c>
      <c r="G6" s="19">
        <v>0.35344607360206881</v>
      </c>
      <c r="L6" s="21"/>
      <c r="M6" s="22"/>
      <c r="N6" s="22"/>
      <c r="O6" s="23"/>
      <c r="P6" s="20"/>
    </row>
    <row r="7" spans="2:16" ht="19.2" customHeight="1" x14ac:dyDescent="0.3">
      <c r="B7" s="15" t="s">
        <v>56</v>
      </c>
      <c r="C7" s="19">
        <v>5.0283982091147303E-2</v>
      </c>
      <c r="D7" s="19">
        <v>4.3060781812819873E-2</v>
      </c>
      <c r="E7" s="19">
        <v>1.5320025675641944E-3</v>
      </c>
      <c r="F7" s="19">
        <v>1.7794988689097006E-2</v>
      </c>
      <c r="G7" s="19">
        <v>0.11267175516062837</v>
      </c>
      <c r="L7" s="24"/>
      <c r="M7" s="25"/>
      <c r="N7" s="25"/>
      <c r="O7" s="26"/>
      <c r="P7" s="20"/>
    </row>
    <row r="8" spans="2:16" ht="19.2" customHeight="1" x14ac:dyDescent="0.3">
      <c r="B8" s="15" t="s">
        <v>45</v>
      </c>
      <c r="C8" s="19">
        <v>9.6337892927149532E-2</v>
      </c>
      <c r="D8" s="19">
        <v>6.7920115842382611E-2</v>
      </c>
      <c r="E8" s="19">
        <v>5.4979832664581261E-3</v>
      </c>
      <c r="F8" s="19">
        <v>1.2933041488102518E-2</v>
      </c>
      <c r="G8" s="19">
        <v>0.1826890335240928</v>
      </c>
      <c r="L8" s="24"/>
      <c r="M8" s="25"/>
      <c r="N8" s="25"/>
      <c r="O8" s="26"/>
      <c r="P8" s="20"/>
    </row>
    <row r="9" spans="2:16" ht="19.2" customHeight="1" x14ac:dyDescent="0.3">
      <c r="B9" s="15" t="s">
        <v>40</v>
      </c>
      <c r="C9" s="19">
        <v>0.12522098709469262</v>
      </c>
      <c r="D9" s="19">
        <v>9.1492740283116228E-2</v>
      </c>
      <c r="E9" s="19">
        <v>6.3042760790965081E-3</v>
      </c>
      <c r="F9" s="19">
        <v>1.2408404181197551E-2</v>
      </c>
      <c r="G9" s="19">
        <v>0.23542640763810288</v>
      </c>
      <c r="L9" s="24"/>
      <c r="M9" s="25"/>
      <c r="N9" s="25"/>
      <c r="O9" s="26"/>
      <c r="P9" s="20"/>
    </row>
    <row r="10" spans="2:16" ht="19.2" customHeight="1" x14ac:dyDescent="0.3">
      <c r="B10" s="15" t="s">
        <v>75</v>
      </c>
      <c r="C10" s="19">
        <v>6.3496059750411282E-2</v>
      </c>
      <c r="D10" s="19">
        <v>4.6071629863988765E-2</v>
      </c>
      <c r="E10" s="19">
        <v>2.3062470513226254E-3</v>
      </c>
      <c r="F10" s="19">
        <v>3.8927934093844286E-3</v>
      </c>
      <c r="G10" s="19">
        <v>0.11576673007510711</v>
      </c>
      <c r="L10" s="27"/>
      <c r="M10" s="28"/>
      <c r="N10" s="28"/>
      <c r="O10" s="29"/>
      <c r="P10" s="20"/>
    </row>
    <row r="15" spans="2:16" ht="19.8" customHeight="1" x14ac:dyDescent="0.3">
      <c r="B15" s="31" t="str" cm="1">
        <f t="array" ref="B15:F20">B5:F10</f>
        <v/>
      </c>
      <c r="C15" s="32" t="str">
        <v>Female</v>
      </c>
      <c r="D15" s="32" t="str">
        <v>Male</v>
      </c>
      <c r="E15" s="32" t="str">
        <v>Other</v>
      </c>
      <c r="F15" s="32" t="str">
        <v>Unknown</v>
      </c>
    </row>
    <row r="16" spans="2:16" ht="19.8" customHeight="1" x14ac:dyDescent="0.3">
      <c r="B16" s="31" t="str">
        <v>Shopee App</v>
      </c>
      <c r="C16" s="33">
        <v>0.18961825201634841</v>
      </c>
      <c r="D16" s="34">
        <v>0.12262322351336576</v>
      </c>
      <c r="E16" s="34">
        <v>1.060537752469185E-2</v>
      </c>
      <c r="F16" s="35">
        <v>3.0599220547662797E-2</v>
      </c>
    </row>
    <row r="17" spans="2:6" ht="19.8" customHeight="1" x14ac:dyDescent="0.3">
      <c r="B17" s="31" t="str">
        <v>Shopee Live</v>
      </c>
      <c r="C17" s="36">
        <v>5.0283982091147303E-2</v>
      </c>
      <c r="D17" s="37">
        <v>4.3060781812819873E-2</v>
      </c>
      <c r="E17" s="37">
        <v>1.5320025675641944E-3</v>
      </c>
      <c r="F17" s="38">
        <v>1.7794988689097006E-2</v>
      </c>
    </row>
    <row r="18" spans="2:6" ht="19.8" customHeight="1" x14ac:dyDescent="0.3">
      <c r="B18" s="31" t="str">
        <v>Shopee Mall</v>
      </c>
      <c r="C18" s="36">
        <v>9.6337892927149532E-2</v>
      </c>
      <c r="D18" s="37">
        <v>6.7920115842382611E-2</v>
      </c>
      <c r="E18" s="37">
        <v>5.4979832664581261E-3</v>
      </c>
      <c r="F18" s="38">
        <v>1.2933041488102518E-2</v>
      </c>
    </row>
    <row r="19" spans="2:6" ht="19.8" customHeight="1" x14ac:dyDescent="0.3">
      <c r="B19" s="31" t="str">
        <v>Shopee Web</v>
      </c>
      <c r="C19" s="36">
        <v>0.12522098709469262</v>
      </c>
      <c r="D19" s="37">
        <v>9.1492740283116228E-2</v>
      </c>
      <c r="E19" s="37">
        <v>6.3042760790965081E-3</v>
      </c>
      <c r="F19" s="38">
        <v>1.2408404181197551E-2</v>
      </c>
    </row>
    <row r="20" spans="2:6" ht="19.8" customHeight="1" x14ac:dyDescent="0.3">
      <c r="B20" s="31" t="str">
        <v>ShopeePay Later</v>
      </c>
      <c r="C20" s="39">
        <v>6.3496059750411282E-2</v>
      </c>
      <c r="D20" s="40">
        <v>4.6071629863988765E-2</v>
      </c>
      <c r="E20" s="40">
        <v>2.3062470513226254E-3</v>
      </c>
      <c r="F20" s="41">
        <v>3.8927934093844286E-3</v>
      </c>
    </row>
  </sheetData>
  <conditionalFormatting sqref="C16:F20">
    <cfRule type="colorScale" priority="1">
      <colorScale>
        <cfvo type="min"/>
        <cfvo type="percentile" val="50"/>
        <cfvo type="max"/>
        <color theme="9" tint="0.39997558519241921"/>
        <color rgb="FFFCFCFF"/>
        <color theme="8"/>
      </colorScale>
    </cfRule>
  </conditionalFormatting>
  <conditionalFormatting sqref="L6:O10">
    <cfRule type="colorScale" priority="3">
      <colorScale>
        <cfvo type="min"/>
        <cfvo type="percentile" val="50"/>
        <cfvo type="max"/>
        <color theme="9" tint="0.59999389629810485"/>
        <color rgb="FFFCFCFF"/>
        <color theme="8"/>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C6B5A-C09D-4803-AF2D-410C11A60CA1}">
  <dimension ref="A1:N2401"/>
  <sheetViews>
    <sheetView topLeftCell="A2388" workbookViewId="0">
      <selection activeCell="M2401" sqref="M2401"/>
    </sheetView>
  </sheetViews>
  <sheetFormatPr defaultRowHeight="14.4" x14ac:dyDescent="0.3"/>
  <cols>
    <col min="1" max="1" width="15" customWidth="1"/>
    <col min="2" max="2" width="15.33203125" customWidth="1"/>
    <col min="3" max="3" width="9.33203125" bestFit="1" customWidth="1"/>
    <col min="4" max="4" width="15.88671875" bestFit="1" customWidth="1"/>
    <col min="5" max="5" width="14.109375" bestFit="1" customWidth="1"/>
    <col min="6" max="6" width="11.5546875" bestFit="1" customWidth="1"/>
    <col min="7" max="7" width="11.33203125" bestFit="1" customWidth="1"/>
    <col min="8" max="8" width="18.5546875" bestFit="1" customWidth="1"/>
    <col min="9" max="9" width="12.44140625" bestFit="1" customWidth="1"/>
    <col min="10" max="10" width="17.5546875" bestFit="1" customWidth="1"/>
    <col min="11" max="11" width="12.6640625" customWidth="1"/>
    <col min="12" max="12" width="16" bestFit="1" customWidth="1"/>
    <col min="13" max="13" width="14.88671875" bestFit="1" customWidth="1"/>
    <col min="14" max="14" width="14.44140625" bestFit="1" customWidth="1"/>
  </cols>
  <sheetData>
    <row r="1" spans="1:14" ht="21" customHeight="1" x14ac:dyDescent="0.3">
      <c r="A1" s="1" t="s">
        <v>5</v>
      </c>
      <c r="B1" s="1" t="s">
        <v>6</v>
      </c>
      <c r="C1" s="1" t="s">
        <v>7</v>
      </c>
      <c r="D1" s="1" t="s">
        <v>8</v>
      </c>
      <c r="E1" s="1" t="s">
        <v>9</v>
      </c>
      <c r="F1" s="1" t="s">
        <v>10</v>
      </c>
      <c r="G1" s="1" t="s">
        <v>11</v>
      </c>
      <c r="H1" s="1" t="s">
        <v>12</v>
      </c>
      <c r="I1" s="1" t="s">
        <v>13</v>
      </c>
      <c r="J1" s="1" t="s">
        <v>14</v>
      </c>
      <c r="K1" s="1" t="s">
        <v>15</v>
      </c>
      <c r="L1" s="1" t="s">
        <v>16</v>
      </c>
      <c r="M1" s="1" t="s">
        <v>17</v>
      </c>
      <c r="N1" s="1" t="s">
        <v>18</v>
      </c>
    </row>
    <row r="2" spans="1:14" x14ac:dyDescent="0.3">
      <c r="A2" s="7" t="s">
        <v>19</v>
      </c>
      <c r="B2" s="7" t="s">
        <v>20</v>
      </c>
      <c r="C2" s="7">
        <v>1</v>
      </c>
      <c r="D2" s="10">
        <v>10.9</v>
      </c>
      <c r="E2" s="10">
        <v>10.9</v>
      </c>
      <c r="F2" s="9">
        <v>45658</v>
      </c>
      <c r="G2" s="9">
        <v>45663</v>
      </c>
      <c r="H2" s="7"/>
      <c r="I2" s="8" t="s">
        <v>21</v>
      </c>
      <c r="J2" s="7">
        <v>4</v>
      </c>
      <c r="K2" s="7" t="s">
        <v>22</v>
      </c>
      <c r="L2" s="7">
        <v>5</v>
      </c>
      <c r="M2" s="7">
        <v>1</v>
      </c>
      <c r="N2" s="7" t="s">
        <v>23</v>
      </c>
    </row>
    <row r="3" spans="1:14" x14ac:dyDescent="0.3">
      <c r="A3" s="3" t="s">
        <v>24</v>
      </c>
      <c r="B3" s="3" t="s">
        <v>25</v>
      </c>
      <c r="C3" s="3">
        <v>2</v>
      </c>
      <c r="D3" s="6">
        <v>30.6</v>
      </c>
      <c r="E3" s="6">
        <v>61.2</v>
      </c>
      <c r="F3" s="5">
        <v>45658</v>
      </c>
      <c r="G3" s="5">
        <v>45660</v>
      </c>
      <c r="H3" s="3" t="s">
        <v>26</v>
      </c>
      <c r="I3" s="4" t="s">
        <v>21</v>
      </c>
      <c r="J3" s="3">
        <v>4</v>
      </c>
      <c r="K3" s="3" t="s">
        <v>27</v>
      </c>
      <c r="L3" s="3">
        <v>2</v>
      </c>
      <c r="M3" s="3">
        <v>1</v>
      </c>
      <c r="N3" s="3" t="s">
        <v>28</v>
      </c>
    </row>
    <row r="4" spans="1:14" x14ac:dyDescent="0.3">
      <c r="A4" s="7" t="s">
        <v>29</v>
      </c>
      <c r="B4" s="7" t="s">
        <v>30</v>
      </c>
      <c r="C4" s="7">
        <v>3</v>
      </c>
      <c r="D4" s="10">
        <v>109.4</v>
      </c>
      <c r="E4" s="10">
        <v>328.2</v>
      </c>
      <c r="F4" s="9">
        <v>45658</v>
      </c>
      <c r="G4" s="9">
        <v>45661</v>
      </c>
      <c r="H4" s="7" t="s">
        <v>31</v>
      </c>
      <c r="I4" s="8" t="s">
        <v>21</v>
      </c>
      <c r="J4" s="7">
        <v>3</v>
      </c>
      <c r="K4" s="7" t="s">
        <v>32</v>
      </c>
      <c r="L4" s="7">
        <v>3</v>
      </c>
      <c r="M4" s="7">
        <v>1</v>
      </c>
      <c r="N4" s="7" t="s">
        <v>33</v>
      </c>
    </row>
    <row r="5" spans="1:14" x14ac:dyDescent="0.3">
      <c r="A5" s="3" t="s">
        <v>34</v>
      </c>
      <c r="B5" s="3" t="s">
        <v>35</v>
      </c>
      <c r="C5" s="3">
        <v>7</v>
      </c>
      <c r="D5" s="6">
        <v>37.700000000000003</v>
      </c>
      <c r="E5" s="6">
        <v>263.89999999999998</v>
      </c>
      <c r="F5" s="5">
        <v>45658</v>
      </c>
      <c r="G5" s="5">
        <v>45659</v>
      </c>
      <c r="H5" s="3" t="s">
        <v>31</v>
      </c>
      <c r="I5" s="4" t="s">
        <v>21</v>
      </c>
      <c r="J5" s="3">
        <v>4</v>
      </c>
      <c r="K5" s="3" t="s">
        <v>32</v>
      </c>
      <c r="L5" s="3">
        <v>1</v>
      </c>
      <c r="M5" s="3">
        <v>1</v>
      </c>
      <c r="N5" s="3" t="s">
        <v>33</v>
      </c>
    </row>
    <row r="6" spans="1:14" x14ac:dyDescent="0.3">
      <c r="A6" s="7" t="s">
        <v>36</v>
      </c>
      <c r="B6" s="7" t="s">
        <v>37</v>
      </c>
      <c r="C6" s="7">
        <v>3</v>
      </c>
      <c r="D6" s="10">
        <v>56.7</v>
      </c>
      <c r="E6" s="10">
        <v>170.1</v>
      </c>
      <c r="F6" s="9">
        <v>45658</v>
      </c>
      <c r="G6" s="9">
        <v>45661</v>
      </c>
      <c r="H6" s="7" t="s">
        <v>31</v>
      </c>
      <c r="I6" s="8" t="s">
        <v>21</v>
      </c>
      <c r="J6" s="7">
        <v>5</v>
      </c>
      <c r="K6" s="7" t="s">
        <v>38</v>
      </c>
      <c r="L6" s="7">
        <v>3</v>
      </c>
      <c r="M6" s="7">
        <v>1</v>
      </c>
      <c r="N6" s="7" t="s">
        <v>33</v>
      </c>
    </row>
    <row r="7" spans="1:14" x14ac:dyDescent="0.3">
      <c r="A7" s="3" t="s">
        <v>39</v>
      </c>
      <c r="B7" s="3" t="s">
        <v>25</v>
      </c>
      <c r="C7" s="3">
        <v>12</v>
      </c>
      <c r="D7" s="6">
        <v>83.5</v>
      </c>
      <c r="E7" s="6">
        <v>1002</v>
      </c>
      <c r="F7" s="5">
        <v>45658</v>
      </c>
      <c r="G7" s="5">
        <v>45661</v>
      </c>
      <c r="H7" s="3" t="s">
        <v>26</v>
      </c>
      <c r="I7" s="4" t="s">
        <v>40</v>
      </c>
      <c r="J7" s="3">
        <v>4</v>
      </c>
      <c r="K7" s="3" t="s">
        <v>38</v>
      </c>
      <c r="L7" s="3">
        <v>3</v>
      </c>
      <c r="M7" s="3">
        <v>1</v>
      </c>
      <c r="N7" s="3" t="s">
        <v>28</v>
      </c>
    </row>
    <row r="8" spans="1:14" x14ac:dyDescent="0.3">
      <c r="A8" s="7" t="s">
        <v>41</v>
      </c>
      <c r="B8" s="7" t="s">
        <v>42</v>
      </c>
      <c r="C8" s="7">
        <v>1</v>
      </c>
      <c r="D8" s="10">
        <v>55.3</v>
      </c>
      <c r="E8" s="10">
        <v>55.3</v>
      </c>
      <c r="F8" s="9">
        <v>45658</v>
      </c>
      <c r="G8" s="9">
        <v>45659</v>
      </c>
      <c r="H8" s="7" t="s">
        <v>31</v>
      </c>
      <c r="I8" s="8" t="s">
        <v>21</v>
      </c>
      <c r="J8" s="7">
        <v>4</v>
      </c>
      <c r="K8" s="7" t="s">
        <v>38</v>
      </c>
      <c r="L8" s="7">
        <v>1</v>
      </c>
      <c r="M8" s="7">
        <v>1</v>
      </c>
      <c r="N8" s="7" t="s">
        <v>33</v>
      </c>
    </row>
    <row r="9" spans="1:14" x14ac:dyDescent="0.3">
      <c r="A9" s="3" t="s">
        <v>43</v>
      </c>
      <c r="B9" s="3" t="s">
        <v>44</v>
      </c>
      <c r="C9" s="3">
        <v>2</v>
      </c>
      <c r="D9" s="6">
        <v>40.299999999999997</v>
      </c>
      <c r="E9" s="6">
        <v>80.599999999999994</v>
      </c>
      <c r="F9" s="5">
        <v>45658</v>
      </c>
      <c r="G9" s="5">
        <v>45659</v>
      </c>
      <c r="H9" s="3" t="s">
        <v>26</v>
      </c>
      <c r="I9" s="4" t="s">
        <v>45</v>
      </c>
      <c r="J9" s="3">
        <v>5</v>
      </c>
      <c r="K9" s="3" t="s">
        <v>38</v>
      </c>
      <c r="L9" s="3">
        <v>1</v>
      </c>
      <c r="M9" s="3">
        <v>1</v>
      </c>
      <c r="N9" s="3" t="s">
        <v>28</v>
      </c>
    </row>
    <row r="10" spans="1:14" x14ac:dyDescent="0.3">
      <c r="A10" s="7" t="s">
        <v>46</v>
      </c>
      <c r="B10" s="7" t="s">
        <v>47</v>
      </c>
      <c r="C10" s="7">
        <v>11</v>
      </c>
      <c r="D10" s="10">
        <v>35.700000000000003</v>
      </c>
      <c r="E10" s="10">
        <v>392.7</v>
      </c>
      <c r="F10" s="9">
        <v>45658</v>
      </c>
      <c r="G10" s="9">
        <v>45659</v>
      </c>
      <c r="H10" s="7" t="s">
        <v>31</v>
      </c>
      <c r="I10" s="8" t="s">
        <v>21</v>
      </c>
      <c r="J10" s="7">
        <v>4</v>
      </c>
      <c r="K10" s="7" t="s">
        <v>38</v>
      </c>
      <c r="L10" s="7">
        <v>1</v>
      </c>
      <c r="M10" s="7">
        <v>1</v>
      </c>
      <c r="N10" s="7" t="s">
        <v>33</v>
      </c>
    </row>
    <row r="11" spans="1:14" x14ac:dyDescent="0.3">
      <c r="A11" s="3" t="s">
        <v>48</v>
      </c>
      <c r="B11" s="3" t="s">
        <v>49</v>
      </c>
      <c r="C11" s="3">
        <v>7</v>
      </c>
      <c r="D11" s="6">
        <v>22.4</v>
      </c>
      <c r="E11" s="6">
        <v>156.80000000000001</v>
      </c>
      <c r="F11" s="5">
        <v>45658</v>
      </c>
      <c r="G11" s="5">
        <v>45661</v>
      </c>
      <c r="H11" s="3" t="s">
        <v>26</v>
      </c>
      <c r="I11" s="4" t="s">
        <v>21</v>
      </c>
      <c r="J11" s="3">
        <v>3</v>
      </c>
      <c r="K11" s="3" t="s">
        <v>38</v>
      </c>
      <c r="L11" s="3">
        <v>3</v>
      </c>
      <c r="M11" s="3">
        <v>1</v>
      </c>
      <c r="N11" s="3" t="s">
        <v>28</v>
      </c>
    </row>
    <row r="12" spans="1:14" x14ac:dyDescent="0.3">
      <c r="A12" s="7" t="s">
        <v>50</v>
      </c>
      <c r="B12" s="7" t="s">
        <v>51</v>
      </c>
      <c r="C12" s="7">
        <v>2</v>
      </c>
      <c r="D12" s="10">
        <v>54.4</v>
      </c>
      <c r="E12" s="10">
        <v>108.8</v>
      </c>
      <c r="F12" s="9">
        <v>45658</v>
      </c>
      <c r="G12" s="9">
        <v>45664</v>
      </c>
      <c r="H12" s="7" t="s">
        <v>31</v>
      </c>
      <c r="I12" s="8" t="s">
        <v>21</v>
      </c>
      <c r="J12" s="7">
        <v>4</v>
      </c>
      <c r="K12" s="7" t="s">
        <v>38</v>
      </c>
      <c r="L12" s="7">
        <v>6</v>
      </c>
      <c r="M12" s="7">
        <v>1</v>
      </c>
      <c r="N12" s="7" t="s">
        <v>33</v>
      </c>
    </row>
    <row r="13" spans="1:14" x14ac:dyDescent="0.3">
      <c r="A13" s="3" t="s">
        <v>52</v>
      </c>
      <c r="B13" s="3" t="s">
        <v>51</v>
      </c>
      <c r="C13" s="3">
        <v>2</v>
      </c>
      <c r="D13" s="6">
        <v>49</v>
      </c>
      <c r="E13" s="6">
        <v>98</v>
      </c>
      <c r="F13" s="5">
        <v>45658</v>
      </c>
      <c r="G13" s="5">
        <v>45660</v>
      </c>
      <c r="H13" s="3" t="s">
        <v>31</v>
      </c>
      <c r="I13" s="4" t="s">
        <v>45</v>
      </c>
      <c r="J13" s="3">
        <v>3</v>
      </c>
      <c r="K13" s="3" t="s">
        <v>38</v>
      </c>
      <c r="L13" s="3">
        <v>2</v>
      </c>
      <c r="M13" s="3">
        <v>1</v>
      </c>
      <c r="N13" s="3" t="s">
        <v>33</v>
      </c>
    </row>
    <row r="14" spans="1:14" x14ac:dyDescent="0.3">
      <c r="A14" s="7" t="s">
        <v>53</v>
      </c>
      <c r="B14" s="7" t="s">
        <v>42</v>
      </c>
      <c r="C14" s="7">
        <v>7</v>
      </c>
      <c r="D14" s="10">
        <v>118.6</v>
      </c>
      <c r="E14" s="10">
        <v>830.19999999999993</v>
      </c>
      <c r="F14" s="9">
        <v>45658</v>
      </c>
      <c r="G14" s="9">
        <v>45662</v>
      </c>
      <c r="H14" s="7" t="s">
        <v>31</v>
      </c>
      <c r="I14" s="8" t="s">
        <v>40</v>
      </c>
      <c r="J14" s="7">
        <v>4</v>
      </c>
      <c r="K14" s="7" t="s">
        <v>54</v>
      </c>
      <c r="L14" s="7">
        <v>4</v>
      </c>
      <c r="M14" s="7">
        <v>1</v>
      </c>
      <c r="N14" s="7" t="s">
        <v>33</v>
      </c>
    </row>
    <row r="15" spans="1:14" x14ac:dyDescent="0.3">
      <c r="A15" s="3" t="s">
        <v>55</v>
      </c>
      <c r="B15" s="3" t="s">
        <v>44</v>
      </c>
      <c r="C15" s="3">
        <v>27</v>
      </c>
      <c r="D15" s="6">
        <v>88.4</v>
      </c>
      <c r="E15" s="6">
        <v>2386.8000000000002</v>
      </c>
      <c r="F15" s="5">
        <v>45658</v>
      </c>
      <c r="G15" s="5">
        <v>45665</v>
      </c>
      <c r="H15" s="3" t="s">
        <v>26</v>
      </c>
      <c r="I15" s="4" t="s">
        <v>56</v>
      </c>
      <c r="J15" s="3">
        <v>4</v>
      </c>
      <c r="K15" s="3" t="s">
        <v>57</v>
      </c>
      <c r="L15" s="3">
        <v>7</v>
      </c>
      <c r="M15" s="3">
        <v>1</v>
      </c>
      <c r="N15" s="3" t="s">
        <v>28</v>
      </c>
    </row>
    <row r="16" spans="1:14" x14ac:dyDescent="0.3">
      <c r="A16" s="7" t="s">
        <v>58</v>
      </c>
      <c r="B16" s="7" t="s">
        <v>59</v>
      </c>
      <c r="C16" s="7">
        <v>1</v>
      </c>
      <c r="D16" s="10">
        <v>66.7</v>
      </c>
      <c r="E16" s="10">
        <v>66.7</v>
      </c>
      <c r="F16" s="9">
        <v>45658</v>
      </c>
      <c r="G16" s="9">
        <v>45661</v>
      </c>
      <c r="H16" s="7" t="s">
        <v>26</v>
      </c>
      <c r="I16" s="8" t="s">
        <v>21</v>
      </c>
      <c r="J16" s="7">
        <v>4</v>
      </c>
      <c r="K16" s="7" t="s">
        <v>60</v>
      </c>
      <c r="L16" s="7">
        <v>3</v>
      </c>
      <c r="M16" s="7">
        <v>1</v>
      </c>
      <c r="N16" s="7" t="s">
        <v>28</v>
      </c>
    </row>
    <row r="17" spans="1:14" x14ac:dyDescent="0.3">
      <c r="A17" s="3" t="s">
        <v>61</v>
      </c>
      <c r="B17" s="3" t="s">
        <v>51</v>
      </c>
      <c r="C17" s="3">
        <v>10</v>
      </c>
      <c r="D17" s="6">
        <v>30.9</v>
      </c>
      <c r="E17" s="6">
        <v>309</v>
      </c>
      <c r="F17" s="5">
        <v>45658</v>
      </c>
      <c r="G17" s="5">
        <v>45659</v>
      </c>
      <c r="H17" s="3" t="s">
        <v>26</v>
      </c>
      <c r="I17" s="4" t="s">
        <v>40</v>
      </c>
      <c r="J17" s="3">
        <v>5</v>
      </c>
      <c r="K17" s="3" t="s">
        <v>60</v>
      </c>
      <c r="L17" s="3">
        <v>1</v>
      </c>
      <c r="M17" s="3">
        <v>1</v>
      </c>
      <c r="N17" s="3" t="s">
        <v>28</v>
      </c>
    </row>
    <row r="18" spans="1:14" x14ac:dyDescent="0.3">
      <c r="A18" s="7" t="s">
        <v>62</v>
      </c>
      <c r="B18" s="7" t="s">
        <v>37</v>
      </c>
      <c r="C18" s="7">
        <v>3</v>
      </c>
      <c r="D18" s="10">
        <v>31.1</v>
      </c>
      <c r="E18" s="10">
        <v>93.3</v>
      </c>
      <c r="F18" s="9">
        <v>45658</v>
      </c>
      <c r="G18" s="9">
        <v>45659</v>
      </c>
      <c r="H18" s="7" t="s">
        <v>31</v>
      </c>
      <c r="I18" s="8" t="s">
        <v>21</v>
      </c>
      <c r="J18" s="7">
        <v>3</v>
      </c>
      <c r="K18" s="7" t="s">
        <v>60</v>
      </c>
      <c r="L18" s="7">
        <v>1</v>
      </c>
      <c r="M18" s="7">
        <v>1</v>
      </c>
      <c r="N18" s="7" t="s">
        <v>33</v>
      </c>
    </row>
    <row r="19" spans="1:14" x14ac:dyDescent="0.3">
      <c r="A19" s="3" t="s">
        <v>63</v>
      </c>
      <c r="B19" s="3" t="s">
        <v>47</v>
      </c>
      <c r="C19" s="3">
        <v>3</v>
      </c>
      <c r="D19" s="6">
        <v>36.6</v>
      </c>
      <c r="E19" s="6">
        <v>109.8</v>
      </c>
      <c r="F19" s="5">
        <v>45658</v>
      </c>
      <c r="G19" s="5">
        <v>45661</v>
      </c>
      <c r="H19" s="3" t="s">
        <v>31</v>
      </c>
      <c r="I19" s="4" t="s">
        <v>21</v>
      </c>
      <c r="J19" s="3">
        <v>4</v>
      </c>
      <c r="K19" s="3" t="s">
        <v>64</v>
      </c>
      <c r="L19" s="3">
        <v>3</v>
      </c>
      <c r="M19" s="3">
        <v>1</v>
      </c>
      <c r="N19" s="3" t="s">
        <v>33</v>
      </c>
    </row>
    <row r="20" spans="1:14" x14ac:dyDescent="0.3">
      <c r="A20" s="7" t="s">
        <v>65</v>
      </c>
      <c r="B20" s="7" t="s">
        <v>44</v>
      </c>
      <c r="C20" s="7">
        <v>8</v>
      </c>
      <c r="D20" s="10">
        <v>51.1</v>
      </c>
      <c r="E20" s="10">
        <v>408.8</v>
      </c>
      <c r="F20" s="9">
        <v>45658</v>
      </c>
      <c r="G20" s="9">
        <v>45661</v>
      </c>
      <c r="H20" s="7" t="s">
        <v>31</v>
      </c>
      <c r="I20" s="8" t="s">
        <v>45</v>
      </c>
      <c r="J20" s="7">
        <v>1</v>
      </c>
      <c r="K20" s="7" t="s">
        <v>64</v>
      </c>
      <c r="L20" s="7">
        <v>3</v>
      </c>
      <c r="M20" s="7">
        <v>1</v>
      </c>
      <c r="N20" s="7" t="s">
        <v>33</v>
      </c>
    </row>
    <row r="21" spans="1:14" x14ac:dyDescent="0.3">
      <c r="A21" s="3" t="s">
        <v>66</v>
      </c>
      <c r="B21" s="3" t="s">
        <v>51</v>
      </c>
      <c r="C21" s="3">
        <v>1</v>
      </c>
      <c r="D21" s="6">
        <v>25.2</v>
      </c>
      <c r="E21" s="6">
        <v>25.2</v>
      </c>
      <c r="F21" s="5">
        <v>45658</v>
      </c>
      <c r="G21" s="5">
        <v>45659</v>
      </c>
      <c r="H21" s="3" t="s">
        <v>31</v>
      </c>
      <c r="I21" s="4" t="s">
        <v>40</v>
      </c>
      <c r="J21" s="3">
        <v>5</v>
      </c>
      <c r="K21" s="3" t="s">
        <v>67</v>
      </c>
      <c r="L21" s="3">
        <v>1</v>
      </c>
      <c r="M21" s="3">
        <v>1</v>
      </c>
      <c r="N21" s="3" t="s">
        <v>33</v>
      </c>
    </row>
    <row r="22" spans="1:14" x14ac:dyDescent="0.3">
      <c r="A22" s="7" t="s">
        <v>68</v>
      </c>
      <c r="B22" s="7" t="s">
        <v>51</v>
      </c>
      <c r="C22" s="7">
        <v>5</v>
      </c>
      <c r="D22" s="10">
        <v>43.8</v>
      </c>
      <c r="E22" s="10">
        <v>219</v>
      </c>
      <c r="F22" s="9">
        <v>45658</v>
      </c>
      <c r="G22" s="9">
        <v>45661</v>
      </c>
      <c r="H22" s="7" t="s">
        <v>31</v>
      </c>
      <c r="I22" s="8" t="s">
        <v>45</v>
      </c>
      <c r="J22" s="7">
        <v>4</v>
      </c>
      <c r="K22" s="7" t="s">
        <v>67</v>
      </c>
      <c r="L22" s="7">
        <v>3</v>
      </c>
      <c r="M22" s="7">
        <v>1</v>
      </c>
      <c r="N22" s="7" t="s">
        <v>33</v>
      </c>
    </row>
    <row r="23" spans="1:14" x14ac:dyDescent="0.3">
      <c r="A23" s="3" t="s">
        <v>69</v>
      </c>
      <c r="B23" s="3" t="s">
        <v>49</v>
      </c>
      <c r="C23" s="3">
        <v>12</v>
      </c>
      <c r="D23" s="6">
        <v>46.7</v>
      </c>
      <c r="E23" s="6">
        <v>560.40000000000009</v>
      </c>
      <c r="F23" s="5">
        <v>45658</v>
      </c>
      <c r="G23" s="5">
        <v>45659</v>
      </c>
      <c r="H23" s="3" t="s">
        <v>31</v>
      </c>
      <c r="I23" s="4" t="s">
        <v>40</v>
      </c>
      <c r="J23" s="3">
        <v>3</v>
      </c>
      <c r="K23" s="3" t="s">
        <v>67</v>
      </c>
      <c r="L23" s="3">
        <v>1</v>
      </c>
      <c r="M23" s="3">
        <v>1</v>
      </c>
      <c r="N23" s="3" t="s">
        <v>33</v>
      </c>
    </row>
    <row r="24" spans="1:14" x14ac:dyDescent="0.3">
      <c r="A24" s="7" t="s">
        <v>70</v>
      </c>
      <c r="B24" s="7" t="s">
        <v>35</v>
      </c>
      <c r="C24" s="7">
        <v>19</v>
      </c>
      <c r="D24" s="10">
        <v>79.900000000000006</v>
      </c>
      <c r="E24" s="10">
        <v>1518.1</v>
      </c>
      <c r="F24" s="9">
        <v>45658</v>
      </c>
      <c r="G24" s="9">
        <v>45659</v>
      </c>
      <c r="H24" s="7" t="s">
        <v>26</v>
      </c>
      <c r="I24" s="8" t="s">
        <v>21</v>
      </c>
      <c r="J24" s="7">
        <v>5</v>
      </c>
      <c r="K24" s="7" t="s">
        <v>67</v>
      </c>
      <c r="L24" s="7">
        <v>1</v>
      </c>
      <c r="M24" s="7">
        <v>1</v>
      </c>
      <c r="N24" s="7" t="s">
        <v>28</v>
      </c>
    </row>
    <row r="25" spans="1:14" x14ac:dyDescent="0.3">
      <c r="A25" s="3" t="s">
        <v>71</v>
      </c>
      <c r="B25" s="3" t="s">
        <v>72</v>
      </c>
      <c r="C25" s="3">
        <v>8</v>
      </c>
      <c r="D25" s="6">
        <v>26.4</v>
      </c>
      <c r="E25" s="6">
        <v>211.2</v>
      </c>
      <c r="F25" s="5">
        <v>45658</v>
      </c>
      <c r="G25" s="5">
        <v>45659</v>
      </c>
      <c r="H25" s="3" t="s">
        <v>31</v>
      </c>
      <c r="I25" s="4" t="s">
        <v>56</v>
      </c>
      <c r="J25" s="3">
        <v>4</v>
      </c>
      <c r="K25" s="3" t="s">
        <v>67</v>
      </c>
      <c r="L25" s="3">
        <v>1</v>
      </c>
      <c r="M25" s="3">
        <v>1</v>
      </c>
      <c r="N25" s="3" t="s">
        <v>33</v>
      </c>
    </row>
    <row r="26" spans="1:14" x14ac:dyDescent="0.3">
      <c r="A26" s="7" t="s">
        <v>73</v>
      </c>
      <c r="B26" s="7" t="s">
        <v>74</v>
      </c>
      <c r="C26" s="7">
        <v>8</v>
      </c>
      <c r="D26" s="10">
        <v>88.8</v>
      </c>
      <c r="E26" s="10">
        <v>710.4</v>
      </c>
      <c r="F26" s="9">
        <v>45658</v>
      </c>
      <c r="G26" s="9">
        <v>45659</v>
      </c>
      <c r="H26" s="7" t="s">
        <v>31</v>
      </c>
      <c r="I26" s="8" t="s">
        <v>75</v>
      </c>
      <c r="J26" s="7">
        <v>4</v>
      </c>
      <c r="K26" s="7" t="s">
        <v>67</v>
      </c>
      <c r="L26" s="7">
        <v>1</v>
      </c>
      <c r="M26" s="7">
        <v>1</v>
      </c>
      <c r="N26" s="7" t="s">
        <v>33</v>
      </c>
    </row>
    <row r="27" spans="1:14" x14ac:dyDescent="0.3">
      <c r="A27" s="3" t="s">
        <v>76</v>
      </c>
      <c r="B27" s="3" t="s">
        <v>20</v>
      </c>
      <c r="C27" s="3">
        <v>10</v>
      </c>
      <c r="D27" s="6">
        <v>17.5</v>
      </c>
      <c r="E27" s="6">
        <v>175</v>
      </c>
      <c r="F27" s="5">
        <v>45658</v>
      </c>
      <c r="G27" s="5">
        <v>45659</v>
      </c>
      <c r="H27" s="3" t="s">
        <v>31</v>
      </c>
      <c r="I27" s="4" t="s">
        <v>45</v>
      </c>
      <c r="J27" s="3">
        <v>4</v>
      </c>
      <c r="K27" s="3" t="s">
        <v>77</v>
      </c>
      <c r="L27" s="3">
        <v>1</v>
      </c>
      <c r="M27" s="3">
        <v>1</v>
      </c>
      <c r="N27" s="3" t="s">
        <v>33</v>
      </c>
    </row>
    <row r="28" spans="1:14" x14ac:dyDescent="0.3">
      <c r="A28" s="7" t="s">
        <v>78</v>
      </c>
      <c r="B28" s="7" t="s">
        <v>25</v>
      </c>
      <c r="C28" s="7">
        <v>9</v>
      </c>
      <c r="D28" s="10">
        <v>38.700000000000003</v>
      </c>
      <c r="E28" s="10">
        <v>348.3</v>
      </c>
      <c r="F28" s="9">
        <v>45658</v>
      </c>
      <c r="G28" s="9">
        <v>45661</v>
      </c>
      <c r="H28" s="7" t="s">
        <v>26</v>
      </c>
      <c r="I28" s="8" t="s">
        <v>40</v>
      </c>
      <c r="J28" s="7">
        <v>4</v>
      </c>
      <c r="K28" s="7" t="s">
        <v>79</v>
      </c>
      <c r="L28" s="7">
        <v>3</v>
      </c>
      <c r="M28" s="7">
        <v>1</v>
      </c>
      <c r="N28" s="7" t="s">
        <v>28</v>
      </c>
    </row>
    <row r="29" spans="1:14" x14ac:dyDescent="0.3">
      <c r="A29" s="3" t="s">
        <v>80</v>
      </c>
      <c r="B29" s="3" t="s">
        <v>81</v>
      </c>
      <c r="C29" s="3">
        <v>4</v>
      </c>
      <c r="D29" s="6">
        <v>57.2</v>
      </c>
      <c r="E29" s="6">
        <v>228.8</v>
      </c>
      <c r="F29" s="5">
        <v>45658</v>
      </c>
      <c r="G29" s="5">
        <v>45660</v>
      </c>
      <c r="H29" s="3"/>
      <c r="I29" s="4" t="s">
        <v>40</v>
      </c>
      <c r="J29" s="3">
        <v>5</v>
      </c>
      <c r="K29" s="3" t="s">
        <v>82</v>
      </c>
      <c r="L29" s="3">
        <v>2</v>
      </c>
      <c r="M29" s="3">
        <v>1</v>
      </c>
      <c r="N29" s="3" t="s">
        <v>23</v>
      </c>
    </row>
    <row r="30" spans="1:14" x14ac:dyDescent="0.3">
      <c r="A30" s="7" t="s">
        <v>83</v>
      </c>
      <c r="B30" s="7" t="s">
        <v>44</v>
      </c>
      <c r="C30" s="7">
        <v>5</v>
      </c>
      <c r="D30" s="10">
        <v>50.9</v>
      </c>
      <c r="E30" s="10">
        <v>254.5</v>
      </c>
      <c r="F30" s="9">
        <v>45658</v>
      </c>
      <c r="G30" s="9">
        <v>45664</v>
      </c>
      <c r="H30" s="7"/>
      <c r="I30" s="8" t="s">
        <v>40</v>
      </c>
      <c r="J30" s="7">
        <v>5</v>
      </c>
      <c r="K30" s="7" t="s">
        <v>84</v>
      </c>
      <c r="L30" s="7">
        <v>6</v>
      </c>
      <c r="M30" s="7">
        <v>1</v>
      </c>
      <c r="N30" s="7" t="s">
        <v>23</v>
      </c>
    </row>
    <row r="31" spans="1:14" x14ac:dyDescent="0.3">
      <c r="A31" s="3" t="s">
        <v>85</v>
      </c>
      <c r="B31" s="3" t="s">
        <v>86</v>
      </c>
      <c r="C31" s="3">
        <v>7</v>
      </c>
      <c r="D31" s="6">
        <v>41</v>
      </c>
      <c r="E31" s="6">
        <v>287</v>
      </c>
      <c r="F31" s="5">
        <v>45658</v>
      </c>
      <c r="G31" s="5">
        <v>45662</v>
      </c>
      <c r="H31" s="3" t="s">
        <v>31</v>
      </c>
      <c r="I31" s="4" t="s">
        <v>40</v>
      </c>
      <c r="J31" s="3">
        <v>4</v>
      </c>
      <c r="K31" s="3" t="s">
        <v>87</v>
      </c>
      <c r="L31" s="3">
        <v>4</v>
      </c>
      <c r="M31" s="3">
        <v>1</v>
      </c>
      <c r="N31" s="3" t="s">
        <v>33</v>
      </c>
    </row>
    <row r="32" spans="1:14" x14ac:dyDescent="0.3">
      <c r="A32" s="7" t="s">
        <v>88</v>
      </c>
      <c r="B32" s="7" t="s">
        <v>49</v>
      </c>
      <c r="C32" s="7">
        <v>7</v>
      </c>
      <c r="D32" s="10">
        <v>19.100000000000001</v>
      </c>
      <c r="E32" s="10">
        <v>133.69999999999999</v>
      </c>
      <c r="F32" s="9">
        <v>45658</v>
      </c>
      <c r="G32" s="9">
        <v>45662</v>
      </c>
      <c r="H32" s="7" t="s">
        <v>26</v>
      </c>
      <c r="I32" s="8" t="s">
        <v>21</v>
      </c>
      <c r="J32" s="7">
        <v>5</v>
      </c>
      <c r="K32" s="7" t="s">
        <v>89</v>
      </c>
      <c r="L32" s="7">
        <v>4</v>
      </c>
      <c r="M32" s="7">
        <v>1</v>
      </c>
      <c r="N32" s="7" t="s">
        <v>28</v>
      </c>
    </row>
    <row r="33" spans="1:14" x14ac:dyDescent="0.3">
      <c r="A33" s="3" t="s">
        <v>90</v>
      </c>
      <c r="B33" s="3" t="s">
        <v>30</v>
      </c>
      <c r="C33" s="3">
        <v>5</v>
      </c>
      <c r="D33" s="6">
        <v>166.1</v>
      </c>
      <c r="E33" s="6">
        <v>830.5</v>
      </c>
      <c r="F33" s="5">
        <v>45658</v>
      </c>
      <c r="G33" s="5">
        <v>45661</v>
      </c>
      <c r="H33" s="3" t="s">
        <v>26</v>
      </c>
      <c r="I33" s="4" t="s">
        <v>21</v>
      </c>
      <c r="J33" s="3">
        <v>4</v>
      </c>
      <c r="K33" s="3" t="s">
        <v>91</v>
      </c>
      <c r="L33" s="3">
        <v>3</v>
      </c>
      <c r="M33" s="3">
        <v>1</v>
      </c>
      <c r="N33" s="3" t="s">
        <v>28</v>
      </c>
    </row>
    <row r="34" spans="1:14" x14ac:dyDescent="0.3">
      <c r="A34" s="7" t="s">
        <v>92</v>
      </c>
      <c r="B34" s="7" t="s">
        <v>37</v>
      </c>
      <c r="C34" s="7">
        <v>3</v>
      </c>
      <c r="D34" s="10">
        <v>29.9</v>
      </c>
      <c r="E34" s="10">
        <v>89.699999999999989</v>
      </c>
      <c r="F34" s="9">
        <v>45658</v>
      </c>
      <c r="G34" s="9">
        <v>45659</v>
      </c>
      <c r="H34" s="7" t="s">
        <v>26</v>
      </c>
      <c r="I34" s="8" t="s">
        <v>56</v>
      </c>
      <c r="J34" s="7">
        <v>4</v>
      </c>
      <c r="K34" s="7" t="s">
        <v>38</v>
      </c>
      <c r="L34" s="7">
        <v>1</v>
      </c>
      <c r="M34" s="7">
        <v>1</v>
      </c>
      <c r="N34" s="7" t="s">
        <v>28</v>
      </c>
    </row>
    <row r="35" spans="1:14" x14ac:dyDescent="0.3">
      <c r="A35" s="3" t="s">
        <v>93</v>
      </c>
      <c r="B35" s="3" t="s">
        <v>59</v>
      </c>
      <c r="C35" s="3">
        <v>6</v>
      </c>
      <c r="D35" s="6">
        <v>21.7</v>
      </c>
      <c r="E35" s="6">
        <v>130.19999999999999</v>
      </c>
      <c r="F35" s="5">
        <v>45658</v>
      </c>
      <c r="G35" s="5">
        <v>45660</v>
      </c>
      <c r="H35" s="3" t="s">
        <v>94</v>
      </c>
      <c r="I35" s="4" t="s">
        <v>45</v>
      </c>
      <c r="J35" s="3">
        <v>5</v>
      </c>
      <c r="K35" s="3" t="s">
        <v>38</v>
      </c>
      <c r="L35" s="3">
        <v>2</v>
      </c>
      <c r="M35" s="3">
        <v>1</v>
      </c>
      <c r="N35" s="3" t="s">
        <v>95</v>
      </c>
    </row>
    <row r="36" spans="1:14" x14ac:dyDescent="0.3">
      <c r="A36" s="7" t="s">
        <v>96</v>
      </c>
      <c r="B36" s="7" t="s">
        <v>72</v>
      </c>
      <c r="C36" s="7">
        <v>2</v>
      </c>
      <c r="D36" s="10">
        <v>32</v>
      </c>
      <c r="E36" s="10">
        <v>64</v>
      </c>
      <c r="F36" s="9">
        <v>45658</v>
      </c>
      <c r="G36" s="9">
        <v>45661</v>
      </c>
      <c r="H36" s="7" t="s">
        <v>26</v>
      </c>
      <c r="I36" s="8" t="s">
        <v>21</v>
      </c>
      <c r="J36" s="7">
        <v>5</v>
      </c>
      <c r="K36" s="7" t="s">
        <v>38</v>
      </c>
      <c r="L36" s="7">
        <v>3</v>
      </c>
      <c r="M36" s="7">
        <v>1</v>
      </c>
      <c r="N36" s="7" t="s">
        <v>28</v>
      </c>
    </row>
    <row r="37" spans="1:14" x14ac:dyDescent="0.3">
      <c r="A37" s="3" t="s">
        <v>97</v>
      </c>
      <c r="B37" s="3" t="s">
        <v>49</v>
      </c>
      <c r="C37" s="3">
        <v>2</v>
      </c>
      <c r="D37" s="6">
        <v>15.8</v>
      </c>
      <c r="E37" s="6">
        <v>31.6</v>
      </c>
      <c r="F37" s="5">
        <v>45658</v>
      </c>
      <c r="G37" s="5">
        <v>45659</v>
      </c>
      <c r="H37" s="3" t="s">
        <v>26</v>
      </c>
      <c r="I37" s="4" t="s">
        <v>75</v>
      </c>
      <c r="J37" s="3">
        <v>5</v>
      </c>
      <c r="K37" s="3" t="s">
        <v>38</v>
      </c>
      <c r="L37" s="3">
        <v>1</v>
      </c>
      <c r="M37" s="3">
        <v>1</v>
      </c>
      <c r="N37" s="3" t="s">
        <v>28</v>
      </c>
    </row>
    <row r="38" spans="1:14" x14ac:dyDescent="0.3">
      <c r="A38" s="7" t="s">
        <v>98</v>
      </c>
      <c r="B38" s="7" t="s">
        <v>30</v>
      </c>
      <c r="C38" s="7">
        <v>17</v>
      </c>
      <c r="D38" s="10">
        <v>203.1</v>
      </c>
      <c r="E38" s="10">
        <v>3452.7</v>
      </c>
      <c r="F38" s="9">
        <v>45658</v>
      </c>
      <c r="G38" s="9">
        <v>45662</v>
      </c>
      <c r="H38" s="7" t="s">
        <v>26</v>
      </c>
      <c r="I38" s="8" t="s">
        <v>56</v>
      </c>
      <c r="J38" s="7">
        <v>3</v>
      </c>
      <c r="K38" s="7" t="s">
        <v>38</v>
      </c>
      <c r="L38" s="7">
        <v>4</v>
      </c>
      <c r="M38" s="7">
        <v>1</v>
      </c>
      <c r="N38" s="7" t="s">
        <v>28</v>
      </c>
    </row>
    <row r="39" spans="1:14" x14ac:dyDescent="0.3">
      <c r="A39" s="3" t="s">
        <v>99</v>
      </c>
      <c r="B39" s="3" t="s">
        <v>47</v>
      </c>
      <c r="C39" s="3">
        <v>13</v>
      </c>
      <c r="D39" s="6">
        <v>39</v>
      </c>
      <c r="E39" s="6">
        <v>507</v>
      </c>
      <c r="F39" s="5">
        <v>45658</v>
      </c>
      <c r="G39" s="5">
        <v>45664</v>
      </c>
      <c r="H39" s="3" t="s">
        <v>26</v>
      </c>
      <c r="I39" s="4" t="s">
        <v>21</v>
      </c>
      <c r="J39" s="3">
        <v>5</v>
      </c>
      <c r="K39" s="3" t="s">
        <v>38</v>
      </c>
      <c r="L39" s="3">
        <v>6</v>
      </c>
      <c r="M39" s="3">
        <v>1</v>
      </c>
      <c r="N39" s="3" t="s">
        <v>28</v>
      </c>
    </row>
    <row r="40" spans="1:14" x14ac:dyDescent="0.3">
      <c r="A40" s="7" t="s">
        <v>100</v>
      </c>
      <c r="B40" s="7" t="s">
        <v>59</v>
      </c>
      <c r="C40" s="7">
        <v>1</v>
      </c>
      <c r="D40" s="10">
        <v>26.5</v>
      </c>
      <c r="E40" s="10">
        <v>26.5</v>
      </c>
      <c r="F40" s="9">
        <v>45659</v>
      </c>
      <c r="G40" s="9">
        <v>45660</v>
      </c>
      <c r="H40" s="7" t="s">
        <v>26</v>
      </c>
      <c r="I40" s="8" t="s">
        <v>45</v>
      </c>
      <c r="J40" s="7">
        <v>4</v>
      </c>
      <c r="K40" s="7" t="s">
        <v>38</v>
      </c>
      <c r="L40" s="7">
        <v>1</v>
      </c>
      <c r="M40" s="7">
        <v>1</v>
      </c>
      <c r="N40" s="7" t="s">
        <v>28</v>
      </c>
    </row>
    <row r="41" spans="1:14" x14ac:dyDescent="0.3">
      <c r="A41" s="3" t="s">
        <v>101</v>
      </c>
      <c r="B41" s="3" t="s">
        <v>42</v>
      </c>
      <c r="C41" s="3">
        <v>1</v>
      </c>
      <c r="D41" s="6">
        <v>43.1</v>
      </c>
      <c r="E41" s="6">
        <v>43.1</v>
      </c>
      <c r="F41" s="5">
        <v>45659</v>
      </c>
      <c r="G41" s="5">
        <v>45660</v>
      </c>
      <c r="H41" s="3" t="s">
        <v>31</v>
      </c>
      <c r="I41" s="4" t="s">
        <v>45</v>
      </c>
      <c r="J41" s="3">
        <v>3</v>
      </c>
      <c r="K41" s="3" t="s">
        <v>38</v>
      </c>
      <c r="L41" s="3">
        <v>1</v>
      </c>
      <c r="M41" s="3">
        <v>1</v>
      </c>
      <c r="N41" s="3" t="s">
        <v>33</v>
      </c>
    </row>
    <row r="42" spans="1:14" x14ac:dyDescent="0.3">
      <c r="A42" s="7" t="s">
        <v>102</v>
      </c>
      <c r="B42" s="7" t="s">
        <v>25</v>
      </c>
      <c r="C42" s="7">
        <v>3</v>
      </c>
      <c r="D42" s="10">
        <v>139</v>
      </c>
      <c r="E42" s="10">
        <v>417</v>
      </c>
      <c r="F42" s="9">
        <v>45659</v>
      </c>
      <c r="G42" s="9">
        <v>45660</v>
      </c>
      <c r="H42" s="7" t="s">
        <v>31</v>
      </c>
      <c r="I42" s="8" t="s">
        <v>75</v>
      </c>
      <c r="J42" s="7">
        <v>5</v>
      </c>
      <c r="K42" s="7" t="s">
        <v>38</v>
      </c>
      <c r="L42" s="7">
        <v>1</v>
      </c>
      <c r="M42" s="7">
        <v>1</v>
      </c>
      <c r="N42" s="7" t="s">
        <v>33</v>
      </c>
    </row>
    <row r="43" spans="1:14" x14ac:dyDescent="0.3">
      <c r="A43" s="3" t="s">
        <v>103</v>
      </c>
      <c r="B43" s="3" t="s">
        <v>74</v>
      </c>
      <c r="C43" s="3">
        <v>1</v>
      </c>
      <c r="D43" s="6">
        <v>80.7</v>
      </c>
      <c r="E43" s="6">
        <v>80.7</v>
      </c>
      <c r="F43" s="5">
        <v>45659</v>
      </c>
      <c r="G43" s="5">
        <v>45660</v>
      </c>
      <c r="H43" s="3" t="s">
        <v>26</v>
      </c>
      <c r="I43" s="4" t="s">
        <v>21</v>
      </c>
      <c r="J43" s="3">
        <v>5</v>
      </c>
      <c r="K43" s="3" t="s">
        <v>104</v>
      </c>
      <c r="L43" s="3">
        <v>1</v>
      </c>
      <c r="M43" s="3">
        <v>1</v>
      </c>
      <c r="N43" s="3" t="s">
        <v>28</v>
      </c>
    </row>
    <row r="44" spans="1:14" x14ac:dyDescent="0.3">
      <c r="A44" s="7" t="s">
        <v>105</v>
      </c>
      <c r="B44" s="7" t="s">
        <v>37</v>
      </c>
      <c r="C44" s="7">
        <v>2</v>
      </c>
      <c r="D44" s="10">
        <v>54.5</v>
      </c>
      <c r="E44" s="10">
        <v>109</v>
      </c>
      <c r="F44" s="9">
        <v>45659</v>
      </c>
      <c r="G44" s="9">
        <v>45661</v>
      </c>
      <c r="H44" s="7" t="s">
        <v>26</v>
      </c>
      <c r="I44" s="8" t="s">
        <v>40</v>
      </c>
      <c r="J44" s="7">
        <v>3</v>
      </c>
      <c r="K44" s="7" t="s">
        <v>60</v>
      </c>
      <c r="L44" s="7">
        <v>2</v>
      </c>
      <c r="M44" s="7">
        <v>1</v>
      </c>
      <c r="N44" s="7" t="s">
        <v>28</v>
      </c>
    </row>
    <row r="45" spans="1:14" x14ac:dyDescent="0.3">
      <c r="A45" s="3" t="s">
        <v>106</v>
      </c>
      <c r="B45" s="3" t="s">
        <v>44</v>
      </c>
      <c r="C45" s="3">
        <v>3</v>
      </c>
      <c r="D45" s="6">
        <v>68.599999999999994</v>
      </c>
      <c r="E45" s="6">
        <v>205.8</v>
      </c>
      <c r="F45" s="5">
        <v>45659</v>
      </c>
      <c r="G45" s="5">
        <v>45659</v>
      </c>
      <c r="H45" s="3" t="s">
        <v>31</v>
      </c>
      <c r="I45" s="4" t="s">
        <v>21</v>
      </c>
      <c r="J45" s="3">
        <v>3</v>
      </c>
      <c r="K45" s="3" t="s">
        <v>67</v>
      </c>
      <c r="L45" s="3">
        <v>0</v>
      </c>
      <c r="M45" s="3">
        <v>1</v>
      </c>
      <c r="N45" s="3" t="s">
        <v>33</v>
      </c>
    </row>
    <row r="46" spans="1:14" x14ac:dyDescent="0.3">
      <c r="A46" s="7" t="s">
        <v>107</v>
      </c>
      <c r="B46" s="7" t="s">
        <v>30</v>
      </c>
      <c r="C46" s="7">
        <v>4</v>
      </c>
      <c r="D46" s="10">
        <v>135.9</v>
      </c>
      <c r="E46" s="10">
        <v>543.6</v>
      </c>
      <c r="F46" s="9">
        <v>45659</v>
      </c>
      <c r="G46" s="9">
        <v>45660</v>
      </c>
      <c r="H46" s="7" t="s">
        <v>31</v>
      </c>
      <c r="I46" s="8" t="s">
        <v>45</v>
      </c>
      <c r="J46" s="7">
        <v>5</v>
      </c>
      <c r="K46" s="7" t="s">
        <v>67</v>
      </c>
      <c r="L46" s="7">
        <v>1</v>
      </c>
      <c r="M46" s="7">
        <v>1</v>
      </c>
      <c r="N46" s="7" t="s">
        <v>33</v>
      </c>
    </row>
    <row r="47" spans="1:14" x14ac:dyDescent="0.3">
      <c r="A47" s="3" t="s">
        <v>108</v>
      </c>
      <c r="B47" s="3" t="s">
        <v>30</v>
      </c>
      <c r="C47" s="3">
        <v>4</v>
      </c>
      <c r="D47" s="6">
        <v>70.900000000000006</v>
      </c>
      <c r="E47" s="6">
        <v>283.60000000000002</v>
      </c>
      <c r="F47" s="5">
        <v>45659</v>
      </c>
      <c r="G47" s="5">
        <v>45660</v>
      </c>
      <c r="H47" s="3" t="s">
        <v>31</v>
      </c>
      <c r="I47" s="4" t="s">
        <v>21</v>
      </c>
      <c r="J47" s="3">
        <v>4</v>
      </c>
      <c r="K47" s="3" t="s">
        <v>109</v>
      </c>
      <c r="L47" s="3">
        <v>1</v>
      </c>
      <c r="M47" s="3">
        <v>1</v>
      </c>
      <c r="N47" s="3" t="s">
        <v>33</v>
      </c>
    </row>
    <row r="48" spans="1:14" x14ac:dyDescent="0.3">
      <c r="A48" s="7" t="s">
        <v>110</v>
      </c>
      <c r="B48" s="7" t="s">
        <v>25</v>
      </c>
      <c r="C48" s="7">
        <v>5</v>
      </c>
      <c r="D48" s="10">
        <v>63.7</v>
      </c>
      <c r="E48" s="10">
        <v>318.5</v>
      </c>
      <c r="F48" s="9">
        <v>45659</v>
      </c>
      <c r="G48" s="9">
        <v>45660</v>
      </c>
      <c r="H48" s="7" t="s">
        <v>26</v>
      </c>
      <c r="I48" s="8" t="s">
        <v>40</v>
      </c>
      <c r="J48" s="7">
        <v>3</v>
      </c>
      <c r="K48" s="7" t="s">
        <v>77</v>
      </c>
      <c r="L48" s="7">
        <v>1</v>
      </c>
      <c r="M48" s="7">
        <v>1</v>
      </c>
      <c r="N48" s="7" t="s">
        <v>28</v>
      </c>
    </row>
    <row r="49" spans="1:14" x14ac:dyDescent="0.3">
      <c r="A49" s="3" t="s">
        <v>111</v>
      </c>
      <c r="B49" s="3" t="s">
        <v>81</v>
      </c>
      <c r="C49" s="3">
        <v>1</v>
      </c>
      <c r="D49" s="6">
        <v>29.7</v>
      </c>
      <c r="E49" s="6">
        <v>29.7</v>
      </c>
      <c r="F49" s="5">
        <v>45659</v>
      </c>
      <c r="G49" s="5">
        <v>45661</v>
      </c>
      <c r="H49" s="3" t="s">
        <v>31</v>
      </c>
      <c r="I49" s="4" t="s">
        <v>40</v>
      </c>
      <c r="J49" s="3">
        <v>4</v>
      </c>
      <c r="K49" s="3" t="s">
        <v>82</v>
      </c>
      <c r="L49" s="3">
        <v>2</v>
      </c>
      <c r="M49" s="3">
        <v>1</v>
      </c>
      <c r="N49" s="3" t="s">
        <v>33</v>
      </c>
    </row>
    <row r="50" spans="1:14" x14ac:dyDescent="0.3">
      <c r="A50" s="7" t="s">
        <v>112</v>
      </c>
      <c r="B50" s="7" t="s">
        <v>37</v>
      </c>
      <c r="C50" s="7">
        <v>3</v>
      </c>
      <c r="D50" s="10">
        <v>26.8</v>
      </c>
      <c r="E50" s="10">
        <v>80.400000000000006</v>
      </c>
      <c r="F50" s="9">
        <v>45659</v>
      </c>
      <c r="G50" s="9">
        <v>45668</v>
      </c>
      <c r="H50" s="7" t="s">
        <v>31</v>
      </c>
      <c r="I50" s="8" t="s">
        <v>40</v>
      </c>
      <c r="J50" s="7">
        <v>5</v>
      </c>
      <c r="K50" s="7" t="s">
        <v>82</v>
      </c>
      <c r="L50" s="7">
        <v>9</v>
      </c>
      <c r="M50" s="7">
        <v>1</v>
      </c>
      <c r="N50" s="7" t="s">
        <v>33</v>
      </c>
    </row>
    <row r="51" spans="1:14" x14ac:dyDescent="0.3">
      <c r="A51" s="3" t="s">
        <v>113</v>
      </c>
      <c r="B51" s="3" t="s">
        <v>86</v>
      </c>
      <c r="C51" s="3">
        <v>1</v>
      </c>
      <c r="D51" s="6">
        <v>27</v>
      </c>
      <c r="E51" s="6">
        <v>27</v>
      </c>
      <c r="F51" s="5">
        <v>45659</v>
      </c>
      <c r="G51" s="5">
        <v>45661</v>
      </c>
      <c r="H51" s="3" t="s">
        <v>31</v>
      </c>
      <c r="I51" s="4" t="s">
        <v>21</v>
      </c>
      <c r="J51" s="3">
        <v>4</v>
      </c>
      <c r="K51" s="3" t="s">
        <v>114</v>
      </c>
      <c r="L51" s="3">
        <v>2</v>
      </c>
      <c r="M51" s="3">
        <v>1</v>
      </c>
      <c r="N51" s="3" t="s">
        <v>33</v>
      </c>
    </row>
    <row r="52" spans="1:14" x14ac:dyDescent="0.3">
      <c r="A52" s="7" t="s">
        <v>115</v>
      </c>
      <c r="B52" s="7" t="s">
        <v>49</v>
      </c>
      <c r="C52" s="7">
        <v>1</v>
      </c>
      <c r="D52" s="10">
        <v>41.4</v>
      </c>
      <c r="E52" s="10">
        <v>41.4</v>
      </c>
      <c r="F52" s="9">
        <v>45659</v>
      </c>
      <c r="G52" s="9">
        <v>45660</v>
      </c>
      <c r="H52" s="7" t="s">
        <v>26</v>
      </c>
      <c r="I52" s="8" t="s">
        <v>40</v>
      </c>
      <c r="J52" s="7">
        <v>5</v>
      </c>
      <c r="K52" s="7" t="s">
        <v>116</v>
      </c>
      <c r="L52" s="7">
        <v>1</v>
      </c>
      <c r="M52" s="7">
        <v>1</v>
      </c>
      <c r="N52" s="7" t="s">
        <v>28</v>
      </c>
    </row>
    <row r="53" spans="1:14" x14ac:dyDescent="0.3">
      <c r="A53" s="3" t="s">
        <v>117</v>
      </c>
      <c r="B53" s="3" t="s">
        <v>49</v>
      </c>
      <c r="C53" s="3">
        <v>2</v>
      </c>
      <c r="D53" s="6">
        <v>24.3</v>
      </c>
      <c r="E53" s="6">
        <v>48.6</v>
      </c>
      <c r="F53" s="5">
        <v>45659</v>
      </c>
      <c r="G53" s="5">
        <v>45662</v>
      </c>
      <c r="H53" s="3" t="s">
        <v>31</v>
      </c>
      <c r="I53" s="4" t="s">
        <v>40</v>
      </c>
      <c r="J53" s="3">
        <v>4</v>
      </c>
      <c r="K53" s="3" t="s">
        <v>116</v>
      </c>
      <c r="L53" s="3">
        <v>3</v>
      </c>
      <c r="M53" s="3">
        <v>1</v>
      </c>
      <c r="N53" s="3" t="s">
        <v>33</v>
      </c>
    </row>
    <row r="54" spans="1:14" x14ac:dyDescent="0.3">
      <c r="A54" s="7" t="s">
        <v>118</v>
      </c>
      <c r="B54" s="7" t="s">
        <v>49</v>
      </c>
      <c r="C54" s="7">
        <v>3</v>
      </c>
      <c r="D54" s="10">
        <v>41.7</v>
      </c>
      <c r="E54" s="10">
        <v>125.1</v>
      </c>
      <c r="F54" s="9">
        <v>45659</v>
      </c>
      <c r="G54" s="9">
        <v>45661</v>
      </c>
      <c r="H54" s="7" t="s">
        <v>26</v>
      </c>
      <c r="I54" s="8" t="s">
        <v>21</v>
      </c>
      <c r="J54" s="7">
        <v>5</v>
      </c>
      <c r="K54" s="7" t="s">
        <v>119</v>
      </c>
      <c r="L54" s="7">
        <v>2</v>
      </c>
      <c r="M54" s="7">
        <v>1</v>
      </c>
      <c r="N54" s="7" t="s">
        <v>28</v>
      </c>
    </row>
    <row r="55" spans="1:14" x14ac:dyDescent="0.3">
      <c r="A55" s="3" t="s">
        <v>120</v>
      </c>
      <c r="B55" s="3" t="s">
        <v>20</v>
      </c>
      <c r="C55" s="3">
        <v>2</v>
      </c>
      <c r="D55" s="6">
        <v>18</v>
      </c>
      <c r="E55" s="6">
        <v>36</v>
      </c>
      <c r="F55" s="5">
        <v>45659</v>
      </c>
      <c r="G55" s="5">
        <v>45660</v>
      </c>
      <c r="H55" s="3" t="s">
        <v>31</v>
      </c>
      <c r="I55" s="4" t="s">
        <v>21</v>
      </c>
      <c r="J55" s="3">
        <v>5</v>
      </c>
      <c r="K55" s="3" t="s">
        <v>121</v>
      </c>
      <c r="L55" s="3">
        <v>1</v>
      </c>
      <c r="M55" s="3">
        <v>1</v>
      </c>
      <c r="N55" s="3" t="s">
        <v>33</v>
      </c>
    </row>
    <row r="56" spans="1:14" x14ac:dyDescent="0.3">
      <c r="A56" s="7" t="s">
        <v>122</v>
      </c>
      <c r="B56" s="7" t="s">
        <v>47</v>
      </c>
      <c r="C56" s="7">
        <v>3</v>
      </c>
      <c r="D56" s="10">
        <v>91.3</v>
      </c>
      <c r="E56" s="10">
        <v>273.89999999999998</v>
      </c>
      <c r="F56" s="9">
        <v>45659</v>
      </c>
      <c r="G56" s="9">
        <v>45662</v>
      </c>
      <c r="H56" s="7" t="s">
        <v>26</v>
      </c>
      <c r="I56" s="8" t="s">
        <v>45</v>
      </c>
      <c r="J56" s="7">
        <v>5</v>
      </c>
      <c r="K56" s="7" t="s">
        <v>38</v>
      </c>
      <c r="L56" s="7">
        <v>3</v>
      </c>
      <c r="M56" s="7">
        <v>1</v>
      </c>
      <c r="N56" s="7" t="s">
        <v>28</v>
      </c>
    </row>
    <row r="57" spans="1:14" x14ac:dyDescent="0.3">
      <c r="A57" s="3" t="s">
        <v>123</v>
      </c>
      <c r="B57" s="3" t="s">
        <v>49</v>
      </c>
      <c r="C57" s="3">
        <v>8</v>
      </c>
      <c r="D57" s="6">
        <v>19.3</v>
      </c>
      <c r="E57" s="6">
        <v>154.4</v>
      </c>
      <c r="F57" s="5">
        <v>45659</v>
      </c>
      <c r="G57" s="5">
        <v>45660</v>
      </c>
      <c r="H57" s="3" t="s">
        <v>26</v>
      </c>
      <c r="I57" s="4" t="s">
        <v>21</v>
      </c>
      <c r="J57" s="3">
        <v>4</v>
      </c>
      <c r="K57" s="3" t="s">
        <v>38</v>
      </c>
      <c r="L57" s="3">
        <v>1</v>
      </c>
      <c r="M57" s="3">
        <v>1</v>
      </c>
      <c r="N57" s="3" t="s">
        <v>28</v>
      </c>
    </row>
    <row r="58" spans="1:14" x14ac:dyDescent="0.3">
      <c r="A58" s="7" t="s">
        <v>124</v>
      </c>
      <c r="B58" s="7" t="s">
        <v>74</v>
      </c>
      <c r="C58" s="7">
        <v>13</v>
      </c>
      <c r="D58" s="10">
        <v>63.2</v>
      </c>
      <c r="E58" s="10">
        <v>821.6</v>
      </c>
      <c r="F58" s="9">
        <v>45659</v>
      </c>
      <c r="G58" s="9">
        <v>45660</v>
      </c>
      <c r="H58" s="7" t="s">
        <v>31</v>
      </c>
      <c r="I58" s="8" t="s">
        <v>21</v>
      </c>
      <c r="J58" s="7">
        <v>4</v>
      </c>
      <c r="K58" s="7" t="s">
        <v>38</v>
      </c>
      <c r="L58" s="7">
        <v>1</v>
      </c>
      <c r="M58" s="7">
        <v>1</v>
      </c>
      <c r="N58" s="7" t="s">
        <v>33</v>
      </c>
    </row>
    <row r="59" spans="1:14" x14ac:dyDescent="0.3">
      <c r="A59" s="3" t="s">
        <v>125</v>
      </c>
      <c r="B59" s="3" t="s">
        <v>59</v>
      </c>
      <c r="C59" s="3">
        <v>9</v>
      </c>
      <c r="D59" s="6">
        <v>33.299999999999997</v>
      </c>
      <c r="E59" s="6">
        <v>299.7</v>
      </c>
      <c r="F59" s="5">
        <v>45660</v>
      </c>
      <c r="G59" s="5">
        <v>45668</v>
      </c>
      <c r="H59" s="3" t="s">
        <v>31</v>
      </c>
      <c r="I59" s="4" t="s">
        <v>21</v>
      </c>
      <c r="J59" s="3">
        <v>5</v>
      </c>
      <c r="K59" s="3" t="s">
        <v>38</v>
      </c>
      <c r="L59" s="3">
        <v>8</v>
      </c>
      <c r="M59" s="3">
        <v>1</v>
      </c>
      <c r="N59" s="3" t="s">
        <v>33</v>
      </c>
    </row>
    <row r="60" spans="1:14" x14ac:dyDescent="0.3">
      <c r="A60" s="7" t="s">
        <v>126</v>
      </c>
      <c r="B60" s="7" t="s">
        <v>47</v>
      </c>
      <c r="C60" s="7">
        <v>2</v>
      </c>
      <c r="D60" s="10">
        <v>64.2</v>
      </c>
      <c r="E60" s="10">
        <v>128.4</v>
      </c>
      <c r="F60" s="9">
        <v>45660</v>
      </c>
      <c r="G60" s="9">
        <v>45661</v>
      </c>
      <c r="H60" s="7" t="s">
        <v>26</v>
      </c>
      <c r="I60" s="8" t="s">
        <v>21</v>
      </c>
      <c r="J60" s="7">
        <v>5</v>
      </c>
      <c r="K60" s="7" t="s">
        <v>38</v>
      </c>
      <c r="L60" s="7">
        <v>1</v>
      </c>
      <c r="M60" s="7">
        <v>1</v>
      </c>
      <c r="N60" s="7" t="s">
        <v>28</v>
      </c>
    </row>
    <row r="61" spans="1:14" x14ac:dyDescent="0.3">
      <c r="A61" s="3" t="s">
        <v>127</v>
      </c>
      <c r="B61" s="3" t="s">
        <v>51</v>
      </c>
      <c r="C61" s="3">
        <v>3</v>
      </c>
      <c r="D61" s="6">
        <v>23.1</v>
      </c>
      <c r="E61" s="6">
        <v>69.300000000000011</v>
      </c>
      <c r="F61" s="5">
        <v>45660</v>
      </c>
      <c r="G61" s="5">
        <v>45663</v>
      </c>
      <c r="H61" s="3" t="s">
        <v>31</v>
      </c>
      <c r="I61" s="4" t="s">
        <v>40</v>
      </c>
      <c r="J61" s="3">
        <v>5</v>
      </c>
      <c r="K61" s="3" t="s">
        <v>38</v>
      </c>
      <c r="L61" s="3">
        <v>3</v>
      </c>
      <c r="M61" s="3">
        <v>1</v>
      </c>
      <c r="N61" s="3" t="s">
        <v>33</v>
      </c>
    </row>
    <row r="62" spans="1:14" x14ac:dyDescent="0.3">
      <c r="A62" s="7" t="s">
        <v>128</v>
      </c>
      <c r="B62" s="7" t="s">
        <v>129</v>
      </c>
      <c r="C62" s="7">
        <v>2</v>
      </c>
      <c r="D62" s="10">
        <v>71.099999999999994</v>
      </c>
      <c r="E62" s="10">
        <v>142.19999999999999</v>
      </c>
      <c r="F62" s="9">
        <v>45660</v>
      </c>
      <c r="G62" s="9">
        <v>45662</v>
      </c>
      <c r="H62" s="7" t="s">
        <v>31</v>
      </c>
      <c r="I62" s="8" t="s">
        <v>56</v>
      </c>
      <c r="J62" s="7">
        <v>3</v>
      </c>
      <c r="K62" s="7" t="s">
        <v>38</v>
      </c>
      <c r="L62" s="7">
        <v>2</v>
      </c>
      <c r="M62" s="7">
        <v>1</v>
      </c>
      <c r="N62" s="7" t="s">
        <v>33</v>
      </c>
    </row>
    <row r="63" spans="1:14" x14ac:dyDescent="0.3">
      <c r="A63" s="3" t="s">
        <v>130</v>
      </c>
      <c r="B63" s="3" t="s">
        <v>20</v>
      </c>
      <c r="C63" s="3">
        <v>2</v>
      </c>
      <c r="D63" s="6">
        <v>11.5</v>
      </c>
      <c r="E63" s="6">
        <v>23</v>
      </c>
      <c r="F63" s="5">
        <v>45660</v>
      </c>
      <c r="G63" s="5">
        <v>45661</v>
      </c>
      <c r="H63" s="3" t="s">
        <v>31</v>
      </c>
      <c r="I63" s="4" t="s">
        <v>21</v>
      </c>
      <c r="J63" s="3">
        <v>4</v>
      </c>
      <c r="K63" s="3" t="s">
        <v>38</v>
      </c>
      <c r="L63" s="3">
        <v>1</v>
      </c>
      <c r="M63" s="3">
        <v>1</v>
      </c>
      <c r="N63" s="3" t="s">
        <v>33</v>
      </c>
    </row>
    <row r="64" spans="1:14" x14ac:dyDescent="0.3">
      <c r="A64" s="7" t="s">
        <v>131</v>
      </c>
      <c r="B64" s="7" t="s">
        <v>129</v>
      </c>
      <c r="C64" s="7">
        <v>19</v>
      </c>
      <c r="D64" s="10">
        <v>69.2</v>
      </c>
      <c r="E64" s="10">
        <v>1314.8</v>
      </c>
      <c r="F64" s="9">
        <v>45660</v>
      </c>
      <c r="G64" s="9">
        <v>45665</v>
      </c>
      <c r="H64" s="7" t="s">
        <v>31</v>
      </c>
      <c r="I64" s="8" t="s">
        <v>21</v>
      </c>
      <c r="J64" s="7">
        <v>4</v>
      </c>
      <c r="K64" s="7" t="s">
        <v>38</v>
      </c>
      <c r="L64" s="7">
        <v>5</v>
      </c>
      <c r="M64" s="7">
        <v>1</v>
      </c>
      <c r="N64" s="7" t="s">
        <v>33</v>
      </c>
    </row>
    <row r="65" spans="1:14" x14ac:dyDescent="0.3">
      <c r="A65" s="3" t="s">
        <v>132</v>
      </c>
      <c r="B65" s="3" t="s">
        <v>20</v>
      </c>
      <c r="C65" s="3">
        <v>1</v>
      </c>
      <c r="D65" s="6">
        <v>26.8</v>
      </c>
      <c r="E65" s="6">
        <v>26.8</v>
      </c>
      <c r="F65" s="5">
        <v>45660</v>
      </c>
      <c r="G65" s="5">
        <v>45661</v>
      </c>
      <c r="H65" s="3" t="s">
        <v>26</v>
      </c>
      <c r="I65" s="4" t="s">
        <v>45</v>
      </c>
      <c r="J65" s="3">
        <v>2</v>
      </c>
      <c r="K65" s="3" t="s">
        <v>38</v>
      </c>
      <c r="L65" s="3">
        <v>1</v>
      </c>
      <c r="M65" s="3">
        <v>1</v>
      </c>
      <c r="N65" s="3" t="s">
        <v>28</v>
      </c>
    </row>
    <row r="66" spans="1:14" x14ac:dyDescent="0.3">
      <c r="A66" s="7" t="s">
        <v>133</v>
      </c>
      <c r="B66" s="7" t="s">
        <v>134</v>
      </c>
      <c r="C66" s="7">
        <v>3</v>
      </c>
      <c r="D66" s="10">
        <v>31.2</v>
      </c>
      <c r="E66" s="10">
        <v>93.6</v>
      </c>
      <c r="F66" s="9">
        <v>45660</v>
      </c>
      <c r="G66" s="9">
        <v>45663</v>
      </c>
      <c r="H66" s="7" t="s">
        <v>31</v>
      </c>
      <c r="I66" s="8" t="s">
        <v>21</v>
      </c>
      <c r="J66" s="7">
        <v>4</v>
      </c>
      <c r="K66" s="7" t="s">
        <v>38</v>
      </c>
      <c r="L66" s="7">
        <v>3</v>
      </c>
      <c r="M66" s="7">
        <v>1</v>
      </c>
      <c r="N66" s="7" t="s">
        <v>33</v>
      </c>
    </row>
    <row r="67" spans="1:14" x14ac:dyDescent="0.3">
      <c r="A67" s="3" t="s">
        <v>135</v>
      </c>
      <c r="B67" s="3" t="s">
        <v>74</v>
      </c>
      <c r="C67" s="3">
        <v>2</v>
      </c>
      <c r="D67" s="6">
        <v>113.2</v>
      </c>
      <c r="E67" s="6">
        <v>226.4</v>
      </c>
      <c r="F67" s="5">
        <v>45660</v>
      </c>
      <c r="G67" s="5">
        <v>45661</v>
      </c>
      <c r="H67" s="3" t="s">
        <v>31</v>
      </c>
      <c r="I67" s="4" t="s">
        <v>75</v>
      </c>
      <c r="J67" s="3">
        <v>4</v>
      </c>
      <c r="K67" s="3" t="s">
        <v>38</v>
      </c>
      <c r="L67" s="3">
        <v>1</v>
      </c>
      <c r="M67" s="3">
        <v>1</v>
      </c>
      <c r="N67" s="3" t="s">
        <v>33</v>
      </c>
    </row>
    <row r="68" spans="1:14" x14ac:dyDescent="0.3">
      <c r="A68" s="7" t="s">
        <v>136</v>
      </c>
      <c r="B68" s="7" t="s">
        <v>59</v>
      </c>
      <c r="C68" s="7">
        <v>8</v>
      </c>
      <c r="D68" s="10">
        <v>21</v>
      </c>
      <c r="E68" s="10">
        <v>168</v>
      </c>
      <c r="F68" s="9">
        <v>45660</v>
      </c>
      <c r="G68" s="9">
        <v>45661</v>
      </c>
      <c r="H68" s="7" t="s">
        <v>26</v>
      </c>
      <c r="I68" s="8" t="s">
        <v>21</v>
      </c>
      <c r="J68" s="7">
        <v>4</v>
      </c>
      <c r="K68" s="7" t="s">
        <v>60</v>
      </c>
      <c r="L68" s="7">
        <v>1</v>
      </c>
      <c r="M68" s="7">
        <v>1</v>
      </c>
      <c r="N68" s="7" t="s">
        <v>28</v>
      </c>
    </row>
    <row r="69" spans="1:14" x14ac:dyDescent="0.3">
      <c r="A69" s="3" t="s">
        <v>137</v>
      </c>
      <c r="B69" s="3" t="s">
        <v>25</v>
      </c>
      <c r="C69" s="3">
        <v>2</v>
      </c>
      <c r="D69" s="6">
        <v>89.1</v>
      </c>
      <c r="E69" s="6">
        <v>178.2</v>
      </c>
      <c r="F69" s="5">
        <v>45660</v>
      </c>
      <c r="G69" s="5">
        <v>45661</v>
      </c>
      <c r="H69" s="3" t="s">
        <v>31</v>
      </c>
      <c r="I69" s="4" t="s">
        <v>45</v>
      </c>
      <c r="J69" s="3">
        <v>5</v>
      </c>
      <c r="K69" s="3" t="s">
        <v>60</v>
      </c>
      <c r="L69" s="3">
        <v>1</v>
      </c>
      <c r="M69" s="3">
        <v>1</v>
      </c>
      <c r="N69" s="3" t="s">
        <v>33</v>
      </c>
    </row>
    <row r="70" spans="1:14" x14ac:dyDescent="0.3">
      <c r="A70" s="7" t="s">
        <v>138</v>
      </c>
      <c r="B70" s="7" t="s">
        <v>25</v>
      </c>
      <c r="C70" s="7">
        <v>1</v>
      </c>
      <c r="D70" s="10">
        <v>97.7</v>
      </c>
      <c r="E70" s="10">
        <v>97.7</v>
      </c>
      <c r="F70" s="9">
        <v>45660</v>
      </c>
      <c r="G70" s="9">
        <v>45662</v>
      </c>
      <c r="H70" s="7" t="s">
        <v>31</v>
      </c>
      <c r="I70" s="8" t="s">
        <v>21</v>
      </c>
      <c r="J70" s="7">
        <v>3</v>
      </c>
      <c r="K70" s="7" t="s">
        <v>60</v>
      </c>
      <c r="L70" s="7">
        <v>2</v>
      </c>
      <c r="M70" s="7">
        <v>1</v>
      </c>
      <c r="N70" s="7" t="s">
        <v>33</v>
      </c>
    </row>
    <row r="71" spans="1:14" x14ac:dyDescent="0.3">
      <c r="A71" s="3" t="s">
        <v>139</v>
      </c>
      <c r="B71" s="3" t="s">
        <v>129</v>
      </c>
      <c r="C71" s="3">
        <v>4</v>
      </c>
      <c r="D71" s="6">
        <v>97.7</v>
      </c>
      <c r="E71" s="6">
        <v>390.8</v>
      </c>
      <c r="F71" s="5">
        <v>45660</v>
      </c>
      <c r="G71" s="5">
        <v>45662</v>
      </c>
      <c r="H71" s="3" t="s">
        <v>26</v>
      </c>
      <c r="I71" s="4" t="s">
        <v>56</v>
      </c>
      <c r="J71" s="3">
        <v>4</v>
      </c>
      <c r="K71" s="3" t="s">
        <v>60</v>
      </c>
      <c r="L71" s="3">
        <v>2</v>
      </c>
      <c r="M71" s="3">
        <v>1</v>
      </c>
      <c r="N71" s="3" t="s">
        <v>28</v>
      </c>
    </row>
    <row r="72" spans="1:14" x14ac:dyDescent="0.3">
      <c r="A72" s="7" t="s">
        <v>140</v>
      </c>
      <c r="B72" s="7" t="s">
        <v>141</v>
      </c>
      <c r="C72" s="7">
        <v>3</v>
      </c>
      <c r="D72" s="10">
        <v>47.4</v>
      </c>
      <c r="E72" s="10">
        <v>142.19999999999999</v>
      </c>
      <c r="F72" s="9">
        <v>45660</v>
      </c>
      <c r="G72" s="9">
        <v>45663</v>
      </c>
      <c r="H72" s="7" t="s">
        <v>26</v>
      </c>
      <c r="I72" s="8" t="s">
        <v>56</v>
      </c>
      <c r="J72" s="7">
        <v>5</v>
      </c>
      <c r="K72" s="7" t="s">
        <v>67</v>
      </c>
      <c r="L72" s="7">
        <v>3</v>
      </c>
      <c r="M72" s="7">
        <v>1</v>
      </c>
      <c r="N72" s="7" t="s">
        <v>28</v>
      </c>
    </row>
    <row r="73" spans="1:14" x14ac:dyDescent="0.3">
      <c r="A73" s="3" t="s">
        <v>142</v>
      </c>
      <c r="B73" s="3" t="s">
        <v>47</v>
      </c>
      <c r="C73" s="3">
        <v>1</v>
      </c>
      <c r="D73" s="6">
        <v>89.6</v>
      </c>
      <c r="E73" s="6">
        <v>89.6</v>
      </c>
      <c r="F73" s="5">
        <v>45660</v>
      </c>
      <c r="G73" s="5">
        <v>45663</v>
      </c>
      <c r="H73" s="3" t="s">
        <v>31</v>
      </c>
      <c r="I73" s="4" t="s">
        <v>21</v>
      </c>
      <c r="J73" s="3">
        <v>5</v>
      </c>
      <c r="K73" s="3" t="s">
        <v>67</v>
      </c>
      <c r="L73" s="3">
        <v>3</v>
      </c>
      <c r="M73" s="3">
        <v>1</v>
      </c>
      <c r="N73" s="3" t="s">
        <v>33</v>
      </c>
    </row>
    <row r="74" spans="1:14" x14ac:dyDescent="0.3">
      <c r="A74" s="7" t="s">
        <v>143</v>
      </c>
      <c r="B74" s="7" t="s">
        <v>59</v>
      </c>
      <c r="C74" s="7">
        <v>18</v>
      </c>
      <c r="D74" s="10">
        <v>28.4</v>
      </c>
      <c r="E74" s="10">
        <v>511.2</v>
      </c>
      <c r="F74" s="9">
        <v>45660</v>
      </c>
      <c r="G74" s="9">
        <v>45663</v>
      </c>
      <c r="H74" s="7" t="s">
        <v>31</v>
      </c>
      <c r="I74" s="8" t="s">
        <v>56</v>
      </c>
      <c r="J74" s="7">
        <v>5</v>
      </c>
      <c r="K74" s="7" t="s">
        <v>109</v>
      </c>
      <c r="L74" s="7">
        <v>3</v>
      </c>
      <c r="M74" s="7">
        <v>1</v>
      </c>
      <c r="N74" s="7" t="s">
        <v>33</v>
      </c>
    </row>
    <row r="75" spans="1:14" x14ac:dyDescent="0.3">
      <c r="A75" s="3" t="s">
        <v>144</v>
      </c>
      <c r="B75" s="3" t="s">
        <v>20</v>
      </c>
      <c r="C75" s="3">
        <v>2</v>
      </c>
      <c r="D75" s="6">
        <v>17.899999999999999</v>
      </c>
      <c r="E75" s="6">
        <v>35.799999999999997</v>
      </c>
      <c r="F75" s="5">
        <v>45660</v>
      </c>
      <c r="G75" s="5">
        <v>45661</v>
      </c>
      <c r="H75" s="3" t="s">
        <v>31</v>
      </c>
      <c r="I75" s="4" t="s">
        <v>21</v>
      </c>
      <c r="J75" s="3">
        <v>5</v>
      </c>
      <c r="K75" s="3" t="s">
        <v>77</v>
      </c>
      <c r="L75" s="3">
        <v>1</v>
      </c>
      <c r="M75" s="3">
        <v>1</v>
      </c>
      <c r="N75" s="3" t="s">
        <v>33</v>
      </c>
    </row>
    <row r="76" spans="1:14" x14ac:dyDescent="0.3">
      <c r="A76" s="7" t="s">
        <v>145</v>
      </c>
      <c r="B76" s="7" t="s">
        <v>51</v>
      </c>
      <c r="C76" s="7">
        <v>2</v>
      </c>
      <c r="D76" s="10">
        <v>48.4</v>
      </c>
      <c r="E76" s="10">
        <v>96.8</v>
      </c>
      <c r="F76" s="9">
        <v>45660</v>
      </c>
      <c r="G76" s="9">
        <v>45663</v>
      </c>
      <c r="H76" s="7" t="s">
        <v>26</v>
      </c>
      <c r="I76" s="8" t="s">
        <v>40</v>
      </c>
      <c r="J76" s="7">
        <v>4</v>
      </c>
      <c r="K76" s="7" t="s">
        <v>77</v>
      </c>
      <c r="L76" s="7">
        <v>3</v>
      </c>
      <c r="M76" s="7">
        <v>1</v>
      </c>
      <c r="N76" s="7" t="s">
        <v>28</v>
      </c>
    </row>
    <row r="77" spans="1:14" x14ac:dyDescent="0.3">
      <c r="A77" s="3" t="s">
        <v>146</v>
      </c>
      <c r="B77" s="3" t="s">
        <v>74</v>
      </c>
      <c r="C77" s="3">
        <v>4</v>
      </c>
      <c r="D77" s="6">
        <v>44.4</v>
      </c>
      <c r="E77" s="6">
        <v>177.6</v>
      </c>
      <c r="F77" s="5">
        <v>45660</v>
      </c>
      <c r="G77" s="5">
        <v>45661</v>
      </c>
      <c r="H77" s="3" t="s">
        <v>94</v>
      </c>
      <c r="I77" s="4" t="s">
        <v>40</v>
      </c>
      <c r="J77" s="3">
        <v>3</v>
      </c>
      <c r="K77" s="3" t="s">
        <v>82</v>
      </c>
      <c r="L77" s="3">
        <v>1</v>
      </c>
      <c r="M77" s="3">
        <v>1</v>
      </c>
      <c r="N77" s="3" t="s">
        <v>95</v>
      </c>
    </row>
    <row r="78" spans="1:14" x14ac:dyDescent="0.3">
      <c r="A78" s="7" t="s">
        <v>147</v>
      </c>
      <c r="B78" s="7" t="s">
        <v>30</v>
      </c>
      <c r="C78" s="7">
        <v>8</v>
      </c>
      <c r="D78" s="10">
        <v>103.7</v>
      </c>
      <c r="E78" s="10">
        <v>829.6</v>
      </c>
      <c r="F78" s="9">
        <v>45660</v>
      </c>
      <c r="G78" s="9">
        <v>45661</v>
      </c>
      <c r="H78" s="7" t="s">
        <v>31</v>
      </c>
      <c r="I78" s="8" t="s">
        <v>21</v>
      </c>
      <c r="J78" s="7">
        <v>3</v>
      </c>
      <c r="K78" s="7" t="s">
        <v>116</v>
      </c>
      <c r="L78" s="7">
        <v>1</v>
      </c>
      <c r="M78" s="7">
        <v>1</v>
      </c>
      <c r="N78" s="7" t="s">
        <v>33</v>
      </c>
    </row>
    <row r="79" spans="1:14" x14ac:dyDescent="0.3">
      <c r="A79" s="3" t="s">
        <v>148</v>
      </c>
      <c r="B79" s="3" t="s">
        <v>42</v>
      </c>
      <c r="C79" s="3">
        <v>4</v>
      </c>
      <c r="D79" s="6">
        <v>58.6</v>
      </c>
      <c r="E79" s="6">
        <v>234.4</v>
      </c>
      <c r="F79" s="5">
        <v>45660</v>
      </c>
      <c r="G79" s="5">
        <v>45662</v>
      </c>
      <c r="H79" s="3" t="s">
        <v>26</v>
      </c>
      <c r="I79" s="4" t="s">
        <v>56</v>
      </c>
      <c r="J79" s="3">
        <v>4</v>
      </c>
      <c r="K79" s="3" t="s">
        <v>116</v>
      </c>
      <c r="L79" s="3">
        <v>2</v>
      </c>
      <c r="M79" s="3">
        <v>1</v>
      </c>
      <c r="N79" s="3" t="s">
        <v>28</v>
      </c>
    </row>
    <row r="80" spans="1:14" x14ac:dyDescent="0.3">
      <c r="A80" s="7" t="s">
        <v>149</v>
      </c>
      <c r="B80" s="7" t="s">
        <v>51</v>
      </c>
      <c r="C80" s="7">
        <v>4</v>
      </c>
      <c r="D80" s="10">
        <v>54.8</v>
      </c>
      <c r="E80" s="10">
        <v>219.2</v>
      </c>
      <c r="F80" s="9">
        <v>45660</v>
      </c>
      <c r="G80" s="9">
        <v>45664</v>
      </c>
      <c r="H80" s="7" t="s">
        <v>31</v>
      </c>
      <c r="I80" s="8" t="s">
        <v>45</v>
      </c>
      <c r="J80" s="7">
        <v>3</v>
      </c>
      <c r="K80" s="7" t="s">
        <v>87</v>
      </c>
      <c r="L80" s="7">
        <v>4</v>
      </c>
      <c r="M80" s="7">
        <v>1</v>
      </c>
      <c r="N80" s="7" t="s">
        <v>33</v>
      </c>
    </row>
    <row r="81" spans="1:14" x14ac:dyDescent="0.3">
      <c r="A81" s="3" t="s">
        <v>150</v>
      </c>
      <c r="B81" s="3" t="s">
        <v>74</v>
      </c>
      <c r="C81" s="3">
        <v>3</v>
      </c>
      <c r="D81" s="6">
        <v>78.8</v>
      </c>
      <c r="E81" s="6">
        <v>236.4</v>
      </c>
      <c r="F81" s="5">
        <v>45660</v>
      </c>
      <c r="G81" s="5">
        <v>45666</v>
      </c>
      <c r="H81" s="3" t="s">
        <v>31</v>
      </c>
      <c r="I81" s="4" t="s">
        <v>75</v>
      </c>
      <c r="J81" s="3">
        <v>3</v>
      </c>
      <c r="K81" s="3" t="s">
        <v>121</v>
      </c>
      <c r="L81" s="3">
        <v>6</v>
      </c>
      <c r="M81" s="3">
        <v>1</v>
      </c>
      <c r="N81" s="3" t="s">
        <v>33</v>
      </c>
    </row>
    <row r="82" spans="1:14" x14ac:dyDescent="0.3">
      <c r="A82" s="7" t="s">
        <v>151</v>
      </c>
      <c r="B82" s="7" t="s">
        <v>152</v>
      </c>
      <c r="C82" s="7">
        <v>5</v>
      </c>
      <c r="D82" s="10">
        <v>36.799999999999997</v>
      </c>
      <c r="E82" s="10">
        <v>184</v>
      </c>
      <c r="F82" s="9">
        <v>45660</v>
      </c>
      <c r="G82" s="9">
        <v>45663</v>
      </c>
      <c r="H82" s="7" t="s">
        <v>26</v>
      </c>
      <c r="I82" s="8" t="s">
        <v>75</v>
      </c>
      <c r="J82" s="7">
        <v>3</v>
      </c>
      <c r="K82" s="7" t="s">
        <v>153</v>
      </c>
      <c r="L82" s="7">
        <v>3</v>
      </c>
      <c r="M82" s="7">
        <v>1</v>
      </c>
      <c r="N82" s="7" t="s">
        <v>28</v>
      </c>
    </row>
    <row r="83" spans="1:14" x14ac:dyDescent="0.3">
      <c r="A83" s="3" t="s">
        <v>154</v>
      </c>
      <c r="B83" s="3" t="s">
        <v>44</v>
      </c>
      <c r="C83" s="3">
        <v>6</v>
      </c>
      <c r="D83" s="6">
        <v>50.6</v>
      </c>
      <c r="E83" s="6">
        <v>303.60000000000002</v>
      </c>
      <c r="F83" s="5">
        <v>45660</v>
      </c>
      <c r="G83" s="5">
        <v>45662</v>
      </c>
      <c r="H83" s="3" t="s">
        <v>31</v>
      </c>
      <c r="I83" s="4" t="s">
        <v>56</v>
      </c>
      <c r="J83" s="3">
        <v>4</v>
      </c>
      <c r="K83" s="3" t="s">
        <v>38</v>
      </c>
      <c r="L83" s="3">
        <v>2</v>
      </c>
      <c r="M83" s="3">
        <v>1</v>
      </c>
      <c r="N83" s="3" t="s">
        <v>33</v>
      </c>
    </row>
    <row r="84" spans="1:14" x14ac:dyDescent="0.3">
      <c r="A84" s="7" t="s">
        <v>155</v>
      </c>
      <c r="B84" s="7" t="s">
        <v>129</v>
      </c>
      <c r="C84" s="7">
        <v>3</v>
      </c>
      <c r="D84" s="10">
        <v>36.799999999999997</v>
      </c>
      <c r="E84" s="10">
        <v>110.4</v>
      </c>
      <c r="F84" s="9">
        <v>45660</v>
      </c>
      <c r="G84" s="9">
        <v>45660</v>
      </c>
      <c r="H84" s="7" t="s">
        <v>26</v>
      </c>
      <c r="I84" s="8" t="s">
        <v>45</v>
      </c>
      <c r="J84" s="7">
        <v>3</v>
      </c>
      <c r="K84" s="7" t="s">
        <v>38</v>
      </c>
      <c r="L84" s="7">
        <v>0</v>
      </c>
      <c r="M84" s="7">
        <v>1</v>
      </c>
      <c r="N84" s="7" t="s">
        <v>28</v>
      </c>
    </row>
    <row r="85" spans="1:14" x14ac:dyDescent="0.3">
      <c r="A85" s="3" t="s">
        <v>156</v>
      </c>
      <c r="B85" s="3" t="s">
        <v>49</v>
      </c>
      <c r="C85" s="3">
        <v>9</v>
      </c>
      <c r="D85" s="6">
        <v>41.8</v>
      </c>
      <c r="E85" s="6">
        <v>376.2</v>
      </c>
      <c r="F85" s="5">
        <v>45661</v>
      </c>
      <c r="G85" s="5">
        <v>45667</v>
      </c>
      <c r="H85" s="3" t="s">
        <v>31</v>
      </c>
      <c r="I85" s="4" t="s">
        <v>56</v>
      </c>
      <c r="J85" s="3">
        <v>4</v>
      </c>
      <c r="K85" s="3" t="s">
        <v>38</v>
      </c>
      <c r="L85" s="3">
        <v>6</v>
      </c>
      <c r="M85" s="3">
        <v>1</v>
      </c>
      <c r="N85" s="3" t="s">
        <v>33</v>
      </c>
    </row>
    <row r="86" spans="1:14" x14ac:dyDescent="0.3">
      <c r="A86" s="7" t="s">
        <v>157</v>
      </c>
      <c r="B86" s="7" t="s">
        <v>152</v>
      </c>
      <c r="C86" s="7">
        <v>1</v>
      </c>
      <c r="D86" s="10">
        <v>77.3</v>
      </c>
      <c r="E86" s="10">
        <v>77.3</v>
      </c>
      <c r="F86" s="9">
        <v>45661</v>
      </c>
      <c r="G86" s="9">
        <v>45662</v>
      </c>
      <c r="H86" s="7" t="s">
        <v>26</v>
      </c>
      <c r="I86" s="8" t="s">
        <v>75</v>
      </c>
      <c r="J86" s="7">
        <v>2</v>
      </c>
      <c r="K86" s="7" t="s">
        <v>38</v>
      </c>
      <c r="L86" s="7">
        <v>1</v>
      </c>
      <c r="M86" s="7">
        <v>1</v>
      </c>
      <c r="N86" s="7" t="s">
        <v>28</v>
      </c>
    </row>
    <row r="87" spans="1:14" x14ac:dyDescent="0.3">
      <c r="A87" s="3" t="s">
        <v>158</v>
      </c>
      <c r="B87" s="3" t="s">
        <v>49</v>
      </c>
      <c r="C87" s="3">
        <v>4</v>
      </c>
      <c r="D87" s="6">
        <v>19.8</v>
      </c>
      <c r="E87" s="6">
        <v>79.2</v>
      </c>
      <c r="F87" s="5">
        <v>45661</v>
      </c>
      <c r="G87" s="5">
        <v>45667</v>
      </c>
      <c r="H87" s="3" t="s">
        <v>26</v>
      </c>
      <c r="I87" s="4" t="s">
        <v>40</v>
      </c>
      <c r="J87" s="3">
        <v>5</v>
      </c>
      <c r="K87" s="3" t="s">
        <v>38</v>
      </c>
      <c r="L87" s="3">
        <v>6</v>
      </c>
      <c r="M87" s="3">
        <v>1</v>
      </c>
      <c r="N87" s="3" t="s">
        <v>28</v>
      </c>
    </row>
    <row r="88" spans="1:14" x14ac:dyDescent="0.3">
      <c r="A88" s="7" t="s">
        <v>159</v>
      </c>
      <c r="B88" s="7" t="s">
        <v>81</v>
      </c>
      <c r="C88" s="7">
        <v>4</v>
      </c>
      <c r="D88" s="10">
        <v>15.5</v>
      </c>
      <c r="E88" s="10">
        <v>62</v>
      </c>
      <c r="F88" s="9">
        <v>45661</v>
      </c>
      <c r="G88" s="9">
        <v>45662</v>
      </c>
      <c r="H88" s="7" t="s">
        <v>31</v>
      </c>
      <c r="I88" s="8" t="s">
        <v>40</v>
      </c>
      <c r="J88" s="7">
        <v>5</v>
      </c>
      <c r="K88" s="7" t="s">
        <v>38</v>
      </c>
      <c r="L88" s="7">
        <v>1</v>
      </c>
      <c r="M88" s="7">
        <v>1</v>
      </c>
      <c r="N88" s="7" t="s">
        <v>33</v>
      </c>
    </row>
    <row r="89" spans="1:14" x14ac:dyDescent="0.3">
      <c r="A89" s="3" t="s">
        <v>160</v>
      </c>
      <c r="B89" s="3" t="s">
        <v>74</v>
      </c>
      <c r="C89" s="3">
        <v>1</v>
      </c>
      <c r="D89" s="6">
        <v>46.8</v>
      </c>
      <c r="E89" s="6">
        <v>46.8</v>
      </c>
      <c r="F89" s="5">
        <v>45661</v>
      </c>
      <c r="G89" s="5">
        <v>45665</v>
      </c>
      <c r="H89" s="3" t="s">
        <v>26</v>
      </c>
      <c r="I89" s="4" t="s">
        <v>21</v>
      </c>
      <c r="J89" s="3">
        <v>5</v>
      </c>
      <c r="K89" s="3" t="s">
        <v>38</v>
      </c>
      <c r="L89" s="3">
        <v>4</v>
      </c>
      <c r="M89" s="3">
        <v>1</v>
      </c>
      <c r="N89" s="3" t="s">
        <v>28</v>
      </c>
    </row>
    <row r="90" spans="1:14" x14ac:dyDescent="0.3">
      <c r="A90" s="7" t="s">
        <v>161</v>
      </c>
      <c r="B90" s="7" t="s">
        <v>51</v>
      </c>
      <c r="C90" s="7">
        <v>9</v>
      </c>
      <c r="D90" s="10">
        <v>28.6</v>
      </c>
      <c r="E90" s="10">
        <v>257.39999999999998</v>
      </c>
      <c r="F90" s="9">
        <v>45661</v>
      </c>
      <c r="G90" s="9">
        <v>45665</v>
      </c>
      <c r="H90" s="7" t="s">
        <v>26</v>
      </c>
      <c r="I90" s="8" t="s">
        <v>21</v>
      </c>
      <c r="J90" s="7">
        <v>5</v>
      </c>
      <c r="K90" s="7" t="s">
        <v>38</v>
      </c>
      <c r="L90" s="7">
        <v>4</v>
      </c>
      <c r="M90" s="7">
        <v>1</v>
      </c>
      <c r="N90" s="7" t="s">
        <v>28</v>
      </c>
    </row>
    <row r="91" spans="1:14" x14ac:dyDescent="0.3">
      <c r="A91" s="3" t="s">
        <v>162</v>
      </c>
      <c r="B91" s="3" t="s">
        <v>30</v>
      </c>
      <c r="C91" s="3">
        <v>1</v>
      </c>
      <c r="D91" s="6">
        <v>97.7</v>
      </c>
      <c r="E91" s="6">
        <v>97.7</v>
      </c>
      <c r="F91" s="5">
        <v>45661</v>
      </c>
      <c r="G91" s="5">
        <v>45664</v>
      </c>
      <c r="H91" s="3" t="s">
        <v>31</v>
      </c>
      <c r="I91" s="4" t="s">
        <v>40</v>
      </c>
      <c r="J91" s="3">
        <v>4</v>
      </c>
      <c r="K91" s="3" t="s">
        <v>38</v>
      </c>
      <c r="L91" s="3">
        <v>3</v>
      </c>
      <c r="M91" s="3">
        <v>1</v>
      </c>
      <c r="N91" s="3" t="s">
        <v>33</v>
      </c>
    </row>
    <row r="92" spans="1:14" x14ac:dyDescent="0.3">
      <c r="A92" s="7" t="s">
        <v>163</v>
      </c>
      <c r="B92" s="7" t="s">
        <v>51</v>
      </c>
      <c r="C92" s="7">
        <v>5</v>
      </c>
      <c r="D92" s="10">
        <v>54.7</v>
      </c>
      <c r="E92" s="10">
        <v>273.5</v>
      </c>
      <c r="F92" s="9">
        <v>45661</v>
      </c>
      <c r="G92" s="9">
        <v>45664</v>
      </c>
      <c r="H92" s="7"/>
      <c r="I92" s="8" t="s">
        <v>21</v>
      </c>
      <c r="J92" s="7">
        <v>5</v>
      </c>
      <c r="K92" s="7" t="s">
        <v>164</v>
      </c>
      <c r="L92" s="7">
        <v>3</v>
      </c>
      <c r="M92" s="7">
        <v>1</v>
      </c>
      <c r="N92" s="7" t="s">
        <v>23</v>
      </c>
    </row>
    <row r="93" spans="1:14" x14ac:dyDescent="0.3">
      <c r="A93" s="3" t="s">
        <v>165</v>
      </c>
      <c r="B93" s="3" t="s">
        <v>30</v>
      </c>
      <c r="C93" s="3">
        <v>6</v>
      </c>
      <c r="D93" s="6">
        <v>130.5</v>
      </c>
      <c r="E93" s="6">
        <v>783</v>
      </c>
      <c r="F93" s="5">
        <v>45661</v>
      </c>
      <c r="G93" s="5">
        <v>45663</v>
      </c>
      <c r="H93" s="3" t="s">
        <v>31</v>
      </c>
      <c r="I93" s="4" t="s">
        <v>21</v>
      </c>
      <c r="J93" s="3">
        <v>3</v>
      </c>
      <c r="K93" s="3" t="s">
        <v>164</v>
      </c>
      <c r="L93" s="3">
        <v>2</v>
      </c>
      <c r="M93" s="3">
        <v>1</v>
      </c>
      <c r="N93" s="3" t="s">
        <v>33</v>
      </c>
    </row>
    <row r="94" spans="1:14" x14ac:dyDescent="0.3">
      <c r="A94" s="7" t="s">
        <v>166</v>
      </c>
      <c r="B94" s="7" t="s">
        <v>72</v>
      </c>
      <c r="C94" s="7">
        <v>2</v>
      </c>
      <c r="D94" s="10">
        <v>50.4</v>
      </c>
      <c r="E94" s="10">
        <v>100.8</v>
      </c>
      <c r="F94" s="9">
        <v>45661</v>
      </c>
      <c r="G94" s="9">
        <v>45663</v>
      </c>
      <c r="H94" s="7" t="s">
        <v>26</v>
      </c>
      <c r="I94" s="8" t="s">
        <v>45</v>
      </c>
      <c r="J94" s="7">
        <v>5</v>
      </c>
      <c r="K94" s="7" t="s">
        <v>60</v>
      </c>
      <c r="L94" s="7">
        <v>2</v>
      </c>
      <c r="M94" s="7">
        <v>1</v>
      </c>
      <c r="N94" s="7" t="s">
        <v>28</v>
      </c>
    </row>
    <row r="95" spans="1:14" x14ac:dyDescent="0.3">
      <c r="A95" s="3" t="s">
        <v>167</v>
      </c>
      <c r="B95" s="3" t="s">
        <v>44</v>
      </c>
      <c r="C95" s="3">
        <v>13</v>
      </c>
      <c r="D95" s="6">
        <v>61.5</v>
      </c>
      <c r="E95" s="6">
        <v>799.5</v>
      </c>
      <c r="F95" s="5">
        <v>45661</v>
      </c>
      <c r="G95" s="5">
        <v>45662</v>
      </c>
      <c r="H95" s="3"/>
      <c r="I95" s="4" t="s">
        <v>56</v>
      </c>
      <c r="J95" s="3">
        <v>3</v>
      </c>
      <c r="K95" s="3" t="s">
        <v>82</v>
      </c>
      <c r="L95" s="3">
        <v>1</v>
      </c>
      <c r="M95" s="3">
        <v>1</v>
      </c>
      <c r="N95" s="3" t="s">
        <v>23</v>
      </c>
    </row>
    <row r="96" spans="1:14" x14ac:dyDescent="0.3">
      <c r="A96" s="7" t="s">
        <v>168</v>
      </c>
      <c r="B96" s="7" t="s">
        <v>51</v>
      </c>
      <c r="C96" s="7">
        <v>4</v>
      </c>
      <c r="D96" s="10">
        <v>30.1</v>
      </c>
      <c r="E96" s="10">
        <v>120.4</v>
      </c>
      <c r="F96" s="9">
        <v>45661</v>
      </c>
      <c r="G96" s="9">
        <v>45662</v>
      </c>
      <c r="H96" s="7" t="s">
        <v>31</v>
      </c>
      <c r="I96" s="8" t="s">
        <v>21</v>
      </c>
      <c r="J96" s="7">
        <v>5</v>
      </c>
      <c r="K96" s="7" t="s">
        <v>121</v>
      </c>
      <c r="L96" s="7">
        <v>1</v>
      </c>
      <c r="M96" s="7">
        <v>1</v>
      </c>
      <c r="N96" s="7" t="s">
        <v>33</v>
      </c>
    </row>
    <row r="97" spans="1:14" x14ac:dyDescent="0.3">
      <c r="A97" s="3" t="s">
        <v>169</v>
      </c>
      <c r="B97" s="3" t="s">
        <v>30</v>
      </c>
      <c r="C97" s="3">
        <v>5</v>
      </c>
      <c r="D97" s="6">
        <v>74.8</v>
      </c>
      <c r="E97" s="6">
        <v>374</v>
      </c>
      <c r="F97" s="5">
        <v>45661</v>
      </c>
      <c r="G97" s="5">
        <v>45662</v>
      </c>
      <c r="H97" s="3" t="s">
        <v>31</v>
      </c>
      <c r="I97" s="4" t="s">
        <v>40</v>
      </c>
      <c r="J97" s="3">
        <v>4</v>
      </c>
      <c r="K97" s="3" t="s">
        <v>27</v>
      </c>
      <c r="L97" s="3">
        <v>1</v>
      </c>
      <c r="M97" s="3">
        <v>1</v>
      </c>
      <c r="N97" s="3" t="s">
        <v>33</v>
      </c>
    </row>
    <row r="98" spans="1:14" x14ac:dyDescent="0.3">
      <c r="A98" s="7" t="s">
        <v>170</v>
      </c>
      <c r="B98" s="7" t="s">
        <v>134</v>
      </c>
      <c r="C98" s="7">
        <v>3</v>
      </c>
      <c r="D98" s="10">
        <v>64.900000000000006</v>
      </c>
      <c r="E98" s="10">
        <v>194.7</v>
      </c>
      <c r="F98" s="9">
        <v>45661</v>
      </c>
      <c r="G98" s="9">
        <v>45668</v>
      </c>
      <c r="H98" s="7" t="s">
        <v>26</v>
      </c>
      <c r="I98" s="8" t="s">
        <v>21</v>
      </c>
      <c r="J98" s="7">
        <v>4</v>
      </c>
      <c r="K98" s="7" t="s">
        <v>32</v>
      </c>
      <c r="L98" s="7">
        <v>7</v>
      </c>
      <c r="M98" s="7">
        <v>1</v>
      </c>
      <c r="N98" s="7" t="s">
        <v>28</v>
      </c>
    </row>
    <row r="99" spans="1:14" x14ac:dyDescent="0.3">
      <c r="A99" s="3" t="s">
        <v>171</v>
      </c>
      <c r="B99" s="3" t="s">
        <v>51</v>
      </c>
      <c r="C99" s="3">
        <v>2</v>
      </c>
      <c r="D99" s="6">
        <v>50.5</v>
      </c>
      <c r="E99" s="6">
        <v>101</v>
      </c>
      <c r="F99" s="5">
        <v>45661</v>
      </c>
      <c r="G99" s="5">
        <v>45663</v>
      </c>
      <c r="H99" s="3" t="s">
        <v>26</v>
      </c>
      <c r="I99" s="4" t="s">
        <v>40</v>
      </c>
      <c r="J99" s="3">
        <v>4</v>
      </c>
      <c r="K99" s="3" t="s">
        <v>153</v>
      </c>
      <c r="L99" s="3">
        <v>2</v>
      </c>
      <c r="M99" s="3">
        <v>1</v>
      </c>
      <c r="N99" s="3" t="s">
        <v>28</v>
      </c>
    </row>
    <row r="100" spans="1:14" x14ac:dyDescent="0.3">
      <c r="A100" s="7" t="s">
        <v>172</v>
      </c>
      <c r="B100" s="7" t="s">
        <v>72</v>
      </c>
      <c r="C100" s="7">
        <v>7</v>
      </c>
      <c r="D100" s="10">
        <v>63</v>
      </c>
      <c r="E100" s="10">
        <v>441</v>
      </c>
      <c r="F100" s="9">
        <v>45661</v>
      </c>
      <c r="G100" s="9">
        <v>45664</v>
      </c>
      <c r="H100" s="7" t="s">
        <v>26</v>
      </c>
      <c r="I100" s="8" t="s">
        <v>56</v>
      </c>
      <c r="J100" s="7">
        <v>5</v>
      </c>
      <c r="K100" s="7" t="s">
        <v>38</v>
      </c>
      <c r="L100" s="7">
        <v>3</v>
      </c>
      <c r="M100" s="7">
        <v>1</v>
      </c>
      <c r="N100" s="7" t="s">
        <v>28</v>
      </c>
    </row>
    <row r="101" spans="1:14" x14ac:dyDescent="0.3">
      <c r="A101" s="3" t="s">
        <v>173</v>
      </c>
      <c r="B101" s="3" t="s">
        <v>30</v>
      </c>
      <c r="C101" s="3">
        <v>3</v>
      </c>
      <c r="D101" s="6">
        <v>93.6</v>
      </c>
      <c r="E101" s="6">
        <v>280.8</v>
      </c>
      <c r="F101" s="5">
        <v>45661</v>
      </c>
      <c r="G101" s="5">
        <v>45674</v>
      </c>
      <c r="H101" s="3" t="s">
        <v>31</v>
      </c>
      <c r="I101" s="4" t="s">
        <v>21</v>
      </c>
      <c r="J101" s="3">
        <v>5</v>
      </c>
      <c r="K101" s="3" t="s">
        <v>38</v>
      </c>
      <c r="L101" s="3">
        <v>13</v>
      </c>
      <c r="M101" s="3">
        <v>1</v>
      </c>
      <c r="N101" s="3" t="s">
        <v>33</v>
      </c>
    </row>
    <row r="102" spans="1:14" x14ac:dyDescent="0.3">
      <c r="A102" s="7" t="s">
        <v>174</v>
      </c>
      <c r="B102" s="7" t="s">
        <v>42</v>
      </c>
      <c r="C102" s="7">
        <v>30</v>
      </c>
      <c r="D102" s="10">
        <v>41.4</v>
      </c>
      <c r="E102" s="10">
        <v>1242</v>
      </c>
      <c r="F102" s="9">
        <v>45661</v>
      </c>
      <c r="G102" s="9">
        <v>45665</v>
      </c>
      <c r="H102" s="7" t="s">
        <v>26</v>
      </c>
      <c r="I102" s="8" t="s">
        <v>45</v>
      </c>
      <c r="J102" s="7">
        <v>5</v>
      </c>
      <c r="K102" s="7" t="s">
        <v>38</v>
      </c>
      <c r="L102" s="7">
        <v>4</v>
      </c>
      <c r="M102" s="7">
        <v>1</v>
      </c>
      <c r="N102" s="7" t="s">
        <v>28</v>
      </c>
    </row>
    <row r="103" spans="1:14" x14ac:dyDescent="0.3">
      <c r="A103" s="3" t="s">
        <v>175</v>
      </c>
      <c r="B103" s="3" t="s">
        <v>30</v>
      </c>
      <c r="C103" s="3">
        <v>2</v>
      </c>
      <c r="D103" s="6">
        <v>160</v>
      </c>
      <c r="E103" s="6">
        <v>320</v>
      </c>
      <c r="F103" s="5">
        <v>45662</v>
      </c>
      <c r="G103" s="5">
        <v>45663</v>
      </c>
      <c r="H103" s="3" t="s">
        <v>26</v>
      </c>
      <c r="I103" s="4" t="s">
        <v>45</v>
      </c>
      <c r="J103" s="3">
        <v>5</v>
      </c>
      <c r="K103" s="3" t="s">
        <v>57</v>
      </c>
      <c r="L103" s="3">
        <v>1</v>
      </c>
      <c r="M103" s="3">
        <v>2</v>
      </c>
      <c r="N103" s="3" t="s">
        <v>28</v>
      </c>
    </row>
    <row r="104" spans="1:14" x14ac:dyDescent="0.3">
      <c r="A104" s="7" t="s">
        <v>176</v>
      </c>
      <c r="B104" s="7" t="s">
        <v>177</v>
      </c>
      <c r="C104" s="7">
        <v>11</v>
      </c>
      <c r="D104" s="10">
        <v>10.5</v>
      </c>
      <c r="E104" s="10">
        <v>115.5</v>
      </c>
      <c r="F104" s="9">
        <v>45662</v>
      </c>
      <c r="G104" s="9">
        <v>45665</v>
      </c>
      <c r="H104" s="7" t="s">
        <v>31</v>
      </c>
      <c r="I104" s="8" t="s">
        <v>75</v>
      </c>
      <c r="J104" s="7">
        <v>4</v>
      </c>
      <c r="K104" s="7" t="s">
        <v>67</v>
      </c>
      <c r="L104" s="7">
        <v>3</v>
      </c>
      <c r="M104" s="7">
        <v>2</v>
      </c>
      <c r="N104" s="7" t="s">
        <v>33</v>
      </c>
    </row>
    <row r="105" spans="1:14" x14ac:dyDescent="0.3">
      <c r="A105" s="3" t="s">
        <v>178</v>
      </c>
      <c r="B105" s="3" t="s">
        <v>59</v>
      </c>
      <c r="C105" s="3">
        <v>2</v>
      </c>
      <c r="D105" s="6">
        <v>53</v>
      </c>
      <c r="E105" s="6">
        <v>106</v>
      </c>
      <c r="F105" s="5">
        <v>45662</v>
      </c>
      <c r="G105" s="5">
        <v>45662</v>
      </c>
      <c r="H105" s="3" t="s">
        <v>26</v>
      </c>
      <c r="I105" s="4" t="s">
        <v>45</v>
      </c>
      <c r="J105" s="3">
        <v>2</v>
      </c>
      <c r="K105" s="3" t="s">
        <v>109</v>
      </c>
      <c r="L105" s="3">
        <v>0</v>
      </c>
      <c r="M105" s="3">
        <v>2</v>
      </c>
      <c r="N105" s="3" t="s">
        <v>28</v>
      </c>
    </row>
    <row r="106" spans="1:14" x14ac:dyDescent="0.3">
      <c r="A106" s="7" t="s">
        <v>179</v>
      </c>
      <c r="B106" s="7" t="s">
        <v>49</v>
      </c>
      <c r="C106" s="7">
        <v>3</v>
      </c>
      <c r="D106" s="10">
        <v>18.5</v>
      </c>
      <c r="E106" s="10">
        <v>55.5</v>
      </c>
      <c r="F106" s="9">
        <v>45662</v>
      </c>
      <c r="G106" s="9">
        <v>45667</v>
      </c>
      <c r="H106" s="7" t="s">
        <v>31</v>
      </c>
      <c r="I106" s="8" t="s">
        <v>40</v>
      </c>
      <c r="J106" s="7">
        <v>5</v>
      </c>
      <c r="K106" s="7" t="s">
        <v>82</v>
      </c>
      <c r="L106" s="7">
        <v>5</v>
      </c>
      <c r="M106" s="7">
        <v>2</v>
      </c>
      <c r="N106" s="7" t="s">
        <v>33</v>
      </c>
    </row>
    <row r="107" spans="1:14" x14ac:dyDescent="0.3">
      <c r="A107" s="3" t="s">
        <v>180</v>
      </c>
      <c r="B107" s="3" t="s">
        <v>134</v>
      </c>
      <c r="C107" s="3">
        <v>3</v>
      </c>
      <c r="D107" s="6">
        <v>84.5</v>
      </c>
      <c r="E107" s="6">
        <v>253.5</v>
      </c>
      <c r="F107" s="5">
        <v>45662</v>
      </c>
      <c r="G107" s="5">
        <v>45664</v>
      </c>
      <c r="H107" s="3" t="s">
        <v>31</v>
      </c>
      <c r="I107" s="4" t="s">
        <v>75</v>
      </c>
      <c r="J107" s="3">
        <v>3</v>
      </c>
      <c r="K107" s="3" t="s">
        <v>87</v>
      </c>
      <c r="L107" s="3">
        <v>2</v>
      </c>
      <c r="M107" s="3">
        <v>2</v>
      </c>
      <c r="N107" s="3" t="s">
        <v>33</v>
      </c>
    </row>
    <row r="108" spans="1:14" x14ac:dyDescent="0.3">
      <c r="A108" s="7" t="s">
        <v>181</v>
      </c>
      <c r="B108" s="7" t="s">
        <v>129</v>
      </c>
      <c r="C108" s="7">
        <v>7</v>
      </c>
      <c r="D108" s="10">
        <v>31.2</v>
      </c>
      <c r="E108" s="10">
        <v>218.4</v>
      </c>
      <c r="F108" s="9">
        <v>45662</v>
      </c>
      <c r="G108" s="9">
        <v>45662</v>
      </c>
      <c r="H108" s="7" t="s">
        <v>31</v>
      </c>
      <c r="I108" s="8" t="s">
        <v>45</v>
      </c>
      <c r="J108" s="7">
        <v>5</v>
      </c>
      <c r="K108" s="7" t="s">
        <v>38</v>
      </c>
      <c r="L108" s="7">
        <v>0</v>
      </c>
      <c r="M108" s="7">
        <v>2</v>
      </c>
      <c r="N108" s="7" t="s">
        <v>33</v>
      </c>
    </row>
    <row r="109" spans="1:14" x14ac:dyDescent="0.3">
      <c r="A109" s="3" t="s">
        <v>182</v>
      </c>
      <c r="B109" s="3" t="s">
        <v>49</v>
      </c>
      <c r="C109" s="3">
        <v>18</v>
      </c>
      <c r="D109" s="6">
        <v>32.6</v>
      </c>
      <c r="E109" s="6">
        <v>586.80000000000007</v>
      </c>
      <c r="F109" s="5">
        <v>45662</v>
      </c>
      <c r="G109" s="5">
        <v>45663</v>
      </c>
      <c r="H109" s="3" t="s">
        <v>26</v>
      </c>
      <c r="I109" s="4" t="s">
        <v>40</v>
      </c>
      <c r="J109" s="3">
        <v>3</v>
      </c>
      <c r="K109" s="3" t="s">
        <v>38</v>
      </c>
      <c r="L109" s="3">
        <v>1</v>
      </c>
      <c r="M109" s="3">
        <v>2</v>
      </c>
      <c r="N109" s="3" t="s">
        <v>28</v>
      </c>
    </row>
    <row r="110" spans="1:14" x14ac:dyDescent="0.3">
      <c r="A110" s="7" t="s">
        <v>183</v>
      </c>
      <c r="B110" s="7" t="s">
        <v>59</v>
      </c>
      <c r="C110" s="7">
        <v>4</v>
      </c>
      <c r="D110" s="10">
        <v>45.4</v>
      </c>
      <c r="E110" s="10">
        <v>181.6</v>
      </c>
      <c r="F110" s="9">
        <v>45662</v>
      </c>
      <c r="G110" s="9">
        <v>45664</v>
      </c>
      <c r="H110" s="7" t="s">
        <v>26</v>
      </c>
      <c r="I110" s="8" t="s">
        <v>40</v>
      </c>
      <c r="J110" s="7">
        <v>4</v>
      </c>
      <c r="K110" s="7" t="s">
        <v>38</v>
      </c>
      <c r="L110" s="7">
        <v>2</v>
      </c>
      <c r="M110" s="7">
        <v>2</v>
      </c>
      <c r="N110" s="7" t="s">
        <v>28</v>
      </c>
    </row>
    <row r="111" spans="1:14" x14ac:dyDescent="0.3">
      <c r="A111" s="3" t="s">
        <v>184</v>
      </c>
      <c r="B111" s="3" t="s">
        <v>30</v>
      </c>
      <c r="C111" s="3">
        <v>12</v>
      </c>
      <c r="D111" s="6">
        <v>120</v>
      </c>
      <c r="E111" s="6">
        <v>1440</v>
      </c>
      <c r="F111" s="5">
        <v>45662</v>
      </c>
      <c r="G111" s="5">
        <v>45663</v>
      </c>
      <c r="H111" s="3" t="s">
        <v>31</v>
      </c>
      <c r="I111" s="4" t="s">
        <v>45</v>
      </c>
      <c r="J111" s="3">
        <v>2</v>
      </c>
      <c r="K111" s="3" t="s">
        <v>38</v>
      </c>
      <c r="L111" s="3">
        <v>1</v>
      </c>
      <c r="M111" s="3">
        <v>2</v>
      </c>
      <c r="N111" s="3" t="s">
        <v>33</v>
      </c>
    </row>
    <row r="112" spans="1:14" x14ac:dyDescent="0.3">
      <c r="A112" s="7" t="s">
        <v>185</v>
      </c>
      <c r="B112" s="7" t="s">
        <v>20</v>
      </c>
      <c r="C112" s="7">
        <v>4</v>
      </c>
      <c r="D112" s="10">
        <v>18.899999999999999</v>
      </c>
      <c r="E112" s="10">
        <v>75.599999999999994</v>
      </c>
      <c r="F112" s="9">
        <v>45662</v>
      </c>
      <c r="G112" s="9">
        <v>45664</v>
      </c>
      <c r="H112" s="7" t="s">
        <v>26</v>
      </c>
      <c r="I112" s="8" t="s">
        <v>21</v>
      </c>
      <c r="J112" s="7">
        <v>5</v>
      </c>
      <c r="K112" s="7" t="s">
        <v>38</v>
      </c>
      <c r="L112" s="7">
        <v>2</v>
      </c>
      <c r="M112" s="7">
        <v>2</v>
      </c>
      <c r="N112" s="7" t="s">
        <v>28</v>
      </c>
    </row>
    <row r="113" spans="1:14" x14ac:dyDescent="0.3">
      <c r="A113" s="3" t="s">
        <v>186</v>
      </c>
      <c r="B113" s="3" t="s">
        <v>37</v>
      </c>
      <c r="C113" s="3">
        <v>1</v>
      </c>
      <c r="D113" s="6">
        <v>32</v>
      </c>
      <c r="E113" s="6">
        <v>32</v>
      </c>
      <c r="F113" s="5">
        <v>45662</v>
      </c>
      <c r="G113" s="5">
        <v>45664</v>
      </c>
      <c r="H113" s="3" t="s">
        <v>31</v>
      </c>
      <c r="I113" s="4" t="s">
        <v>75</v>
      </c>
      <c r="J113" s="3">
        <v>4</v>
      </c>
      <c r="K113" s="3" t="s">
        <v>38</v>
      </c>
      <c r="L113" s="3">
        <v>2</v>
      </c>
      <c r="M113" s="3">
        <v>2</v>
      </c>
      <c r="N113" s="3" t="s">
        <v>33</v>
      </c>
    </row>
    <row r="114" spans="1:14" x14ac:dyDescent="0.3">
      <c r="A114" s="7" t="s">
        <v>187</v>
      </c>
      <c r="B114" s="7" t="s">
        <v>47</v>
      </c>
      <c r="C114" s="7">
        <v>2</v>
      </c>
      <c r="D114" s="10">
        <v>37.299999999999997</v>
      </c>
      <c r="E114" s="10">
        <v>74.599999999999994</v>
      </c>
      <c r="F114" s="9">
        <v>45662</v>
      </c>
      <c r="G114" s="9">
        <v>45663</v>
      </c>
      <c r="H114" s="7" t="s">
        <v>26</v>
      </c>
      <c r="I114" s="8" t="s">
        <v>45</v>
      </c>
      <c r="J114" s="7">
        <v>4</v>
      </c>
      <c r="K114" s="7" t="s">
        <v>38</v>
      </c>
      <c r="L114" s="7">
        <v>1</v>
      </c>
      <c r="M114" s="7">
        <v>2</v>
      </c>
      <c r="N114" s="7" t="s">
        <v>28</v>
      </c>
    </row>
    <row r="115" spans="1:14" x14ac:dyDescent="0.3">
      <c r="A115" s="3" t="s">
        <v>188</v>
      </c>
      <c r="B115" s="3" t="s">
        <v>152</v>
      </c>
      <c r="C115" s="3">
        <v>1</v>
      </c>
      <c r="D115" s="6">
        <v>119.8</v>
      </c>
      <c r="E115" s="6">
        <v>119.8</v>
      </c>
      <c r="F115" s="5">
        <v>45662</v>
      </c>
      <c r="G115" s="5">
        <v>45663</v>
      </c>
      <c r="H115" s="3" t="s">
        <v>26</v>
      </c>
      <c r="I115" s="4" t="s">
        <v>40</v>
      </c>
      <c r="J115" s="3">
        <v>3</v>
      </c>
      <c r="K115" s="3" t="s">
        <v>38</v>
      </c>
      <c r="L115" s="3">
        <v>1</v>
      </c>
      <c r="M115" s="3">
        <v>2</v>
      </c>
      <c r="N115" s="3" t="s">
        <v>28</v>
      </c>
    </row>
    <row r="116" spans="1:14" x14ac:dyDescent="0.3">
      <c r="A116" s="7" t="s">
        <v>189</v>
      </c>
      <c r="B116" s="7" t="s">
        <v>59</v>
      </c>
      <c r="C116" s="7">
        <v>2</v>
      </c>
      <c r="D116" s="10">
        <v>26.4</v>
      </c>
      <c r="E116" s="10">
        <v>52.8</v>
      </c>
      <c r="F116" s="9">
        <v>45662</v>
      </c>
      <c r="G116" s="9">
        <v>45665</v>
      </c>
      <c r="H116" s="7" t="s">
        <v>26</v>
      </c>
      <c r="I116" s="8" t="s">
        <v>45</v>
      </c>
      <c r="J116" s="7">
        <v>4</v>
      </c>
      <c r="K116" s="7" t="s">
        <v>38</v>
      </c>
      <c r="L116" s="7">
        <v>3</v>
      </c>
      <c r="M116" s="7">
        <v>2</v>
      </c>
      <c r="N116" s="7" t="s">
        <v>28</v>
      </c>
    </row>
    <row r="117" spans="1:14" x14ac:dyDescent="0.3">
      <c r="A117" s="3" t="s">
        <v>190</v>
      </c>
      <c r="B117" s="3" t="s">
        <v>44</v>
      </c>
      <c r="C117" s="3">
        <v>6</v>
      </c>
      <c r="D117" s="6">
        <v>76.5</v>
      </c>
      <c r="E117" s="6">
        <v>459</v>
      </c>
      <c r="F117" s="5">
        <v>45662</v>
      </c>
      <c r="G117" s="5">
        <v>45663</v>
      </c>
      <c r="H117" s="3" t="s">
        <v>31</v>
      </c>
      <c r="I117" s="4" t="s">
        <v>40</v>
      </c>
      <c r="J117" s="3">
        <v>3</v>
      </c>
      <c r="K117" s="3" t="s">
        <v>38</v>
      </c>
      <c r="L117" s="3">
        <v>1</v>
      </c>
      <c r="M117" s="3">
        <v>2</v>
      </c>
      <c r="N117" s="3" t="s">
        <v>33</v>
      </c>
    </row>
    <row r="118" spans="1:14" x14ac:dyDescent="0.3">
      <c r="A118" s="7" t="s">
        <v>191</v>
      </c>
      <c r="B118" s="7" t="s">
        <v>37</v>
      </c>
      <c r="C118" s="7">
        <v>10</v>
      </c>
      <c r="D118" s="10">
        <v>45.7</v>
      </c>
      <c r="E118" s="10">
        <v>457</v>
      </c>
      <c r="F118" s="9">
        <v>45662</v>
      </c>
      <c r="G118" s="9">
        <v>45663</v>
      </c>
      <c r="H118" s="7" t="s">
        <v>31</v>
      </c>
      <c r="I118" s="8" t="s">
        <v>45</v>
      </c>
      <c r="J118" s="7">
        <v>4</v>
      </c>
      <c r="K118" s="7" t="s">
        <v>192</v>
      </c>
      <c r="L118" s="7">
        <v>1</v>
      </c>
      <c r="M118" s="7">
        <v>2</v>
      </c>
      <c r="N118" s="7" t="s">
        <v>33</v>
      </c>
    </row>
    <row r="119" spans="1:14" x14ac:dyDescent="0.3">
      <c r="A119" s="3" t="s">
        <v>193</v>
      </c>
      <c r="B119" s="3" t="s">
        <v>25</v>
      </c>
      <c r="C119" s="3">
        <v>12</v>
      </c>
      <c r="D119" s="6">
        <v>92.6</v>
      </c>
      <c r="E119" s="6">
        <v>1111.2</v>
      </c>
      <c r="F119" s="5">
        <v>45662</v>
      </c>
      <c r="G119" s="5">
        <v>45664</v>
      </c>
      <c r="H119" s="3" t="s">
        <v>31</v>
      </c>
      <c r="I119" s="4" t="s">
        <v>45</v>
      </c>
      <c r="J119" s="3">
        <v>4</v>
      </c>
      <c r="K119" s="3" t="s">
        <v>194</v>
      </c>
      <c r="L119" s="3">
        <v>2</v>
      </c>
      <c r="M119" s="3">
        <v>2</v>
      </c>
      <c r="N119" s="3" t="s">
        <v>33</v>
      </c>
    </row>
    <row r="120" spans="1:14" x14ac:dyDescent="0.3">
      <c r="A120" s="7" t="s">
        <v>195</v>
      </c>
      <c r="B120" s="7" t="s">
        <v>44</v>
      </c>
      <c r="C120" s="7">
        <v>6</v>
      </c>
      <c r="D120" s="10">
        <v>60.1</v>
      </c>
      <c r="E120" s="10">
        <v>360.6</v>
      </c>
      <c r="F120" s="9">
        <v>45662</v>
      </c>
      <c r="G120" s="9">
        <v>45663</v>
      </c>
      <c r="H120" s="7" t="s">
        <v>26</v>
      </c>
      <c r="I120" s="8" t="s">
        <v>40</v>
      </c>
      <c r="J120" s="7">
        <v>4</v>
      </c>
      <c r="K120" s="7" t="s">
        <v>164</v>
      </c>
      <c r="L120" s="7">
        <v>1</v>
      </c>
      <c r="M120" s="7">
        <v>2</v>
      </c>
      <c r="N120" s="7" t="s">
        <v>28</v>
      </c>
    </row>
    <row r="121" spans="1:14" x14ac:dyDescent="0.3">
      <c r="A121" s="3" t="s">
        <v>196</v>
      </c>
      <c r="B121" s="3" t="s">
        <v>25</v>
      </c>
      <c r="C121" s="3">
        <v>3</v>
      </c>
      <c r="D121" s="6">
        <v>73</v>
      </c>
      <c r="E121" s="6">
        <v>219</v>
      </c>
      <c r="F121" s="5">
        <v>45662</v>
      </c>
      <c r="G121" s="5">
        <v>45663</v>
      </c>
      <c r="H121" s="3" t="s">
        <v>31</v>
      </c>
      <c r="I121" s="4" t="s">
        <v>56</v>
      </c>
      <c r="J121" s="3">
        <v>3</v>
      </c>
      <c r="K121" s="3" t="s">
        <v>60</v>
      </c>
      <c r="L121" s="3">
        <v>1</v>
      </c>
      <c r="M121" s="3">
        <v>2</v>
      </c>
      <c r="N121" s="3" t="s">
        <v>33</v>
      </c>
    </row>
    <row r="122" spans="1:14" x14ac:dyDescent="0.3">
      <c r="A122" s="7" t="s">
        <v>197</v>
      </c>
      <c r="B122" s="7" t="s">
        <v>44</v>
      </c>
      <c r="C122" s="7">
        <v>3</v>
      </c>
      <c r="D122" s="10">
        <v>44.3</v>
      </c>
      <c r="E122" s="10">
        <v>132.9</v>
      </c>
      <c r="F122" s="9">
        <v>45662</v>
      </c>
      <c r="G122" s="9">
        <v>45666</v>
      </c>
      <c r="H122" s="7"/>
      <c r="I122" s="8" t="s">
        <v>45</v>
      </c>
      <c r="J122" s="7">
        <v>5</v>
      </c>
      <c r="K122" s="7" t="s">
        <v>60</v>
      </c>
      <c r="L122" s="7">
        <v>4</v>
      </c>
      <c r="M122" s="7">
        <v>2</v>
      </c>
      <c r="N122" s="7" t="s">
        <v>23</v>
      </c>
    </row>
    <row r="123" spans="1:14" x14ac:dyDescent="0.3">
      <c r="A123" s="3" t="s">
        <v>198</v>
      </c>
      <c r="B123" s="3" t="s">
        <v>44</v>
      </c>
      <c r="C123" s="3">
        <v>3</v>
      </c>
      <c r="D123" s="6">
        <v>63.3</v>
      </c>
      <c r="E123" s="6">
        <v>189.9</v>
      </c>
      <c r="F123" s="5">
        <v>45662</v>
      </c>
      <c r="G123" s="5">
        <v>45663</v>
      </c>
      <c r="H123" s="3" t="s">
        <v>26</v>
      </c>
      <c r="I123" s="4" t="s">
        <v>45</v>
      </c>
      <c r="J123" s="3">
        <v>4</v>
      </c>
      <c r="K123" s="3" t="s">
        <v>60</v>
      </c>
      <c r="L123" s="3">
        <v>1</v>
      </c>
      <c r="M123" s="3">
        <v>2</v>
      </c>
      <c r="N123" s="3" t="s">
        <v>28</v>
      </c>
    </row>
    <row r="124" spans="1:14" x14ac:dyDescent="0.3">
      <c r="A124" s="7" t="s">
        <v>199</v>
      </c>
      <c r="B124" s="7" t="s">
        <v>74</v>
      </c>
      <c r="C124" s="7">
        <v>1</v>
      </c>
      <c r="D124" s="10">
        <v>66.8</v>
      </c>
      <c r="E124" s="10">
        <v>66.8</v>
      </c>
      <c r="F124" s="9">
        <v>45662</v>
      </c>
      <c r="G124" s="9">
        <v>45663</v>
      </c>
      <c r="H124" s="7" t="s">
        <v>31</v>
      </c>
      <c r="I124" s="8" t="s">
        <v>40</v>
      </c>
      <c r="J124" s="7">
        <v>4</v>
      </c>
      <c r="K124" s="7" t="s">
        <v>60</v>
      </c>
      <c r="L124" s="7">
        <v>1</v>
      </c>
      <c r="M124" s="7">
        <v>2</v>
      </c>
      <c r="N124" s="7" t="s">
        <v>33</v>
      </c>
    </row>
    <row r="125" spans="1:14" x14ac:dyDescent="0.3">
      <c r="A125" s="3" t="s">
        <v>200</v>
      </c>
      <c r="B125" s="3" t="s">
        <v>30</v>
      </c>
      <c r="C125" s="3">
        <v>2</v>
      </c>
      <c r="D125" s="6">
        <v>59.7</v>
      </c>
      <c r="E125" s="6">
        <v>119.4</v>
      </c>
      <c r="F125" s="5">
        <v>45662</v>
      </c>
      <c r="G125" s="5">
        <v>45663</v>
      </c>
      <c r="H125" s="3" t="s">
        <v>31</v>
      </c>
      <c r="I125" s="4" t="s">
        <v>21</v>
      </c>
      <c r="J125" s="3">
        <v>4</v>
      </c>
      <c r="K125" s="3" t="s">
        <v>64</v>
      </c>
      <c r="L125" s="3">
        <v>1</v>
      </c>
      <c r="M125" s="3">
        <v>2</v>
      </c>
      <c r="N125" s="3" t="s">
        <v>33</v>
      </c>
    </row>
    <row r="126" spans="1:14" x14ac:dyDescent="0.3">
      <c r="A126" s="7" t="s">
        <v>201</v>
      </c>
      <c r="B126" s="7" t="s">
        <v>25</v>
      </c>
      <c r="C126" s="7">
        <v>6</v>
      </c>
      <c r="D126" s="10">
        <v>92</v>
      </c>
      <c r="E126" s="10">
        <v>552</v>
      </c>
      <c r="F126" s="9">
        <v>45662</v>
      </c>
      <c r="G126" s="9">
        <v>45664</v>
      </c>
      <c r="H126" s="7" t="s">
        <v>26</v>
      </c>
      <c r="I126" s="8" t="s">
        <v>21</v>
      </c>
      <c r="J126" s="7">
        <v>2</v>
      </c>
      <c r="K126" s="7" t="s">
        <v>64</v>
      </c>
      <c r="L126" s="7">
        <v>2</v>
      </c>
      <c r="M126" s="7">
        <v>2</v>
      </c>
      <c r="N126" s="7" t="s">
        <v>28</v>
      </c>
    </row>
    <row r="127" spans="1:14" x14ac:dyDescent="0.3">
      <c r="A127" s="3" t="s">
        <v>202</v>
      </c>
      <c r="B127" s="3" t="s">
        <v>47</v>
      </c>
      <c r="C127" s="3">
        <v>2</v>
      </c>
      <c r="D127" s="6">
        <v>87.6</v>
      </c>
      <c r="E127" s="6">
        <v>175.2</v>
      </c>
      <c r="F127" s="5">
        <v>45662</v>
      </c>
      <c r="G127" s="5">
        <v>45664</v>
      </c>
      <c r="H127" s="3" t="s">
        <v>26</v>
      </c>
      <c r="I127" s="4" t="s">
        <v>40</v>
      </c>
      <c r="J127" s="3">
        <v>3</v>
      </c>
      <c r="K127" s="3" t="s">
        <v>67</v>
      </c>
      <c r="L127" s="3">
        <v>2</v>
      </c>
      <c r="M127" s="3">
        <v>2</v>
      </c>
      <c r="N127" s="3" t="s">
        <v>28</v>
      </c>
    </row>
    <row r="128" spans="1:14" x14ac:dyDescent="0.3">
      <c r="A128" s="7" t="s">
        <v>203</v>
      </c>
      <c r="B128" s="7" t="s">
        <v>44</v>
      </c>
      <c r="C128" s="7">
        <v>3</v>
      </c>
      <c r="D128" s="10">
        <v>84.5</v>
      </c>
      <c r="E128" s="10">
        <v>253.5</v>
      </c>
      <c r="F128" s="9">
        <v>45662</v>
      </c>
      <c r="G128" s="9">
        <v>45663</v>
      </c>
      <c r="H128" s="7" t="s">
        <v>31</v>
      </c>
      <c r="I128" s="8" t="s">
        <v>40</v>
      </c>
      <c r="J128" s="7">
        <v>3</v>
      </c>
      <c r="K128" s="7" t="s">
        <v>67</v>
      </c>
      <c r="L128" s="7">
        <v>1</v>
      </c>
      <c r="M128" s="7">
        <v>2</v>
      </c>
      <c r="N128" s="7" t="s">
        <v>33</v>
      </c>
    </row>
    <row r="129" spans="1:14" x14ac:dyDescent="0.3">
      <c r="A129" s="3" t="s">
        <v>204</v>
      </c>
      <c r="B129" s="3" t="s">
        <v>25</v>
      </c>
      <c r="C129" s="3">
        <v>2</v>
      </c>
      <c r="D129" s="6">
        <v>116.3</v>
      </c>
      <c r="E129" s="6">
        <v>232.6</v>
      </c>
      <c r="F129" s="5">
        <v>45663</v>
      </c>
      <c r="G129" s="5">
        <v>45665</v>
      </c>
      <c r="H129" s="3" t="s">
        <v>26</v>
      </c>
      <c r="I129" s="4" t="s">
        <v>45</v>
      </c>
      <c r="J129" s="3">
        <v>5</v>
      </c>
      <c r="K129" s="3" t="s">
        <v>67</v>
      </c>
      <c r="L129" s="3">
        <v>2</v>
      </c>
      <c r="M129" s="3">
        <v>2</v>
      </c>
      <c r="N129" s="3" t="s">
        <v>28</v>
      </c>
    </row>
    <row r="130" spans="1:14" x14ac:dyDescent="0.3">
      <c r="A130" s="7" t="s">
        <v>205</v>
      </c>
      <c r="B130" s="7" t="s">
        <v>44</v>
      </c>
      <c r="C130" s="7">
        <v>5</v>
      </c>
      <c r="D130" s="10">
        <v>52.7</v>
      </c>
      <c r="E130" s="10">
        <v>263.5</v>
      </c>
      <c r="F130" s="9">
        <v>45663</v>
      </c>
      <c r="G130" s="9">
        <v>45667</v>
      </c>
      <c r="H130" s="7" t="s">
        <v>26</v>
      </c>
      <c r="I130" s="8" t="s">
        <v>21</v>
      </c>
      <c r="J130" s="7">
        <v>4</v>
      </c>
      <c r="K130" s="7" t="s">
        <v>67</v>
      </c>
      <c r="L130" s="7">
        <v>4</v>
      </c>
      <c r="M130" s="7">
        <v>2</v>
      </c>
      <c r="N130" s="7" t="s">
        <v>28</v>
      </c>
    </row>
    <row r="131" spans="1:14" x14ac:dyDescent="0.3">
      <c r="A131" s="3" t="s">
        <v>206</v>
      </c>
      <c r="B131" s="3" t="s">
        <v>134</v>
      </c>
      <c r="C131" s="3">
        <v>3</v>
      </c>
      <c r="D131" s="6">
        <v>34.200000000000003</v>
      </c>
      <c r="E131" s="6">
        <v>102.6</v>
      </c>
      <c r="F131" s="5">
        <v>45663</v>
      </c>
      <c r="G131" s="5">
        <v>45664</v>
      </c>
      <c r="H131" s="3" t="s">
        <v>26</v>
      </c>
      <c r="I131" s="4" t="s">
        <v>21</v>
      </c>
      <c r="J131" s="3">
        <v>5</v>
      </c>
      <c r="K131" s="3" t="s">
        <v>207</v>
      </c>
      <c r="L131" s="3">
        <v>1</v>
      </c>
      <c r="M131" s="3">
        <v>2</v>
      </c>
      <c r="N131" s="3" t="s">
        <v>28</v>
      </c>
    </row>
    <row r="132" spans="1:14" x14ac:dyDescent="0.3">
      <c r="A132" s="7" t="s">
        <v>208</v>
      </c>
      <c r="B132" s="7" t="s">
        <v>51</v>
      </c>
      <c r="C132" s="7">
        <v>1</v>
      </c>
      <c r="D132" s="10">
        <v>23.3</v>
      </c>
      <c r="E132" s="10">
        <v>23.3</v>
      </c>
      <c r="F132" s="9">
        <v>45663</v>
      </c>
      <c r="G132" s="9">
        <v>45672</v>
      </c>
      <c r="H132" s="7" t="s">
        <v>94</v>
      </c>
      <c r="I132" s="8" t="s">
        <v>45</v>
      </c>
      <c r="J132" s="7">
        <v>5</v>
      </c>
      <c r="K132" s="7" t="s">
        <v>77</v>
      </c>
      <c r="L132" s="7">
        <v>9</v>
      </c>
      <c r="M132" s="7">
        <v>2</v>
      </c>
      <c r="N132" s="7" t="s">
        <v>95</v>
      </c>
    </row>
    <row r="133" spans="1:14" x14ac:dyDescent="0.3">
      <c r="A133" s="3" t="s">
        <v>209</v>
      </c>
      <c r="B133" s="3" t="s">
        <v>20</v>
      </c>
      <c r="C133" s="3">
        <v>26</v>
      </c>
      <c r="D133" s="6">
        <v>25.9</v>
      </c>
      <c r="E133" s="6">
        <v>673.4</v>
      </c>
      <c r="F133" s="5">
        <v>45663</v>
      </c>
      <c r="G133" s="5">
        <v>45666</v>
      </c>
      <c r="H133" s="3" t="s">
        <v>31</v>
      </c>
      <c r="I133" s="4" t="s">
        <v>75</v>
      </c>
      <c r="J133" s="3">
        <v>3</v>
      </c>
      <c r="K133" s="3" t="s">
        <v>77</v>
      </c>
      <c r="L133" s="3">
        <v>3</v>
      </c>
      <c r="M133" s="3">
        <v>2</v>
      </c>
      <c r="N133" s="3" t="s">
        <v>33</v>
      </c>
    </row>
    <row r="134" spans="1:14" x14ac:dyDescent="0.3">
      <c r="A134" s="7" t="s">
        <v>210</v>
      </c>
      <c r="B134" s="7" t="s">
        <v>44</v>
      </c>
      <c r="C134" s="7">
        <v>29</v>
      </c>
      <c r="D134" s="10">
        <v>54.9</v>
      </c>
      <c r="E134" s="10">
        <v>1592.1</v>
      </c>
      <c r="F134" s="9">
        <v>45663</v>
      </c>
      <c r="G134" s="9">
        <v>45664</v>
      </c>
      <c r="H134" s="7" t="s">
        <v>26</v>
      </c>
      <c r="I134" s="8" t="s">
        <v>40</v>
      </c>
      <c r="J134" s="7">
        <v>5</v>
      </c>
      <c r="K134" s="7" t="s">
        <v>77</v>
      </c>
      <c r="L134" s="7">
        <v>1</v>
      </c>
      <c r="M134" s="7">
        <v>2</v>
      </c>
      <c r="N134" s="7" t="s">
        <v>28</v>
      </c>
    </row>
    <row r="135" spans="1:14" x14ac:dyDescent="0.3">
      <c r="A135" s="3" t="s">
        <v>211</v>
      </c>
      <c r="B135" s="3" t="s">
        <v>42</v>
      </c>
      <c r="C135" s="3">
        <v>3</v>
      </c>
      <c r="D135" s="6">
        <v>75.8</v>
      </c>
      <c r="E135" s="6">
        <v>227.4</v>
      </c>
      <c r="F135" s="5">
        <v>45663</v>
      </c>
      <c r="G135" s="5">
        <v>45668</v>
      </c>
      <c r="H135" s="3" t="s">
        <v>94</v>
      </c>
      <c r="I135" s="4" t="s">
        <v>40</v>
      </c>
      <c r="J135" s="3">
        <v>4</v>
      </c>
      <c r="K135" s="3" t="s">
        <v>114</v>
      </c>
      <c r="L135" s="3">
        <v>5</v>
      </c>
      <c r="M135" s="3">
        <v>2</v>
      </c>
      <c r="N135" s="3" t="s">
        <v>95</v>
      </c>
    </row>
    <row r="136" spans="1:14" x14ac:dyDescent="0.3">
      <c r="A136" s="7" t="s">
        <v>212</v>
      </c>
      <c r="B136" s="7" t="s">
        <v>25</v>
      </c>
      <c r="C136" s="7">
        <v>9</v>
      </c>
      <c r="D136" s="10">
        <v>44.9</v>
      </c>
      <c r="E136" s="10">
        <v>404.1</v>
      </c>
      <c r="F136" s="9">
        <v>45663</v>
      </c>
      <c r="G136" s="9">
        <v>45666</v>
      </c>
      <c r="H136" s="7" t="s">
        <v>31</v>
      </c>
      <c r="I136" s="8" t="s">
        <v>45</v>
      </c>
      <c r="J136" s="7">
        <v>5</v>
      </c>
      <c r="K136" s="7" t="s">
        <v>32</v>
      </c>
      <c r="L136" s="7">
        <v>3</v>
      </c>
      <c r="M136" s="7">
        <v>2</v>
      </c>
      <c r="N136" s="7" t="s">
        <v>33</v>
      </c>
    </row>
    <row r="137" spans="1:14" x14ac:dyDescent="0.3">
      <c r="A137" s="3" t="s">
        <v>213</v>
      </c>
      <c r="B137" s="3" t="s">
        <v>72</v>
      </c>
      <c r="C137" s="3">
        <v>2</v>
      </c>
      <c r="D137" s="6">
        <v>48.8</v>
      </c>
      <c r="E137" s="6">
        <v>97.6</v>
      </c>
      <c r="F137" s="5">
        <v>45663</v>
      </c>
      <c r="G137" s="5">
        <v>45665</v>
      </c>
      <c r="H137" s="3" t="s">
        <v>31</v>
      </c>
      <c r="I137" s="4" t="s">
        <v>56</v>
      </c>
      <c r="J137" s="3">
        <v>4</v>
      </c>
      <c r="K137" s="3" t="s">
        <v>214</v>
      </c>
      <c r="L137" s="3">
        <v>2</v>
      </c>
      <c r="M137" s="3">
        <v>2</v>
      </c>
      <c r="N137" s="3" t="s">
        <v>33</v>
      </c>
    </row>
    <row r="138" spans="1:14" x14ac:dyDescent="0.3">
      <c r="A138" s="7" t="s">
        <v>215</v>
      </c>
      <c r="B138" s="7" t="s">
        <v>129</v>
      </c>
      <c r="C138" s="7">
        <v>1</v>
      </c>
      <c r="D138" s="10">
        <v>20.3</v>
      </c>
      <c r="E138" s="10">
        <v>20.3</v>
      </c>
      <c r="F138" s="9">
        <v>45663</v>
      </c>
      <c r="G138" s="9">
        <v>45664</v>
      </c>
      <c r="H138" s="7" t="s">
        <v>31</v>
      </c>
      <c r="I138" s="8" t="s">
        <v>21</v>
      </c>
      <c r="J138" s="7">
        <v>5</v>
      </c>
      <c r="K138" s="7" t="s">
        <v>153</v>
      </c>
      <c r="L138" s="7">
        <v>1</v>
      </c>
      <c r="M138" s="7">
        <v>2</v>
      </c>
      <c r="N138" s="7" t="s">
        <v>33</v>
      </c>
    </row>
    <row r="139" spans="1:14" x14ac:dyDescent="0.3">
      <c r="A139" s="3" t="s">
        <v>216</v>
      </c>
      <c r="B139" s="3" t="s">
        <v>42</v>
      </c>
      <c r="C139" s="3">
        <v>7</v>
      </c>
      <c r="D139" s="6">
        <v>36.4</v>
      </c>
      <c r="E139" s="6">
        <v>254.8</v>
      </c>
      <c r="F139" s="5">
        <v>45663</v>
      </c>
      <c r="G139" s="5">
        <v>45666</v>
      </c>
      <c r="H139" s="3" t="s">
        <v>31</v>
      </c>
      <c r="I139" s="4" t="s">
        <v>21</v>
      </c>
      <c r="J139" s="3">
        <v>3</v>
      </c>
      <c r="K139" s="3" t="s">
        <v>38</v>
      </c>
      <c r="L139" s="3">
        <v>3</v>
      </c>
      <c r="M139" s="3">
        <v>2</v>
      </c>
      <c r="N139" s="3" t="s">
        <v>33</v>
      </c>
    </row>
    <row r="140" spans="1:14" x14ac:dyDescent="0.3">
      <c r="A140" s="7" t="s">
        <v>217</v>
      </c>
      <c r="B140" s="7" t="s">
        <v>20</v>
      </c>
      <c r="C140" s="7">
        <v>1</v>
      </c>
      <c r="D140" s="10">
        <v>19</v>
      </c>
      <c r="E140" s="10">
        <v>19</v>
      </c>
      <c r="F140" s="9">
        <v>45663</v>
      </c>
      <c r="G140" s="9">
        <v>45668</v>
      </c>
      <c r="H140" s="7" t="s">
        <v>31</v>
      </c>
      <c r="I140" s="8" t="s">
        <v>40</v>
      </c>
      <c r="J140" s="7">
        <v>5</v>
      </c>
      <c r="K140" s="7" t="s">
        <v>38</v>
      </c>
      <c r="L140" s="7">
        <v>5</v>
      </c>
      <c r="M140" s="7">
        <v>2</v>
      </c>
      <c r="N140" s="7" t="s">
        <v>33</v>
      </c>
    </row>
    <row r="141" spans="1:14" x14ac:dyDescent="0.3">
      <c r="A141" s="3" t="s">
        <v>218</v>
      </c>
      <c r="B141" s="3" t="s">
        <v>49</v>
      </c>
      <c r="C141" s="3">
        <v>1</v>
      </c>
      <c r="D141" s="6">
        <v>17.8</v>
      </c>
      <c r="E141" s="6">
        <v>17.8</v>
      </c>
      <c r="F141" s="5">
        <v>45663</v>
      </c>
      <c r="G141" s="5">
        <v>45663</v>
      </c>
      <c r="H141" s="3" t="s">
        <v>26</v>
      </c>
      <c r="I141" s="4" t="s">
        <v>21</v>
      </c>
      <c r="J141" s="3">
        <v>4</v>
      </c>
      <c r="K141" s="3" t="s">
        <v>38</v>
      </c>
      <c r="L141" s="3">
        <v>0</v>
      </c>
      <c r="M141" s="3">
        <v>2</v>
      </c>
      <c r="N141" s="3" t="s">
        <v>28</v>
      </c>
    </row>
    <row r="142" spans="1:14" x14ac:dyDescent="0.3">
      <c r="A142" s="7" t="s">
        <v>219</v>
      </c>
      <c r="B142" s="7" t="s">
        <v>30</v>
      </c>
      <c r="C142" s="7">
        <v>6</v>
      </c>
      <c r="D142" s="10">
        <v>139.6</v>
      </c>
      <c r="E142" s="10">
        <v>837.59999999999991</v>
      </c>
      <c r="F142" s="9">
        <v>45663</v>
      </c>
      <c r="G142" s="9">
        <v>45666</v>
      </c>
      <c r="H142" s="7" t="s">
        <v>26</v>
      </c>
      <c r="I142" s="8" t="s">
        <v>21</v>
      </c>
      <c r="J142" s="7">
        <v>4</v>
      </c>
      <c r="K142" s="7" t="s">
        <v>38</v>
      </c>
      <c r="L142" s="7">
        <v>3</v>
      </c>
      <c r="M142" s="7">
        <v>2</v>
      </c>
      <c r="N142" s="7" t="s">
        <v>28</v>
      </c>
    </row>
    <row r="143" spans="1:14" x14ac:dyDescent="0.3">
      <c r="A143" s="3" t="s">
        <v>220</v>
      </c>
      <c r="B143" s="3" t="s">
        <v>51</v>
      </c>
      <c r="C143" s="3">
        <v>1</v>
      </c>
      <c r="D143" s="6">
        <v>31.7</v>
      </c>
      <c r="E143" s="6">
        <v>31.7</v>
      </c>
      <c r="F143" s="5">
        <v>45663</v>
      </c>
      <c r="G143" s="5">
        <v>45663</v>
      </c>
      <c r="H143" s="3"/>
      <c r="I143" s="4" t="s">
        <v>21</v>
      </c>
      <c r="J143" s="3">
        <v>4</v>
      </c>
      <c r="K143" s="3" t="s">
        <v>38</v>
      </c>
      <c r="L143" s="3">
        <v>0</v>
      </c>
      <c r="M143" s="3">
        <v>2</v>
      </c>
      <c r="N143" s="3" t="s">
        <v>23</v>
      </c>
    </row>
    <row r="144" spans="1:14" x14ac:dyDescent="0.3">
      <c r="A144" s="7" t="s">
        <v>221</v>
      </c>
      <c r="B144" s="7" t="s">
        <v>49</v>
      </c>
      <c r="C144" s="7">
        <v>8</v>
      </c>
      <c r="D144" s="10">
        <v>26.3</v>
      </c>
      <c r="E144" s="10">
        <v>210.4</v>
      </c>
      <c r="F144" s="9">
        <v>45663</v>
      </c>
      <c r="G144" s="9">
        <v>45666</v>
      </c>
      <c r="H144" s="7" t="s">
        <v>31</v>
      </c>
      <c r="I144" s="8" t="s">
        <v>75</v>
      </c>
      <c r="J144" s="7">
        <v>2</v>
      </c>
      <c r="K144" s="7" t="s">
        <v>38</v>
      </c>
      <c r="L144" s="7">
        <v>3</v>
      </c>
      <c r="M144" s="7">
        <v>2</v>
      </c>
      <c r="N144" s="7" t="s">
        <v>33</v>
      </c>
    </row>
    <row r="145" spans="1:14" x14ac:dyDescent="0.3">
      <c r="A145" s="3" t="s">
        <v>222</v>
      </c>
      <c r="B145" s="3" t="s">
        <v>37</v>
      </c>
      <c r="C145" s="3">
        <v>2</v>
      </c>
      <c r="D145" s="6">
        <v>47.8</v>
      </c>
      <c r="E145" s="6">
        <v>95.6</v>
      </c>
      <c r="F145" s="5">
        <v>45663</v>
      </c>
      <c r="G145" s="5">
        <v>45664</v>
      </c>
      <c r="H145" s="3"/>
      <c r="I145" s="4" t="s">
        <v>21</v>
      </c>
      <c r="J145" s="3">
        <v>4</v>
      </c>
      <c r="K145" s="3" t="s">
        <v>38</v>
      </c>
      <c r="L145" s="3">
        <v>1</v>
      </c>
      <c r="M145" s="3">
        <v>2</v>
      </c>
      <c r="N145" s="3" t="s">
        <v>23</v>
      </c>
    </row>
    <row r="146" spans="1:14" x14ac:dyDescent="0.3">
      <c r="A146" s="7" t="s">
        <v>223</v>
      </c>
      <c r="B146" s="7" t="s">
        <v>51</v>
      </c>
      <c r="C146" s="7">
        <v>3</v>
      </c>
      <c r="D146" s="10">
        <v>69.400000000000006</v>
      </c>
      <c r="E146" s="10">
        <v>208.2</v>
      </c>
      <c r="F146" s="9">
        <v>45663</v>
      </c>
      <c r="G146" s="9">
        <v>45667</v>
      </c>
      <c r="H146" s="7" t="s">
        <v>31</v>
      </c>
      <c r="I146" s="8" t="s">
        <v>21</v>
      </c>
      <c r="J146" s="7">
        <v>4</v>
      </c>
      <c r="K146" s="7" t="s">
        <v>38</v>
      </c>
      <c r="L146" s="7">
        <v>4</v>
      </c>
      <c r="M146" s="7">
        <v>2</v>
      </c>
      <c r="N146" s="7" t="s">
        <v>33</v>
      </c>
    </row>
    <row r="147" spans="1:14" x14ac:dyDescent="0.3">
      <c r="A147" s="3" t="s">
        <v>224</v>
      </c>
      <c r="B147" s="3" t="s">
        <v>152</v>
      </c>
      <c r="C147" s="3">
        <v>12</v>
      </c>
      <c r="D147" s="6">
        <v>25.8</v>
      </c>
      <c r="E147" s="6">
        <v>309.60000000000002</v>
      </c>
      <c r="F147" s="5">
        <v>45663</v>
      </c>
      <c r="G147" s="5">
        <v>45664</v>
      </c>
      <c r="H147" s="3" t="s">
        <v>26</v>
      </c>
      <c r="I147" s="4" t="s">
        <v>75</v>
      </c>
      <c r="J147" s="3">
        <v>2</v>
      </c>
      <c r="K147" s="3" t="s">
        <v>38</v>
      </c>
      <c r="L147" s="3">
        <v>1</v>
      </c>
      <c r="M147" s="3">
        <v>2</v>
      </c>
      <c r="N147" s="3" t="s">
        <v>28</v>
      </c>
    </row>
    <row r="148" spans="1:14" x14ac:dyDescent="0.3">
      <c r="A148" s="7" t="s">
        <v>225</v>
      </c>
      <c r="B148" s="7" t="s">
        <v>20</v>
      </c>
      <c r="C148" s="7">
        <v>4</v>
      </c>
      <c r="D148" s="10">
        <v>26.4</v>
      </c>
      <c r="E148" s="10">
        <v>105.6</v>
      </c>
      <c r="F148" s="9">
        <v>45663</v>
      </c>
      <c r="G148" s="9">
        <v>45664</v>
      </c>
      <c r="H148" s="7" t="s">
        <v>26</v>
      </c>
      <c r="I148" s="8" t="s">
        <v>40</v>
      </c>
      <c r="J148" s="7">
        <v>5</v>
      </c>
      <c r="K148" s="7" t="s">
        <v>38</v>
      </c>
      <c r="L148" s="7">
        <v>1</v>
      </c>
      <c r="M148" s="7">
        <v>2</v>
      </c>
      <c r="N148" s="7" t="s">
        <v>28</v>
      </c>
    </row>
    <row r="149" spans="1:14" x14ac:dyDescent="0.3">
      <c r="A149" s="3" t="s">
        <v>226</v>
      </c>
      <c r="B149" s="3" t="s">
        <v>49</v>
      </c>
      <c r="C149" s="3">
        <v>4</v>
      </c>
      <c r="D149" s="6">
        <v>15.7</v>
      </c>
      <c r="E149" s="6">
        <v>62.8</v>
      </c>
      <c r="F149" s="5">
        <v>45663</v>
      </c>
      <c r="G149" s="5">
        <v>45664</v>
      </c>
      <c r="H149" s="3" t="s">
        <v>26</v>
      </c>
      <c r="I149" s="4" t="s">
        <v>45</v>
      </c>
      <c r="J149" s="3">
        <v>4</v>
      </c>
      <c r="K149" s="3" t="s">
        <v>38</v>
      </c>
      <c r="L149" s="3">
        <v>1</v>
      </c>
      <c r="M149" s="3">
        <v>2</v>
      </c>
      <c r="N149" s="3" t="s">
        <v>28</v>
      </c>
    </row>
    <row r="150" spans="1:14" x14ac:dyDescent="0.3">
      <c r="A150" s="7" t="s">
        <v>227</v>
      </c>
      <c r="B150" s="7" t="s">
        <v>49</v>
      </c>
      <c r="C150" s="7">
        <v>1</v>
      </c>
      <c r="D150" s="10">
        <v>39.700000000000003</v>
      </c>
      <c r="E150" s="10">
        <v>39.700000000000003</v>
      </c>
      <c r="F150" s="9">
        <v>45663</v>
      </c>
      <c r="G150" s="9">
        <v>45667</v>
      </c>
      <c r="H150" s="7" t="s">
        <v>26</v>
      </c>
      <c r="I150" s="8" t="s">
        <v>21</v>
      </c>
      <c r="J150" s="7">
        <v>4</v>
      </c>
      <c r="K150" s="7" t="s">
        <v>38</v>
      </c>
      <c r="L150" s="7">
        <v>4</v>
      </c>
      <c r="M150" s="7">
        <v>2</v>
      </c>
      <c r="N150" s="7" t="s">
        <v>28</v>
      </c>
    </row>
    <row r="151" spans="1:14" x14ac:dyDescent="0.3">
      <c r="A151" s="3" t="s">
        <v>228</v>
      </c>
      <c r="B151" s="3" t="s">
        <v>59</v>
      </c>
      <c r="C151" s="3">
        <v>4</v>
      </c>
      <c r="D151" s="6">
        <v>31.1</v>
      </c>
      <c r="E151" s="6">
        <v>124.4</v>
      </c>
      <c r="F151" s="5">
        <v>45663</v>
      </c>
      <c r="G151" s="5">
        <v>45665</v>
      </c>
      <c r="H151" s="3" t="s">
        <v>31</v>
      </c>
      <c r="I151" s="4" t="s">
        <v>45</v>
      </c>
      <c r="J151" s="3">
        <v>3</v>
      </c>
      <c r="K151" s="3" t="s">
        <v>38</v>
      </c>
      <c r="L151" s="3">
        <v>2</v>
      </c>
      <c r="M151" s="3">
        <v>2</v>
      </c>
      <c r="N151" s="3" t="s">
        <v>33</v>
      </c>
    </row>
    <row r="152" spans="1:14" x14ac:dyDescent="0.3">
      <c r="A152" s="7" t="s">
        <v>229</v>
      </c>
      <c r="B152" s="7" t="s">
        <v>81</v>
      </c>
      <c r="C152" s="7">
        <v>15</v>
      </c>
      <c r="D152" s="10">
        <v>23.4</v>
      </c>
      <c r="E152" s="10">
        <v>351</v>
      </c>
      <c r="F152" s="9">
        <v>45663</v>
      </c>
      <c r="G152" s="9">
        <v>45672</v>
      </c>
      <c r="H152" s="7" t="s">
        <v>26</v>
      </c>
      <c r="I152" s="8" t="s">
        <v>21</v>
      </c>
      <c r="J152" s="7">
        <v>4</v>
      </c>
      <c r="K152" s="7" t="s">
        <v>38</v>
      </c>
      <c r="L152" s="7">
        <v>9</v>
      </c>
      <c r="M152" s="7">
        <v>2</v>
      </c>
      <c r="N152" s="7" t="s">
        <v>28</v>
      </c>
    </row>
    <row r="153" spans="1:14" x14ac:dyDescent="0.3">
      <c r="A153" s="3" t="s">
        <v>230</v>
      </c>
      <c r="B153" s="3" t="s">
        <v>25</v>
      </c>
      <c r="C153" s="3">
        <v>4</v>
      </c>
      <c r="D153" s="6">
        <v>57.1</v>
      </c>
      <c r="E153" s="6">
        <v>228.4</v>
      </c>
      <c r="F153" s="5">
        <v>45664</v>
      </c>
      <c r="G153" s="5">
        <v>45665</v>
      </c>
      <c r="H153" s="3" t="s">
        <v>26</v>
      </c>
      <c r="I153" s="4" t="s">
        <v>45</v>
      </c>
      <c r="J153" s="3">
        <v>4</v>
      </c>
      <c r="K153" s="3" t="s">
        <v>194</v>
      </c>
      <c r="L153" s="3">
        <v>1</v>
      </c>
      <c r="M153" s="3">
        <v>2</v>
      </c>
      <c r="N153" s="3" t="s">
        <v>28</v>
      </c>
    </row>
    <row r="154" spans="1:14" x14ac:dyDescent="0.3">
      <c r="A154" s="7" t="s">
        <v>231</v>
      </c>
      <c r="B154" s="7" t="s">
        <v>30</v>
      </c>
      <c r="C154" s="7">
        <v>5</v>
      </c>
      <c r="D154" s="10">
        <v>89.9</v>
      </c>
      <c r="E154" s="10">
        <v>449.5</v>
      </c>
      <c r="F154" s="9">
        <v>45664</v>
      </c>
      <c r="G154" s="9">
        <v>45664</v>
      </c>
      <c r="H154" s="7" t="s">
        <v>31</v>
      </c>
      <c r="I154" s="8" t="s">
        <v>21</v>
      </c>
      <c r="J154" s="7">
        <v>1</v>
      </c>
      <c r="K154" s="7" t="s">
        <v>164</v>
      </c>
      <c r="L154" s="7">
        <v>0</v>
      </c>
      <c r="M154" s="7">
        <v>2</v>
      </c>
      <c r="N154" s="7" t="s">
        <v>33</v>
      </c>
    </row>
    <row r="155" spans="1:14" x14ac:dyDescent="0.3">
      <c r="A155" s="3" t="s">
        <v>232</v>
      </c>
      <c r="B155" s="3" t="s">
        <v>59</v>
      </c>
      <c r="C155" s="3">
        <v>7</v>
      </c>
      <c r="D155" s="6">
        <v>48.1</v>
      </c>
      <c r="E155" s="6">
        <v>336.7</v>
      </c>
      <c r="F155" s="5">
        <v>45664</v>
      </c>
      <c r="G155" s="5">
        <v>45666</v>
      </c>
      <c r="H155" s="3" t="s">
        <v>31</v>
      </c>
      <c r="I155" s="4" t="s">
        <v>40</v>
      </c>
      <c r="J155" s="3">
        <v>5</v>
      </c>
      <c r="K155" s="3" t="s">
        <v>60</v>
      </c>
      <c r="L155" s="3">
        <v>2</v>
      </c>
      <c r="M155" s="3">
        <v>2</v>
      </c>
      <c r="N155" s="3" t="s">
        <v>33</v>
      </c>
    </row>
    <row r="156" spans="1:14" x14ac:dyDescent="0.3">
      <c r="A156" s="7" t="s">
        <v>233</v>
      </c>
      <c r="B156" s="7" t="s">
        <v>49</v>
      </c>
      <c r="C156" s="7">
        <v>2</v>
      </c>
      <c r="D156" s="10">
        <v>29.3</v>
      </c>
      <c r="E156" s="10">
        <v>58.6</v>
      </c>
      <c r="F156" s="9">
        <v>45664</v>
      </c>
      <c r="G156" s="9">
        <v>45664</v>
      </c>
      <c r="H156" s="7" t="s">
        <v>31</v>
      </c>
      <c r="I156" s="8" t="s">
        <v>40</v>
      </c>
      <c r="J156" s="7">
        <v>3</v>
      </c>
      <c r="K156" s="7" t="s">
        <v>60</v>
      </c>
      <c r="L156" s="7">
        <v>0</v>
      </c>
      <c r="M156" s="7">
        <v>2</v>
      </c>
      <c r="N156" s="7" t="s">
        <v>33</v>
      </c>
    </row>
    <row r="157" spans="1:14" x14ac:dyDescent="0.3">
      <c r="A157" s="3" t="s">
        <v>234</v>
      </c>
      <c r="B157" s="3" t="s">
        <v>49</v>
      </c>
      <c r="C157" s="3">
        <v>4</v>
      </c>
      <c r="D157" s="6">
        <v>28.8</v>
      </c>
      <c r="E157" s="6">
        <v>115.2</v>
      </c>
      <c r="F157" s="5">
        <v>45664</v>
      </c>
      <c r="G157" s="5">
        <v>45665</v>
      </c>
      <c r="H157" s="3" t="s">
        <v>31</v>
      </c>
      <c r="I157" s="4" t="s">
        <v>21</v>
      </c>
      <c r="J157" s="3">
        <v>2</v>
      </c>
      <c r="K157" s="3" t="s">
        <v>60</v>
      </c>
      <c r="L157" s="3">
        <v>1</v>
      </c>
      <c r="M157" s="3">
        <v>2</v>
      </c>
      <c r="N157" s="3" t="s">
        <v>33</v>
      </c>
    </row>
    <row r="158" spans="1:14" x14ac:dyDescent="0.3">
      <c r="A158" s="7" t="s">
        <v>235</v>
      </c>
      <c r="B158" s="7" t="s">
        <v>59</v>
      </c>
      <c r="C158" s="7">
        <v>5</v>
      </c>
      <c r="D158" s="10">
        <v>40.5</v>
      </c>
      <c r="E158" s="10">
        <v>202.5</v>
      </c>
      <c r="F158" s="9">
        <v>45664</v>
      </c>
      <c r="G158" s="9">
        <v>45668</v>
      </c>
      <c r="H158" s="7" t="s">
        <v>31</v>
      </c>
      <c r="I158" s="8" t="s">
        <v>56</v>
      </c>
      <c r="J158" s="7">
        <v>4</v>
      </c>
      <c r="K158" s="7" t="s">
        <v>60</v>
      </c>
      <c r="L158" s="7">
        <v>4</v>
      </c>
      <c r="M158" s="7">
        <v>2</v>
      </c>
      <c r="N158" s="7" t="s">
        <v>33</v>
      </c>
    </row>
    <row r="159" spans="1:14" x14ac:dyDescent="0.3">
      <c r="A159" s="3" t="s">
        <v>236</v>
      </c>
      <c r="B159" s="3" t="s">
        <v>152</v>
      </c>
      <c r="C159" s="3">
        <v>14</v>
      </c>
      <c r="D159" s="6">
        <v>65.099999999999994</v>
      </c>
      <c r="E159" s="6">
        <v>911.39999999999986</v>
      </c>
      <c r="F159" s="5">
        <v>45664</v>
      </c>
      <c r="G159" s="5">
        <v>45665</v>
      </c>
      <c r="H159" s="3" t="s">
        <v>31</v>
      </c>
      <c r="I159" s="4" t="s">
        <v>75</v>
      </c>
      <c r="J159" s="3">
        <v>4</v>
      </c>
      <c r="K159" s="3" t="s">
        <v>64</v>
      </c>
      <c r="L159" s="3">
        <v>1</v>
      </c>
      <c r="M159" s="3">
        <v>2</v>
      </c>
      <c r="N159" s="3" t="s">
        <v>33</v>
      </c>
    </row>
    <row r="160" spans="1:14" x14ac:dyDescent="0.3">
      <c r="A160" s="7" t="s">
        <v>237</v>
      </c>
      <c r="B160" s="7" t="s">
        <v>49</v>
      </c>
      <c r="C160" s="7">
        <v>4</v>
      </c>
      <c r="D160" s="10">
        <v>40.299999999999997</v>
      </c>
      <c r="E160" s="10">
        <v>161.19999999999999</v>
      </c>
      <c r="F160" s="9">
        <v>45664</v>
      </c>
      <c r="G160" s="9">
        <v>45669</v>
      </c>
      <c r="H160" s="7" t="s">
        <v>31</v>
      </c>
      <c r="I160" s="8" t="s">
        <v>45</v>
      </c>
      <c r="J160" s="7">
        <v>4</v>
      </c>
      <c r="K160" s="7" t="s">
        <v>64</v>
      </c>
      <c r="L160" s="7">
        <v>5</v>
      </c>
      <c r="M160" s="7">
        <v>2</v>
      </c>
      <c r="N160" s="7" t="s">
        <v>33</v>
      </c>
    </row>
    <row r="161" spans="1:14" x14ac:dyDescent="0.3">
      <c r="A161" s="3" t="s">
        <v>238</v>
      </c>
      <c r="B161" s="3" t="s">
        <v>44</v>
      </c>
      <c r="C161" s="3">
        <v>5</v>
      </c>
      <c r="D161" s="6">
        <v>51.8</v>
      </c>
      <c r="E161" s="6">
        <v>259</v>
      </c>
      <c r="F161" s="5">
        <v>45664</v>
      </c>
      <c r="G161" s="5">
        <v>45665</v>
      </c>
      <c r="H161" s="3" t="s">
        <v>26</v>
      </c>
      <c r="I161" s="4" t="s">
        <v>45</v>
      </c>
      <c r="J161" s="3">
        <v>5</v>
      </c>
      <c r="K161" s="3" t="s">
        <v>67</v>
      </c>
      <c r="L161" s="3">
        <v>1</v>
      </c>
      <c r="M161" s="3">
        <v>2</v>
      </c>
      <c r="N161" s="3" t="s">
        <v>28</v>
      </c>
    </row>
    <row r="162" spans="1:14" x14ac:dyDescent="0.3">
      <c r="A162" s="7" t="s">
        <v>239</v>
      </c>
      <c r="B162" s="7" t="s">
        <v>44</v>
      </c>
      <c r="C162" s="7">
        <v>3</v>
      </c>
      <c r="D162" s="10">
        <v>61.3</v>
      </c>
      <c r="E162" s="10">
        <v>183.9</v>
      </c>
      <c r="F162" s="9">
        <v>45664</v>
      </c>
      <c r="G162" s="9">
        <v>45665</v>
      </c>
      <c r="H162" s="7" t="s">
        <v>31</v>
      </c>
      <c r="I162" s="8" t="s">
        <v>56</v>
      </c>
      <c r="J162" s="7">
        <v>4</v>
      </c>
      <c r="K162" s="7" t="s">
        <v>67</v>
      </c>
      <c r="L162" s="7">
        <v>1</v>
      </c>
      <c r="M162" s="7">
        <v>2</v>
      </c>
      <c r="N162" s="7" t="s">
        <v>33</v>
      </c>
    </row>
    <row r="163" spans="1:14" x14ac:dyDescent="0.3">
      <c r="A163" s="3" t="s">
        <v>240</v>
      </c>
      <c r="B163" s="3" t="s">
        <v>30</v>
      </c>
      <c r="C163" s="3">
        <v>4</v>
      </c>
      <c r="D163" s="6">
        <v>122.5</v>
      </c>
      <c r="E163" s="6">
        <v>490</v>
      </c>
      <c r="F163" s="5">
        <v>45664</v>
      </c>
      <c r="G163" s="5">
        <v>45665</v>
      </c>
      <c r="H163" s="3" t="s">
        <v>26</v>
      </c>
      <c r="I163" s="4" t="s">
        <v>21</v>
      </c>
      <c r="J163" s="3">
        <v>4</v>
      </c>
      <c r="K163" s="3" t="s">
        <v>67</v>
      </c>
      <c r="L163" s="3">
        <v>1</v>
      </c>
      <c r="M163" s="3">
        <v>2</v>
      </c>
      <c r="N163" s="3" t="s">
        <v>28</v>
      </c>
    </row>
    <row r="164" spans="1:14" x14ac:dyDescent="0.3">
      <c r="A164" s="7" t="s">
        <v>241</v>
      </c>
      <c r="B164" s="7" t="s">
        <v>20</v>
      </c>
      <c r="C164" s="7">
        <v>9</v>
      </c>
      <c r="D164" s="10">
        <v>12.5</v>
      </c>
      <c r="E164" s="10">
        <v>112.5</v>
      </c>
      <c r="F164" s="9">
        <v>45664</v>
      </c>
      <c r="G164" s="9">
        <v>45665</v>
      </c>
      <c r="H164" s="7"/>
      <c r="I164" s="8" t="s">
        <v>40</v>
      </c>
      <c r="J164" s="7">
        <v>5</v>
      </c>
      <c r="K164" s="7" t="s">
        <v>67</v>
      </c>
      <c r="L164" s="7">
        <v>1</v>
      </c>
      <c r="M164" s="7">
        <v>2</v>
      </c>
      <c r="N164" s="7" t="s">
        <v>23</v>
      </c>
    </row>
    <row r="165" spans="1:14" x14ac:dyDescent="0.3">
      <c r="A165" s="3" t="s">
        <v>242</v>
      </c>
      <c r="B165" s="3" t="s">
        <v>129</v>
      </c>
      <c r="C165" s="3">
        <v>8</v>
      </c>
      <c r="D165" s="6">
        <v>37.5</v>
      </c>
      <c r="E165" s="6">
        <v>300</v>
      </c>
      <c r="F165" s="5">
        <v>45664</v>
      </c>
      <c r="G165" s="5">
        <v>45665</v>
      </c>
      <c r="H165" s="3" t="s">
        <v>31</v>
      </c>
      <c r="I165" s="4" t="s">
        <v>21</v>
      </c>
      <c r="J165" s="3">
        <v>4</v>
      </c>
      <c r="K165" s="3" t="s">
        <v>77</v>
      </c>
      <c r="L165" s="3">
        <v>1</v>
      </c>
      <c r="M165" s="3">
        <v>2</v>
      </c>
      <c r="N165" s="3" t="s">
        <v>33</v>
      </c>
    </row>
    <row r="166" spans="1:14" x14ac:dyDescent="0.3">
      <c r="A166" s="7" t="s">
        <v>243</v>
      </c>
      <c r="B166" s="7" t="s">
        <v>44</v>
      </c>
      <c r="C166" s="7">
        <v>3</v>
      </c>
      <c r="D166" s="10">
        <v>40</v>
      </c>
      <c r="E166" s="10">
        <v>120</v>
      </c>
      <c r="F166" s="9">
        <v>45664</v>
      </c>
      <c r="G166" s="9">
        <v>45667</v>
      </c>
      <c r="H166" s="7" t="s">
        <v>26</v>
      </c>
      <c r="I166" s="8" t="s">
        <v>21</v>
      </c>
      <c r="J166" s="7">
        <v>2</v>
      </c>
      <c r="K166" s="7" t="s">
        <v>82</v>
      </c>
      <c r="L166" s="7">
        <v>3</v>
      </c>
      <c r="M166" s="7">
        <v>2</v>
      </c>
      <c r="N166" s="7" t="s">
        <v>28</v>
      </c>
    </row>
    <row r="167" spans="1:14" x14ac:dyDescent="0.3">
      <c r="A167" s="3" t="s">
        <v>244</v>
      </c>
      <c r="B167" s="3" t="s">
        <v>141</v>
      </c>
      <c r="C167" s="3">
        <v>8</v>
      </c>
      <c r="D167" s="6">
        <v>38.5</v>
      </c>
      <c r="E167" s="6">
        <v>308</v>
      </c>
      <c r="F167" s="5">
        <v>45664</v>
      </c>
      <c r="G167" s="5">
        <v>45669</v>
      </c>
      <c r="H167" s="3" t="s">
        <v>31</v>
      </c>
      <c r="I167" s="4" t="s">
        <v>45</v>
      </c>
      <c r="J167" s="3">
        <v>3</v>
      </c>
      <c r="K167" s="3" t="s">
        <v>82</v>
      </c>
      <c r="L167" s="3">
        <v>5</v>
      </c>
      <c r="M167" s="3">
        <v>2</v>
      </c>
      <c r="N167" s="3" t="s">
        <v>33</v>
      </c>
    </row>
    <row r="168" spans="1:14" x14ac:dyDescent="0.3">
      <c r="A168" s="7" t="s">
        <v>245</v>
      </c>
      <c r="B168" s="7" t="s">
        <v>30</v>
      </c>
      <c r="C168" s="7">
        <v>2</v>
      </c>
      <c r="D168" s="10">
        <v>86.4</v>
      </c>
      <c r="E168" s="10">
        <v>172.8</v>
      </c>
      <c r="F168" s="9">
        <v>45664</v>
      </c>
      <c r="G168" s="9">
        <v>45666</v>
      </c>
      <c r="H168" s="7" t="s">
        <v>31</v>
      </c>
      <c r="I168" s="8" t="s">
        <v>21</v>
      </c>
      <c r="J168" s="7">
        <v>4</v>
      </c>
      <c r="K168" s="7" t="s">
        <v>114</v>
      </c>
      <c r="L168" s="7">
        <v>2</v>
      </c>
      <c r="M168" s="7">
        <v>2</v>
      </c>
      <c r="N168" s="7" t="s">
        <v>33</v>
      </c>
    </row>
    <row r="169" spans="1:14" x14ac:dyDescent="0.3">
      <c r="A169" s="3" t="s">
        <v>246</v>
      </c>
      <c r="B169" s="3" t="s">
        <v>59</v>
      </c>
      <c r="C169" s="3">
        <v>1</v>
      </c>
      <c r="D169" s="6">
        <v>50.7</v>
      </c>
      <c r="E169" s="6">
        <v>50.7</v>
      </c>
      <c r="F169" s="5">
        <v>45664</v>
      </c>
      <c r="G169" s="5">
        <v>45668</v>
      </c>
      <c r="H169" s="3" t="s">
        <v>31</v>
      </c>
      <c r="I169" s="4" t="s">
        <v>40</v>
      </c>
      <c r="J169" s="3">
        <v>4</v>
      </c>
      <c r="K169" s="3" t="s">
        <v>114</v>
      </c>
      <c r="L169" s="3">
        <v>4</v>
      </c>
      <c r="M169" s="3">
        <v>2</v>
      </c>
      <c r="N169" s="3" t="s">
        <v>33</v>
      </c>
    </row>
    <row r="170" spans="1:14" x14ac:dyDescent="0.3">
      <c r="A170" s="7" t="s">
        <v>247</v>
      </c>
      <c r="B170" s="7" t="s">
        <v>59</v>
      </c>
      <c r="C170" s="7">
        <v>2</v>
      </c>
      <c r="D170" s="10">
        <v>61</v>
      </c>
      <c r="E170" s="10">
        <v>122</v>
      </c>
      <c r="F170" s="9">
        <v>45664</v>
      </c>
      <c r="G170" s="9">
        <v>45675</v>
      </c>
      <c r="H170" s="7" t="s">
        <v>31</v>
      </c>
      <c r="I170" s="8" t="s">
        <v>75</v>
      </c>
      <c r="J170" s="7">
        <v>3</v>
      </c>
      <c r="K170" s="7" t="s">
        <v>114</v>
      </c>
      <c r="L170" s="7">
        <v>11</v>
      </c>
      <c r="M170" s="7">
        <v>2</v>
      </c>
      <c r="N170" s="7" t="s">
        <v>33</v>
      </c>
    </row>
    <row r="171" spans="1:14" x14ac:dyDescent="0.3">
      <c r="A171" s="3" t="s">
        <v>248</v>
      </c>
      <c r="B171" s="3" t="s">
        <v>37</v>
      </c>
      <c r="C171" s="3">
        <v>2</v>
      </c>
      <c r="D171" s="6">
        <v>19.899999999999999</v>
      </c>
      <c r="E171" s="6">
        <v>39.799999999999997</v>
      </c>
      <c r="F171" s="5">
        <v>45664</v>
      </c>
      <c r="G171" s="5">
        <v>45667</v>
      </c>
      <c r="H171" s="3" t="s">
        <v>31</v>
      </c>
      <c r="I171" s="4" t="s">
        <v>40</v>
      </c>
      <c r="J171" s="3">
        <v>4</v>
      </c>
      <c r="K171" s="3" t="s">
        <v>249</v>
      </c>
      <c r="L171" s="3">
        <v>3</v>
      </c>
      <c r="M171" s="3">
        <v>2</v>
      </c>
      <c r="N171" s="3" t="s">
        <v>33</v>
      </c>
    </row>
    <row r="172" spans="1:14" x14ac:dyDescent="0.3">
      <c r="A172" s="7" t="s">
        <v>250</v>
      </c>
      <c r="B172" s="7" t="s">
        <v>42</v>
      </c>
      <c r="C172" s="7">
        <v>1</v>
      </c>
      <c r="D172" s="10">
        <v>78.3</v>
      </c>
      <c r="E172" s="10">
        <v>78.3</v>
      </c>
      <c r="F172" s="9">
        <v>45664</v>
      </c>
      <c r="G172" s="9">
        <v>45664</v>
      </c>
      <c r="H172" s="7" t="s">
        <v>31</v>
      </c>
      <c r="I172" s="8" t="s">
        <v>21</v>
      </c>
      <c r="J172" s="7">
        <v>5</v>
      </c>
      <c r="K172" s="7" t="s">
        <v>27</v>
      </c>
      <c r="L172" s="7">
        <v>0</v>
      </c>
      <c r="M172" s="7">
        <v>2</v>
      </c>
      <c r="N172" s="7" t="s">
        <v>33</v>
      </c>
    </row>
    <row r="173" spans="1:14" x14ac:dyDescent="0.3">
      <c r="A173" s="3" t="s">
        <v>251</v>
      </c>
      <c r="B173" s="3" t="s">
        <v>20</v>
      </c>
      <c r="C173" s="3">
        <v>19</v>
      </c>
      <c r="D173" s="6">
        <v>10.4</v>
      </c>
      <c r="E173" s="6">
        <v>197.6</v>
      </c>
      <c r="F173" s="5">
        <v>45664</v>
      </c>
      <c r="G173" s="5">
        <v>45666</v>
      </c>
      <c r="H173" s="3" t="s">
        <v>26</v>
      </c>
      <c r="I173" s="4" t="s">
        <v>21</v>
      </c>
      <c r="J173" s="3">
        <v>5</v>
      </c>
      <c r="K173" s="3" t="s">
        <v>32</v>
      </c>
      <c r="L173" s="3">
        <v>2</v>
      </c>
      <c r="M173" s="3">
        <v>2</v>
      </c>
      <c r="N173" s="3" t="s">
        <v>28</v>
      </c>
    </row>
    <row r="174" spans="1:14" x14ac:dyDescent="0.3">
      <c r="A174" s="7" t="s">
        <v>252</v>
      </c>
      <c r="B174" s="7" t="s">
        <v>59</v>
      </c>
      <c r="C174" s="7">
        <v>1</v>
      </c>
      <c r="D174" s="10">
        <v>36.1</v>
      </c>
      <c r="E174" s="10">
        <v>36.1</v>
      </c>
      <c r="F174" s="9">
        <v>45664</v>
      </c>
      <c r="G174" s="9">
        <v>45667</v>
      </c>
      <c r="H174" s="7" t="s">
        <v>26</v>
      </c>
      <c r="I174" s="8" t="s">
        <v>56</v>
      </c>
      <c r="J174" s="7">
        <v>5</v>
      </c>
      <c r="K174" s="7" t="s">
        <v>38</v>
      </c>
      <c r="L174" s="7">
        <v>3</v>
      </c>
      <c r="M174" s="7">
        <v>2</v>
      </c>
      <c r="N174" s="7" t="s">
        <v>28</v>
      </c>
    </row>
    <row r="175" spans="1:14" x14ac:dyDescent="0.3">
      <c r="A175" s="3" t="s">
        <v>253</v>
      </c>
      <c r="B175" s="3" t="s">
        <v>86</v>
      </c>
      <c r="C175" s="3">
        <v>2</v>
      </c>
      <c r="D175" s="6">
        <v>17.3</v>
      </c>
      <c r="E175" s="6">
        <v>34.6</v>
      </c>
      <c r="F175" s="5">
        <v>45664</v>
      </c>
      <c r="G175" s="5">
        <v>45666</v>
      </c>
      <c r="H175" s="3" t="s">
        <v>31</v>
      </c>
      <c r="I175" s="4" t="s">
        <v>40</v>
      </c>
      <c r="J175" s="3">
        <v>5</v>
      </c>
      <c r="K175" s="3" t="s">
        <v>38</v>
      </c>
      <c r="L175" s="3">
        <v>2</v>
      </c>
      <c r="M175" s="3">
        <v>2</v>
      </c>
      <c r="N175" s="3" t="s">
        <v>33</v>
      </c>
    </row>
    <row r="176" spans="1:14" x14ac:dyDescent="0.3">
      <c r="A176" s="7" t="s">
        <v>254</v>
      </c>
      <c r="B176" s="7" t="s">
        <v>59</v>
      </c>
      <c r="C176" s="7">
        <v>2</v>
      </c>
      <c r="D176" s="10">
        <v>30.5</v>
      </c>
      <c r="E176" s="10">
        <v>61</v>
      </c>
      <c r="F176" s="9">
        <v>45664</v>
      </c>
      <c r="G176" s="9">
        <v>45665</v>
      </c>
      <c r="H176" s="7" t="s">
        <v>31</v>
      </c>
      <c r="I176" s="8" t="s">
        <v>40</v>
      </c>
      <c r="J176" s="7">
        <v>5</v>
      </c>
      <c r="K176" s="7" t="s">
        <v>38</v>
      </c>
      <c r="L176" s="7">
        <v>1</v>
      </c>
      <c r="M176" s="7">
        <v>2</v>
      </c>
      <c r="N176" s="7" t="s">
        <v>33</v>
      </c>
    </row>
    <row r="177" spans="1:14" x14ac:dyDescent="0.3">
      <c r="A177" s="3" t="s">
        <v>255</v>
      </c>
      <c r="B177" s="3" t="s">
        <v>152</v>
      </c>
      <c r="C177" s="3">
        <v>62</v>
      </c>
      <c r="D177" s="6">
        <v>70.099999999999994</v>
      </c>
      <c r="E177" s="6">
        <v>4346.2</v>
      </c>
      <c r="F177" s="5">
        <v>45664</v>
      </c>
      <c r="G177" s="5">
        <v>45664</v>
      </c>
      <c r="H177" s="3" t="s">
        <v>31</v>
      </c>
      <c r="I177" s="4" t="s">
        <v>45</v>
      </c>
      <c r="J177" s="3">
        <v>4</v>
      </c>
      <c r="K177" s="3" t="s">
        <v>38</v>
      </c>
      <c r="L177" s="3">
        <v>0</v>
      </c>
      <c r="M177" s="3">
        <v>2</v>
      </c>
      <c r="N177" s="3" t="s">
        <v>33</v>
      </c>
    </row>
    <row r="178" spans="1:14" x14ac:dyDescent="0.3">
      <c r="A178" s="7" t="s">
        <v>256</v>
      </c>
      <c r="B178" s="7" t="s">
        <v>35</v>
      </c>
      <c r="C178" s="7">
        <v>1</v>
      </c>
      <c r="D178" s="10">
        <v>76.099999999999994</v>
      </c>
      <c r="E178" s="10">
        <v>76.099999999999994</v>
      </c>
      <c r="F178" s="9">
        <v>45664</v>
      </c>
      <c r="G178" s="9">
        <v>45664</v>
      </c>
      <c r="H178" s="7" t="s">
        <v>31</v>
      </c>
      <c r="I178" s="8" t="s">
        <v>45</v>
      </c>
      <c r="J178" s="7">
        <v>3</v>
      </c>
      <c r="K178" s="7" t="s">
        <v>38</v>
      </c>
      <c r="L178" s="7">
        <v>0</v>
      </c>
      <c r="M178" s="7">
        <v>2</v>
      </c>
      <c r="N178" s="7" t="s">
        <v>33</v>
      </c>
    </row>
    <row r="179" spans="1:14" x14ac:dyDescent="0.3">
      <c r="A179" s="3" t="s">
        <v>257</v>
      </c>
      <c r="B179" s="3" t="s">
        <v>129</v>
      </c>
      <c r="C179" s="3">
        <v>13</v>
      </c>
      <c r="D179" s="6">
        <v>34.200000000000003</v>
      </c>
      <c r="E179" s="6">
        <v>444.6</v>
      </c>
      <c r="F179" s="5">
        <v>45664</v>
      </c>
      <c r="G179" s="5">
        <v>45665</v>
      </c>
      <c r="H179" s="3" t="s">
        <v>26</v>
      </c>
      <c r="I179" s="4" t="s">
        <v>21</v>
      </c>
      <c r="J179" s="3">
        <v>4</v>
      </c>
      <c r="K179" s="3" t="s">
        <v>38</v>
      </c>
      <c r="L179" s="3">
        <v>1</v>
      </c>
      <c r="M179" s="3">
        <v>2</v>
      </c>
      <c r="N179" s="3" t="s">
        <v>28</v>
      </c>
    </row>
    <row r="180" spans="1:14" x14ac:dyDescent="0.3">
      <c r="A180" s="7" t="s">
        <v>258</v>
      </c>
      <c r="B180" s="7" t="s">
        <v>49</v>
      </c>
      <c r="C180" s="7">
        <v>5</v>
      </c>
      <c r="D180" s="10">
        <v>30.3</v>
      </c>
      <c r="E180" s="10">
        <v>151.5</v>
      </c>
      <c r="F180" s="9">
        <v>45664</v>
      </c>
      <c r="G180" s="9">
        <v>45669</v>
      </c>
      <c r="H180" s="7" t="s">
        <v>31</v>
      </c>
      <c r="I180" s="8" t="s">
        <v>75</v>
      </c>
      <c r="J180" s="7">
        <v>4</v>
      </c>
      <c r="K180" s="7" t="s">
        <v>38</v>
      </c>
      <c r="L180" s="7">
        <v>5</v>
      </c>
      <c r="M180" s="7">
        <v>2</v>
      </c>
      <c r="N180" s="7" t="s">
        <v>33</v>
      </c>
    </row>
    <row r="181" spans="1:14" x14ac:dyDescent="0.3">
      <c r="A181" s="3" t="s">
        <v>259</v>
      </c>
      <c r="B181" s="3" t="s">
        <v>44</v>
      </c>
      <c r="C181" s="3">
        <v>5</v>
      </c>
      <c r="D181" s="6">
        <v>52.5</v>
      </c>
      <c r="E181" s="6">
        <v>262.5</v>
      </c>
      <c r="F181" s="5">
        <v>45664</v>
      </c>
      <c r="G181" s="5">
        <v>45668</v>
      </c>
      <c r="H181" s="3"/>
      <c r="I181" s="4" t="s">
        <v>56</v>
      </c>
      <c r="J181" s="3">
        <v>4</v>
      </c>
      <c r="K181" s="3" t="s">
        <v>38</v>
      </c>
      <c r="L181" s="3">
        <v>4</v>
      </c>
      <c r="M181" s="3">
        <v>2</v>
      </c>
      <c r="N181" s="3" t="s">
        <v>23</v>
      </c>
    </row>
    <row r="182" spans="1:14" x14ac:dyDescent="0.3">
      <c r="A182" s="7" t="s">
        <v>260</v>
      </c>
      <c r="B182" s="7" t="s">
        <v>51</v>
      </c>
      <c r="C182" s="7">
        <v>11</v>
      </c>
      <c r="D182" s="10">
        <v>28.7</v>
      </c>
      <c r="E182" s="10">
        <v>315.7</v>
      </c>
      <c r="F182" s="9">
        <v>45664</v>
      </c>
      <c r="G182" s="9">
        <v>45665</v>
      </c>
      <c r="H182" s="7" t="s">
        <v>31</v>
      </c>
      <c r="I182" s="8" t="s">
        <v>45</v>
      </c>
      <c r="J182" s="7">
        <v>4</v>
      </c>
      <c r="K182" s="7" t="s">
        <v>38</v>
      </c>
      <c r="L182" s="7">
        <v>1</v>
      </c>
      <c r="M182" s="7">
        <v>2</v>
      </c>
      <c r="N182" s="7" t="s">
        <v>33</v>
      </c>
    </row>
    <row r="183" spans="1:14" x14ac:dyDescent="0.3">
      <c r="A183" s="3" t="s">
        <v>261</v>
      </c>
      <c r="B183" s="3" t="s">
        <v>47</v>
      </c>
      <c r="C183" s="3">
        <v>7</v>
      </c>
      <c r="D183" s="6">
        <v>52</v>
      </c>
      <c r="E183" s="6">
        <v>364</v>
      </c>
      <c r="F183" s="5">
        <v>45664</v>
      </c>
      <c r="G183" s="5">
        <v>45665</v>
      </c>
      <c r="H183" s="3" t="s">
        <v>26</v>
      </c>
      <c r="I183" s="4" t="s">
        <v>40</v>
      </c>
      <c r="J183" s="3">
        <v>2</v>
      </c>
      <c r="K183" s="3" t="s">
        <v>38</v>
      </c>
      <c r="L183" s="3">
        <v>1</v>
      </c>
      <c r="M183" s="3">
        <v>2</v>
      </c>
      <c r="N183" s="3" t="s">
        <v>28</v>
      </c>
    </row>
    <row r="184" spans="1:14" x14ac:dyDescent="0.3">
      <c r="A184" s="7" t="s">
        <v>262</v>
      </c>
      <c r="B184" s="7" t="s">
        <v>20</v>
      </c>
      <c r="C184" s="7">
        <v>1</v>
      </c>
      <c r="D184" s="10">
        <v>13.3</v>
      </c>
      <c r="E184" s="10">
        <v>13.3</v>
      </c>
      <c r="F184" s="9">
        <v>45665</v>
      </c>
      <c r="G184" s="9">
        <v>45669</v>
      </c>
      <c r="H184" s="7" t="s">
        <v>31</v>
      </c>
      <c r="I184" s="8" t="s">
        <v>45</v>
      </c>
      <c r="J184" s="7">
        <v>3</v>
      </c>
      <c r="K184" s="7" t="s">
        <v>38</v>
      </c>
      <c r="L184" s="7">
        <v>4</v>
      </c>
      <c r="M184" s="7">
        <v>2</v>
      </c>
      <c r="N184" s="7" t="s">
        <v>33</v>
      </c>
    </row>
    <row r="185" spans="1:14" x14ac:dyDescent="0.3">
      <c r="A185" s="3" t="s">
        <v>263</v>
      </c>
      <c r="B185" s="3" t="s">
        <v>20</v>
      </c>
      <c r="C185" s="3">
        <v>3</v>
      </c>
      <c r="D185" s="6">
        <v>15.7</v>
      </c>
      <c r="E185" s="6">
        <v>47.099999999999987</v>
      </c>
      <c r="F185" s="5">
        <v>45665</v>
      </c>
      <c r="G185" s="5">
        <v>45666</v>
      </c>
      <c r="H185" s="3" t="s">
        <v>31</v>
      </c>
      <c r="I185" s="4" t="s">
        <v>40</v>
      </c>
      <c r="J185" s="3">
        <v>4</v>
      </c>
      <c r="K185" s="3" t="s">
        <v>264</v>
      </c>
      <c r="L185" s="3">
        <v>1</v>
      </c>
      <c r="M185" s="3">
        <v>2</v>
      </c>
      <c r="N185" s="3" t="s">
        <v>33</v>
      </c>
    </row>
    <row r="186" spans="1:14" x14ac:dyDescent="0.3">
      <c r="A186" s="7" t="s">
        <v>265</v>
      </c>
      <c r="B186" s="7" t="s">
        <v>49</v>
      </c>
      <c r="C186" s="7">
        <v>2</v>
      </c>
      <c r="D186" s="10">
        <v>25.6</v>
      </c>
      <c r="E186" s="10">
        <v>51.2</v>
      </c>
      <c r="F186" s="9">
        <v>45665</v>
      </c>
      <c r="G186" s="9">
        <v>45666</v>
      </c>
      <c r="H186" s="7" t="s">
        <v>26</v>
      </c>
      <c r="I186" s="8" t="s">
        <v>21</v>
      </c>
      <c r="J186" s="7">
        <v>5</v>
      </c>
      <c r="K186" s="7" t="s">
        <v>164</v>
      </c>
      <c r="L186" s="7">
        <v>1</v>
      </c>
      <c r="M186" s="7">
        <v>2</v>
      </c>
      <c r="N186" s="7" t="s">
        <v>28</v>
      </c>
    </row>
    <row r="187" spans="1:14" x14ac:dyDescent="0.3">
      <c r="A187" s="3" t="s">
        <v>266</v>
      </c>
      <c r="B187" s="3" t="s">
        <v>49</v>
      </c>
      <c r="C187" s="3">
        <v>1</v>
      </c>
      <c r="D187" s="6">
        <v>43.4</v>
      </c>
      <c r="E187" s="6">
        <v>43.4</v>
      </c>
      <c r="F187" s="5">
        <v>45665</v>
      </c>
      <c r="G187" s="5">
        <v>45670</v>
      </c>
      <c r="H187" s="3" t="s">
        <v>26</v>
      </c>
      <c r="I187" s="4" t="s">
        <v>21</v>
      </c>
      <c r="J187" s="3">
        <v>4</v>
      </c>
      <c r="K187" s="3" t="s">
        <v>60</v>
      </c>
      <c r="L187" s="3">
        <v>5</v>
      </c>
      <c r="M187" s="3">
        <v>2</v>
      </c>
      <c r="N187" s="3" t="s">
        <v>28</v>
      </c>
    </row>
    <row r="188" spans="1:14" x14ac:dyDescent="0.3">
      <c r="A188" s="7" t="s">
        <v>267</v>
      </c>
      <c r="B188" s="7" t="s">
        <v>72</v>
      </c>
      <c r="C188" s="7">
        <v>9</v>
      </c>
      <c r="D188" s="10">
        <v>33.4</v>
      </c>
      <c r="E188" s="10">
        <v>300.60000000000002</v>
      </c>
      <c r="F188" s="9">
        <v>45665</v>
      </c>
      <c r="G188" s="9">
        <v>45665</v>
      </c>
      <c r="H188" s="7" t="s">
        <v>31</v>
      </c>
      <c r="I188" s="8" t="s">
        <v>21</v>
      </c>
      <c r="J188" s="7">
        <v>4</v>
      </c>
      <c r="K188" s="7" t="s">
        <v>67</v>
      </c>
      <c r="L188" s="7">
        <v>0</v>
      </c>
      <c r="M188" s="7">
        <v>2</v>
      </c>
      <c r="N188" s="7" t="s">
        <v>33</v>
      </c>
    </row>
    <row r="189" spans="1:14" x14ac:dyDescent="0.3">
      <c r="A189" s="3" t="s">
        <v>268</v>
      </c>
      <c r="B189" s="3" t="s">
        <v>49</v>
      </c>
      <c r="C189" s="3">
        <v>19</v>
      </c>
      <c r="D189" s="6">
        <v>55</v>
      </c>
      <c r="E189" s="6">
        <v>1045</v>
      </c>
      <c r="F189" s="5">
        <v>45665</v>
      </c>
      <c r="G189" s="5">
        <v>45666</v>
      </c>
      <c r="H189" s="3" t="s">
        <v>31</v>
      </c>
      <c r="I189" s="4" t="s">
        <v>40</v>
      </c>
      <c r="J189" s="3">
        <v>5</v>
      </c>
      <c r="K189" s="3" t="s">
        <v>67</v>
      </c>
      <c r="L189" s="3">
        <v>1</v>
      </c>
      <c r="M189" s="3">
        <v>2</v>
      </c>
      <c r="N189" s="3" t="s">
        <v>33</v>
      </c>
    </row>
    <row r="190" spans="1:14" x14ac:dyDescent="0.3">
      <c r="A190" s="7" t="s">
        <v>269</v>
      </c>
      <c r="B190" s="7" t="s">
        <v>49</v>
      </c>
      <c r="C190" s="7">
        <v>3</v>
      </c>
      <c r="D190" s="10">
        <v>23.6</v>
      </c>
      <c r="E190" s="10">
        <v>70.800000000000011</v>
      </c>
      <c r="F190" s="9">
        <v>45665</v>
      </c>
      <c r="G190" s="9">
        <v>45666</v>
      </c>
      <c r="H190" s="7" t="s">
        <v>26</v>
      </c>
      <c r="I190" s="8" t="s">
        <v>21</v>
      </c>
      <c r="J190" s="7">
        <v>5</v>
      </c>
      <c r="K190" s="7" t="s">
        <v>67</v>
      </c>
      <c r="L190" s="7">
        <v>1</v>
      </c>
      <c r="M190" s="7">
        <v>2</v>
      </c>
      <c r="N190" s="7" t="s">
        <v>28</v>
      </c>
    </row>
    <row r="191" spans="1:14" x14ac:dyDescent="0.3">
      <c r="A191" s="3" t="s">
        <v>270</v>
      </c>
      <c r="B191" s="3" t="s">
        <v>74</v>
      </c>
      <c r="C191" s="3">
        <v>9</v>
      </c>
      <c r="D191" s="6">
        <v>104</v>
      </c>
      <c r="E191" s="6">
        <v>936</v>
      </c>
      <c r="F191" s="5">
        <v>45665</v>
      </c>
      <c r="G191" s="5">
        <v>45667</v>
      </c>
      <c r="H191" s="3" t="s">
        <v>31</v>
      </c>
      <c r="I191" s="4" t="s">
        <v>45</v>
      </c>
      <c r="J191" s="3">
        <v>5</v>
      </c>
      <c r="K191" s="3" t="s">
        <v>109</v>
      </c>
      <c r="L191" s="3">
        <v>2</v>
      </c>
      <c r="M191" s="3">
        <v>2</v>
      </c>
      <c r="N191" s="3" t="s">
        <v>33</v>
      </c>
    </row>
    <row r="192" spans="1:14" x14ac:dyDescent="0.3">
      <c r="A192" s="7" t="s">
        <v>271</v>
      </c>
      <c r="B192" s="7" t="s">
        <v>44</v>
      </c>
      <c r="C192" s="7">
        <v>2</v>
      </c>
      <c r="D192" s="10">
        <v>51.8</v>
      </c>
      <c r="E192" s="10">
        <v>103.6</v>
      </c>
      <c r="F192" s="9">
        <v>45665</v>
      </c>
      <c r="G192" s="9">
        <v>45669</v>
      </c>
      <c r="H192" s="7"/>
      <c r="I192" s="8" t="s">
        <v>21</v>
      </c>
      <c r="J192" s="7">
        <v>5</v>
      </c>
      <c r="K192" s="7" t="s">
        <v>79</v>
      </c>
      <c r="L192" s="7">
        <v>4</v>
      </c>
      <c r="M192" s="7">
        <v>2</v>
      </c>
      <c r="N192" s="7" t="s">
        <v>23</v>
      </c>
    </row>
    <row r="193" spans="1:14" x14ac:dyDescent="0.3">
      <c r="A193" s="3" t="s">
        <v>272</v>
      </c>
      <c r="B193" s="3" t="s">
        <v>59</v>
      </c>
      <c r="C193" s="3">
        <v>5</v>
      </c>
      <c r="D193" s="6">
        <v>34.5</v>
      </c>
      <c r="E193" s="6">
        <v>172.5</v>
      </c>
      <c r="F193" s="5">
        <v>45665</v>
      </c>
      <c r="G193" s="5">
        <v>45667</v>
      </c>
      <c r="H193" s="3"/>
      <c r="I193" s="4" t="s">
        <v>45</v>
      </c>
      <c r="J193" s="3">
        <v>5</v>
      </c>
      <c r="K193" s="3" t="s">
        <v>82</v>
      </c>
      <c r="L193" s="3">
        <v>2</v>
      </c>
      <c r="M193" s="3">
        <v>2</v>
      </c>
      <c r="N193" s="3" t="s">
        <v>23</v>
      </c>
    </row>
    <row r="194" spans="1:14" x14ac:dyDescent="0.3">
      <c r="A194" s="7" t="s">
        <v>273</v>
      </c>
      <c r="B194" s="7" t="s">
        <v>44</v>
      </c>
      <c r="C194" s="7">
        <v>2</v>
      </c>
      <c r="D194" s="10">
        <v>51.8</v>
      </c>
      <c r="E194" s="10">
        <v>103.6</v>
      </c>
      <c r="F194" s="9">
        <v>45665</v>
      </c>
      <c r="G194" s="9">
        <v>45667</v>
      </c>
      <c r="H194" s="7" t="s">
        <v>26</v>
      </c>
      <c r="I194" s="8" t="s">
        <v>40</v>
      </c>
      <c r="J194" s="7">
        <v>5</v>
      </c>
      <c r="K194" s="7" t="s">
        <v>274</v>
      </c>
      <c r="L194" s="7">
        <v>2</v>
      </c>
      <c r="M194" s="7">
        <v>2</v>
      </c>
      <c r="N194" s="7" t="s">
        <v>28</v>
      </c>
    </row>
    <row r="195" spans="1:14" x14ac:dyDescent="0.3">
      <c r="A195" s="3" t="s">
        <v>275</v>
      </c>
      <c r="B195" s="3" t="s">
        <v>152</v>
      </c>
      <c r="C195" s="3">
        <v>43</v>
      </c>
      <c r="D195" s="6">
        <v>131.5</v>
      </c>
      <c r="E195" s="6">
        <v>5654.5</v>
      </c>
      <c r="F195" s="5">
        <v>45665</v>
      </c>
      <c r="G195" s="5">
        <v>45666</v>
      </c>
      <c r="H195" s="3" t="s">
        <v>31</v>
      </c>
      <c r="I195" s="4" t="s">
        <v>21</v>
      </c>
      <c r="J195" s="3">
        <v>5</v>
      </c>
      <c r="K195" s="3" t="s">
        <v>114</v>
      </c>
      <c r="L195" s="3">
        <v>1</v>
      </c>
      <c r="M195" s="3">
        <v>2</v>
      </c>
      <c r="N195" s="3" t="s">
        <v>33</v>
      </c>
    </row>
    <row r="196" spans="1:14" x14ac:dyDescent="0.3">
      <c r="A196" s="7" t="s">
        <v>276</v>
      </c>
      <c r="B196" s="7" t="s">
        <v>49</v>
      </c>
      <c r="C196" s="7">
        <v>7</v>
      </c>
      <c r="D196" s="10">
        <v>47.8</v>
      </c>
      <c r="E196" s="10">
        <v>334.6</v>
      </c>
      <c r="F196" s="9">
        <v>45665</v>
      </c>
      <c r="G196" s="9">
        <v>45665</v>
      </c>
      <c r="H196" s="7" t="s">
        <v>31</v>
      </c>
      <c r="I196" s="8" t="s">
        <v>21</v>
      </c>
      <c r="J196" s="7">
        <v>4</v>
      </c>
      <c r="K196" s="7" t="s">
        <v>116</v>
      </c>
      <c r="L196" s="7">
        <v>0</v>
      </c>
      <c r="M196" s="7">
        <v>2</v>
      </c>
      <c r="N196" s="7" t="s">
        <v>33</v>
      </c>
    </row>
    <row r="197" spans="1:14" x14ac:dyDescent="0.3">
      <c r="A197" s="3" t="s">
        <v>277</v>
      </c>
      <c r="B197" s="3" t="s">
        <v>20</v>
      </c>
      <c r="C197" s="3">
        <v>2</v>
      </c>
      <c r="D197" s="6">
        <v>10.199999999999999</v>
      </c>
      <c r="E197" s="6">
        <v>20.399999999999999</v>
      </c>
      <c r="F197" s="5">
        <v>45665</v>
      </c>
      <c r="G197" s="5">
        <v>45667</v>
      </c>
      <c r="H197" s="3" t="s">
        <v>31</v>
      </c>
      <c r="I197" s="4" t="s">
        <v>21</v>
      </c>
      <c r="J197" s="3">
        <v>4</v>
      </c>
      <c r="K197" s="3" t="s">
        <v>116</v>
      </c>
      <c r="L197" s="3">
        <v>2</v>
      </c>
      <c r="M197" s="3">
        <v>2</v>
      </c>
      <c r="N197" s="3" t="s">
        <v>33</v>
      </c>
    </row>
    <row r="198" spans="1:14" x14ac:dyDescent="0.3">
      <c r="A198" s="7" t="s">
        <v>278</v>
      </c>
      <c r="B198" s="7" t="s">
        <v>49</v>
      </c>
      <c r="C198" s="7">
        <v>8</v>
      </c>
      <c r="D198" s="10">
        <v>41</v>
      </c>
      <c r="E198" s="10">
        <v>328</v>
      </c>
      <c r="F198" s="9">
        <v>45665</v>
      </c>
      <c r="G198" s="9">
        <v>45665</v>
      </c>
      <c r="H198" s="7" t="s">
        <v>31</v>
      </c>
      <c r="I198" s="8" t="s">
        <v>40</v>
      </c>
      <c r="J198" s="7">
        <v>5</v>
      </c>
      <c r="K198" s="7" t="s">
        <v>116</v>
      </c>
      <c r="L198" s="7">
        <v>0</v>
      </c>
      <c r="M198" s="7">
        <v>2</v>
      </c>
      <c r="N198" s="7" t="s">
        <v>33</v>
      </c>
    </row>
    <row r="199" spans="1:14" x14ac:dyDescent="0.3">
      <c r="A199" s="3" t="s">
        <v>279</v>
      </c>
      <c r="B199" s="3" t="s">
        <v>59</v>
      </c>
      <c r="C199" s="3">
        <v>7</v>
      </c>
      <c r="D199" s="6">
        <v>50.8</v>
      </c>
      <c r="E199" s="6">
        <v>355.6</v>
      </c>
      <c r="F199" s="5">
        <v>45665</v>
      </c>
      <c r="G199" s="5">
        <v>45668</v>
      </c>
      <c r="H199" s="3" t="s">
        <v>31</v>
      </c>
      <c r="I199" s="4" t="s">
        <v>40</v>
      </c>
      <c r="J199" s="3">
        <v>4</v>
      </c>
      <c r="K199" s="3" t="s">
        <v>121</v>
      </c>
      <c r="L199" s="3">
        <v>3</v>
      </c>
      <c r="M199" s="3">
        <v>2</v>
      </c>
      <c r="N199" s="3" t="s">
        <v>33</v>
      </c>
    </row>
    <row r="200" spans="1:14" x14ac:dyDescent="0.3">
      <c r="A200" s="7" t="s">
        <v>280</v>
      </c>
      <c r="B200" s="7" t="s">
        <v>152</v>
      </c>
      <c r="C200" s="7">
        <v>3</v>
      </c>
      <c r="D200" s="10">
        <v>39.6</v>
      </c>
      <c r="E200" s="10">
        <v>118.8</v>
      </c>
      <c r="F200" s="9">
        <v>45665</v>
      </c>
      <c r="G200" s="9">
        <v>45666</v>
      </c>
      <c r="H200" s="7" t="s">
        <v>26</v>
      </c>
      <c r="I200" s="8" t="s">
        <v>45</v>
      </c>
      <c r="J200" s="7">
        <v>5</v>
      </c>
      <c r="K200" s="7" t="s">
        <v>27</v>
      </c>
      <c r="L200" s="7">
        <v>1</v>
      </c>
      <c r="M200" s="7">
        <v>2</v>
      </c>
      <c r="N200" s="7" t="s">
        <v>28</v>
      </c>
    </row>
    <row r="201" spans="1:14" x14ac:dyDescent="0.3">
      <c r="A201" s="3" t="s">
        <v>281</v>
      </c>
      <c r="B201" s="3" t="s">
        <v>42</v>
      </c>
      <c r="C201" s="3">
        <v>2</v>
      </c>
      <c r="D201" s="6">
        <v>69.5</v>
      </c>
      <c r="E201" s="6">
        <v>139</v>
      </c>
      <c r="F201" s="5">
        <v>45665</v>
      </c>
      <c r="G201" s="5">
        <v>45667</v>
      </c>
      <c r="H201" s="3" t="s">
        <v>26</v>
      </c>
      <c r="I201" s="4" t="s">
        <v>21</v>
      </c>
      <c r="J201" s="3">
        <v>5</v>
      </c>
      <c r="K201" s="3" t="s">
        <v>32</v>
      </c>
      <c r="L201" s="3">
        <v>2</v>
      </c>
      <c r="M201" s="3">
        <v>2</v>
      </c>
      <c r="N201" s="3" t="s">
        <v>28</v>
      </c>
    </row>
    <row r="202" spans="1:14" x14ac:dyDescent="0.3">
      <c r="A202" s="7" t="s">
        <v>282</v>
      </c>
      <c r="B202" s="7" t="s">
        <v>49</v>
      </c>
      <c r="C202" s="7">
        <v>8</v>
      </c>
      <c r="D202" s="10">
        <v>32.6</v>
      </c>
      <c r="E202" s="10">
        <v>260.8</v>
      </c>
      <c r="F202" s="9">
        <v>45665</v>
      </c>
      <c r="G202" s="9">
        <v>45668</v>
      </c>
      <c r="H202" s="7" t="s">
        <v>26</v>
      </c>
      <c r="I202" s="8" t="s">
        <v>40</v>
      </c>
      <c r="J202" s="7">
        <v>4</v>
      </c>
      <c r="K202" s="7" t="s">
        <v>38</v>
      </c>
      <c r="L202" s="7">
        <v>3</v>
      </c>
      <c r="M202" s="7">
        <v>2</v>
      </c>
      <c r="N202" s="7" t="s">
        <v>28</v>
      </c>
    </row>
    <row r="203" spans="1:14" x14ac:dyDescent="0.3">
      <c r="A203" s="3" t="s">
        <v>283</v>
      </c>
      <c r="B203" s="3" t="s">
        <v>47</v>
      </c>
      <c r="C203" s="3">
        <v>2</v>
      </c>
      <c r="D203" s="6">
        <v>49.1</v>
      </c>
      <c r="E203" s="6">
        <v>98.2</v>
      </c>
      <c r="F203" s="5">
        <v>45665</v>
      </c>
      <c r="G203" s="5">
        <v>45673</v>
      </c>
      <c r="H203" s="3" t="s">
        <v>26</v>
      </c>
      <c r="I203" s="4" t="s">
        <v>56</v>
      </c>
      <c r="J203" s="3">
        <v>5</v>
      </c>
      <c r="K203" s="3" t="s">
        <v>38</v>
      </c>
      <c r="L203" s="3">
        <v>8</v>
      </c>
      <c r="M203" s="3">
        <v>2</v>
      </c>
      <c r="N203" s="3" t="s">
        <v>28</v>
      </c>
    </row>
    <row r="204" spans="1:14" x14ac:dyDescent="0.3">
      <c r="A204" s="7" t="s">
        <v>284</v>
      </c>
      <c r="B204" s="7" t="s">
        <v>44</v>
      </c>
      <c r="C204" s="7">
        <v>2</v>
      </c>
      <c r="D204" s="10">
        <v>49.4</v>
      </c>
      <c r="E204" s="10">
        <v>98.8</v>
      </c>
      <c r="F204" s="9">
        <v>45666</v>
      </c>
      <c r="G204" s="9">
        <v>45667</v>
      </c>
      <c r="H204" s="7" t="s">
        <v>31</v>
      </c>
      <c r="I204" s="8" t="s">
        <v>45</v>
      </c>
      <c r="J204" s="7">
        <v>4</v>
      </c>
      <c r="K204" s="7" t="s">
        <v>38</v>
      </c>
      <c r="L204" s="7">
        <v>1</v>
      </c>
      <c r="M204" s="7">
        <v>2</v>
      </c>
      <c r="N204" s="7" t="s">
        <v>33</v>
      </c>
    </row>
    <row r="205" spans="1:14" x14ac:dyDescent="0.3">
      <c r="A205" s="3" t="s">
        <v>285</v>
      </c>
      <c r="B205" s="3" t="s">
        <v>47</v>
      </c>
      <c r="C205" s="3">
        <v>7</v>
      </c>
      <c r="D205" s="6">
        <v>65.099999999999994</v>
      </c>
      <c r="E205" s="6">
        <v>455.69999999999987</v>
      </c>
      <c r="F205" s="5">
        <v>45666</v>
      </c>
      <c r="G205" s="5">
        <v>45669</v>
      </c>
      <c r="H205" s="3" t="s">
        <v>31</v>
      </c>
      <c r="I205" s="4" t="s">
        <v>45</v>
      </c>
      <c r="J205" s="3">
        <v>5</v>
      </c>
      <c r="K205" s="3" t="s">
        <v>38</v>
      </c>
      <c r="L205" s="3">
        <v>3</v>
      </c>
      <c r="M205" s="3">
        <v>2</v>
      </c>
      <c r="N205" s="3" t="s">
        <v>33</v>
      </c>
    </row>
    <row r="206" spans="1:14" x14ac:dyDescent="0.3">
      <c r="A206" s="7" t="s">
        <v>286</v>
      </c>
      <c r="B206" s="7" t="s">
        <v>35</v>
      </c>
      <c r="C206" s="7">
        <v>2</v>
      </c>
      <c r="D206" s="10">
        <v>52.1</v>
      </c>
      <c r="E206" s="10">
        <v>104.2</v>
      </c>
      <c r="F206" s="9">
        <v>45666</v>
      </c>
      <c r="G206" s="9">
        <v>45670</v>
      </c>
      <c r="H206" s="7" t="s">
        <v>31</v>
      </c>
      <c r="I206" s="8" t="s">
        <v>45</v>
      </c>
      <c r="J206" s="7">
        <v>4</v>
      </c>
      <c r="K206" s="7" t="s">
        <v>38</v>
      </c>
      <c r="L206" s="7">
        <v>4</v>
      </c>
      <c r="M206" s="7">
        <v>2</v>
      </c>
      <c r="N206" s="7" t="s">
        <v>33</v>
      </c>
    </row>
    <row r="207" spans="1:14" x14ac:dyDescent="0.3">
      <c r="A207" s="3" t="s">
        <v>287</v>
      </c>
      <c r="B207" s="3" t="s">
        <v>30</v>
      </c>
      <c r="C207" s="3">
        <v>4</v>
      </c>
      <c r="D207" s="6">
        <v>129.19999999999999</v>
      </c>
      <c r="E207" s="6">
        <v>516.79999999999995</v>
      </c>
      <c r="F207" s="5">
        <v>45666</v>
      </c>
      <c r="G207" s="5">
        <v>45667</v>
      </c>
      <c r="H207" s="3" t="s">
        <v>31</v>
      </c>
      <c r="I207" s="4" t="s">
        <v>40</v>
      </c>
      <c r="J207" s="3">
        <v>4</v>
      </c>
      <c r="K207" s="3" t="s">
        <v>38</v>
      </c>
      <c r="L207" s="3">
        <v>1</v>
      </c>
      <c r="M207" s="3">
        <v>2</v>
      </c>
      <c r="N207" s="3" t="s">
        <v>33</v>
      </c>
    </row>
    <row r="208" spans="1:14" x14ac:dyDescent="0.3">
      <c r="A208" s="7" t="s">
        <v>288</v>
      </c>
      <c r="B208" s="7" t="s">
        <v>25</v>
      </c>
      <c r="C208" s="7">
        <v>19</v>
      </c>
      <c r="D208" s="10">
        <v>81.8</v>
      </c>
      <c r="E208" s="10">
        <v>1554.2</v>
      </c>
      <c r="F208" s="9">
        <v>45666</v>
      </c>
      <c r="G208" s="9">
        <v>45666</v>
      </c>
      <c r="H208" s="7" t="s">
        <v>31</v>
      </c>
      <c r="I208" s="8" t="s">
        <v>40</v>
      </c>
      <c r="J208" s="7">
        <v>3</v>
      </c>
      <c r="K208" s="7" t="s">
        <v>38</v>
      </c>
      <c r="L208" s="7">
        <v>0</v>
      </c>
      <c r="M208" s="7">
        <v>2</v>
      </c>
      <c r="N208" s="7" t="s">
        <v>33</v>
      </c>
    </row>
    <row r="209" spans="1:14" x14ac:dyDescent="0.3">
      <c r="A209" s="3" t="s">
        <v>289</v>
      </c>
      <c r="B209" s="3" t="s">
        <v>141</v>
      </c>
      <c r="C209" s="3">
        <v>1</v>
      </c>
      <c r="D209" s="6">
        <v>24.9</v>
      </c>
      <c r="E209" s="6">
        <v>24.9</v>
      </c>
      <c r="F209" s="5">
        <v>45666</v>
      </c>
      <c r="G209" s="5">
        <v>45670</v>
      </c>
      <c r="H209" s="3" t="s">
        <v>31</v>
      </c>
      <c r="I209" s="4" t="s">
        <v>40</v>
      </c>
      <c r="J209" s="3">
        <v>4</v>
      </c>
      <c r="K209" s="3" t="s">
        <v>38</v>
      </c>
      <c r="L209" s="3">
        <v>4</v>
      </c>
      <c r="M209" s="3">
        <v>2</v>
      </c>
      <c r="N209" s="3" t="s">
        <v>33</v>
      </c>
    </row>
    <row r="210" spans="1:14" x14ac:dyDescent="0.3">
      <c r="A210" s="7" t="s">
        <v>290</v>
      </c>
      <c r="B210" s="7" t="s">
        <v>20</v>
      </c>
      <c r="C210" s="7">
        <v>3</v>
      </c>
      <c r="D210" s="10">
        <v>49.4</v>
      </c>
      <c r="E210" s="10">
        <v>148.19999999999999</v>
      </c>
      <c r="F210" s="9">
        <v>45666</v>
      </c>
      <c r="G210" s="9">
        <v>45669</v>
      </c>
      <c r="H210" s="7" t="s">
        <v>31</v>
      </c>
      <c r="I210" s="8" t="s">
        <v>75</v>
      </c>
      <c r="J210" s="7">
        <v>2</v>
      </c>
      <c r="K210" s="7" t="s">
        <v>38</v>
      </c>
      <c r="L210" s="7">
        <v>3</v>
      </c>
      <c r="M210" s="7">
        <v>2</v>
      </c>
      <c r="N210" s="7" t="s">
        <v>33</v>
      </c>
    </row>
    <row r="211" spans="1:14" x14ac:dyDescent="0.3">
      <c r="A211" s="3" t="s">
        <v>291</v>
      </c>
      <c r="B211" s="3" t="s">
        <v>49</v>
      </c>
      <c r="C211" s="3">
        <v>2</v>
      </c>
      <c r="D211" s="6">
        <v>22.7</v>
      </c>
      <c r="E211" s="6">
        <v>45.4</v>
      </c>
      <c r="F211" s="5">
        <v>45666</v>
      </c>
      <c r="G211" s="5">
        <v>45667</v>
      </c>
      <c r="H211" s="3" t="s">
        <v>26</v>
      </c>
      <c r="I211" s="4" t="s">
        <v>56</v>
      </c>
      <c r="J211" s="3">
        <v>5</v>
      </c>
      <c r="K211" s="3" t="s">
        <v>38</v>
      </c>
      <c r="L211" s="3">
        <v>1</v>
      </c>
      <c r="M211" s="3">
        <v>2</v>
      </c>
      <c r="N211" s="3" t="s">
        <v>28</v>
      </c>
    </row>
    <row r="212" spans="1:14" x14ac:dyDescent="0.3">
      <c r="A212" s="7" t="s">
        <v>292</v>
      </c>
      <c r="B212" s="7" t="s">
        <v>25</v>
      </c>
      <c r="C212" s="7">
        <v>1</v>
      </c>
      <c r="D212" s="10">
        <v>77.3</v>
      </c>
      <c r="E212" s="10">
        <v>77.3</v>
      </c>
      <c r="F212" s="9">
        <v>45666</v>
      </c>
      <c r="G212" s="9">
        <v>45666</v>
      </c>
      <c r="H212" s="7" t="s">
        <v>31</v>
      </c>
      <c r="I212" s="8" t="s">
        <v>21</v>
      </c>
      <c r="J212" s="7">
        <v>5</v>
      </c>
      <c r="K212" s="7" t="s">
        <v>60</v>
      </c>
      <c r="L212" s="7">
        <v>0</v>
      </c>
      <c r="M212" s="7">
        <v>2</v>
      </c>
      <c r="N212" s="7" t="s">
        <v>33</v>
      </c>
    </row>
    <row r="213" spans="1:14" x14ac:dyDescent="0.3">
      <c r="A213" s="3" t="s">
        <v>293</v>
      </c>
      <c r="B213" s="3" t="s">
        <v>25</v>
      </c>
      <c r="C213" s="3">
        <v>5</v>
      </c>
      <c r="D213" s="6">
        <v>109.1</v>
      </c>
      <c r="E213" s="6">
        <v>545.5</v>
      </c>
      <c r="F213" s="5">
        <v>45666</v>
      </c>
      <c r="G213" s="5">
        <v>45669</v>
      </c>
      <c r="H213" s="3" t="s">
        <v>31</v>
      </c>
      <c r="I213" s="4" t="s">
        <v>21</v>
      </c>
      <c r="J213" s="3">
        <v>4</v>
      </c>
      <c r="K213" s="3" t="s">
        <v>60</v>
      </c>
      <c r="L213" s="3">
        <v>3</v>
      </c>
      <c r="M213" s="3">
        <v>2</v>
      </c>
      <c r="N213" s="3" t="s">
        <v>33</v>
      </c>
    </row>
    <row r="214" spans="1:14" x14ac:dyDescent="0.3">
      <c r="A214" s="7" t="s">
        <v>294</v>
      </c>
      <c r="B214" s="7" t="s">
        <v>30</v>
      </c>
      <c r="C214" s="7">
        <v>4</v>
      </c>
      <c r="D214" s="10">
        <v>53.9</v>
      </c>
      <c r="E214" s="10">
        <v>215.6</v>
      </c>
      <c r="F214" s="9">
        <v>45666</v>
      </c>
      <c r="G214" s="9">
        <v>45667</v>
      </c>
      <c r="H214" s="7" t="s">
        <v>26</v>
      </c>
      <c r="I214" s="8" t="s">
        <v>21</v>
      </c>
      <c r="J214" s="7">
        <v>3</v>
      </c>
      <c r="K214" s="7" t="s">
        <v>67</v>
      </c>
      <c r="L214" s="7">
        <v>1</v>
      </c>
      <c r="M214" s="7">
        <v>2</v>
      </c>
      <c r="N214" s="7" t="s">
        <v>28</v>
      </c>
    </row>
    <row r="215" spans="1:14" x14ac:dyDescent="0.3">
      <c r="A215" s="3" t="s">
        <v>295</v>
      </c>
      <c r="B215" s="3" t="s">
        <v>51</v>
      </c>
      <c r="C215" s="3">
        <v>26</v>
      </c>
      <c r="D215" s="6">
        <v>21.2</v>
      </c>
      <c r="E215" s="6">
        <v>551.19999999999993</v>
      </c>
      <c r="F215" s="5">
        <v>45666</v>
      </c>
      <c r="G215" s="5">
        <v>45666</v>
      </c>
      <c r="H215" s="3" t="s">
        <v>31</v>
      </c>
      <c r="I215" s="4" t="s">
        <v>21</v>
      </c>
      <c r="J215" s="3">
        <v>4</v>
      </c>
      <c r="K215" s="3" t="s">
        <v>77</v>
      </c>
      <c r="L215" s="3">
        <v>0</v>
      </c>
      <c r="M215" s="3">
        <v>2</v>
      </c>
      <c r="N215" s="3" t="s">
        <v>33</v>
      </c>
    </row>
    <row r="216" spans="1:14" x14ac:dyDescent="0.3">
      <c r="A216" s="7" t="s">
        <v>296</v>
      </c>
      <c r="B216" s="7" t="s">
        <v>134</v>
      </c>
      <c r="C216" s="7">
        <v>4</v>
      </c>
      <c r="D216" s="10">
        <v>69</v>
      </c>
      <c r="E216" s="10">
        <v>276</v>
      </c>
      <c r="F216" s="9">
        <v>45666</v>
      </c>
      <c r="G216" s="9">
        <v>45668</v>
      </c>
      <c r="H216" s="7" t="s">
        <v>31</v>
      </c>
      <c r="I216" s="8" t="s">
        <v>40</v>
      </c>
      <c r="J216" s="7">
        <v>3</v>
      </c>
      <c r="K216" s="7" t="s">
        <v>114</v>
      </c>
      <c r="L216" s="7">
        <v>2</v>
      </c>
      <c r="M216" s="7">
        <v>2</v>
      </c>
      <c r="N216" s="7" t="s">
        <v>33</v>
      </c>
    </row>
    <row r="217" spans="1:14" x14ac:dyDescent="0.3">
      <c r="A217" s="3" t="s">
        <v>297</v>
      </c>
      <c r="B217" s="3" t="s">
        <v>44</v>
      </c>
      <c r="C217" s="3">
        <v>3</v>
      </c>
      <c r="D217" s="6">
        <v>46.2</v>
      </c>
      <c r="E217" s="6">
        <v>138.6</v>
      </c>
      <c r="F217" s="5">
        <v>45666</v>
      </c>
      <c r="G217" s="5">
        <v>45668</v>
      </c>
      <c r="H217" s="3" t="s">
        <v>31</v>
      </c>
      <c r="I217" s="4" t="s">
        <v>21</v>
      </c>
      <c r="J217" s="3">
        <v>5</v>
      </c>
      <c r="K217" s="3" t="s">
        <v>298</v>
      </c>
      <c r="L217" s="3">
        <v>2</v>
      </c>
      <c r="M217" s="3">
        <v>2</v>
      </c>
      <c r="N217" s="3" t="s">
        <v>33</v>
      </c>
    </row>
    <row r="218" spans="1:14" x14ac:dyDescent="0.3">
      <c r="A218" s="7" t="s">
        <v>299</v>
      </c>
      <c r="B218" s="7" t="s">
        <v>25</v>
      </c>
      <c r="C218" s="7">
        <v>5</v>
      </c>
      <c r="D218" s="10">
        <v>97.4</v>
      </c>
      <c r="E218" s="10">
        <v>487</v>
      </c>
      <c r="F218" s="9">
        <v>45666</v>
      </c>
      <c r="G218" s="9">
        <v>45670</v>
      </c>
      <c r="H218" s="7" t="s">
        <v>31</v>
      </c>
      <c r="I218" s="8" t="s">
        <v>75</v>
      </c>
      <c r="J218" s="7">
        <v>5</v>
      </c>
      <c r="K218" s="7" t="s">
        <v>121</v>
      </c>
      <c r="L218" s="7">
        <v>4</v>
      </c>
      <c r="M218" s="7">
        <v>2</v>
      </c>
      <c r="N218" s="7" t="s">
        <v>33</v>
      </c>
    </row>
    <row r="219" spans="1:14" x14ac:dyDescent="0.3">
      <c r="A219" s="3" t="s">
        <v>300</v>
      </c>
      <c r="B219" s="3" t="s">
        <v>49</v>
      </c>
      <c r="C219" s="3">
        <v>5</v>
      </c>
      <c r="D219" s="6">
        <v>21</v>
      </c>
      <c r="E219" s="6">
        <v>105</v>
      </c>
      <c r="F219" s="5">
        <v>45666</v>
      </c>
      <c r="G219" s="5">
        <v>45667</v>
      </c>
      <c r="H219" s="3" t="s">
        <v>26</v>
      </c>
      <c r="I219" s="4" t="s">
        <v>21</v>
      </c>
      <c r="J219" s="3">
        <v>3</v>
      </c>
      <c r="K219" s="3" t="s">
        <v>121</v>
      </c>
      <c r="L219" s="3">
        <v>1</v>
      </c>
      <c r="M219" s="3">
        <v>2</v>
      </c>
      <c r="N219" s="3" t="s">
        <v>28</v>
      </c>
    </row>
    <row r="220" spans="1:14" x14ac:dyDescent="0.3">
      <c r="A220" s="7" t="s">
        <v>301</v>
      </c>
      <c r="B220" s="7" t="s">
        <v>42</v>
      </c>
      <c r="C220" s="7">
        <v>2</v>
      </c>
      <c r="D220" s="10">
        <v>32.700000000000003</v>
      </c>
      <c r="E220" s="10">
        <v>65.400000000000006</v>
      </c>
      <c r="F220" s="9">
        <v>45667</v>
      </c>
      <c r="G220" s="9">
        <v>45670</v>
      </c>
      <c r="H220" s="7" t="s">
        <v>31</v>
      </c>
      <c r="I220" s="8" t="s">
        <v>40</v>
      </c>
      <c r="J220" s="7">
        <v>4</v>
      </c>
      <c r="K220" s="7" t="s">
        <v>32</v>
      </c>
      <c r="L220" s="7">
        <v>3</v>
      </c>
      <c r="M220" s="7">
        <v>2</v>
      </c>
      <c r="N220" s="7" t="s">
        <v>33</v>
      </c>
    </row>
    <row r="221" spans="1:14" x14ac:dyDescent="0.3">
      <c r="A221" s="3" t="s">
        <v>302</v>
      </c>
      <c r="B221" s="3" t="s">
        <v>44</v>
      </c>
      <c r="C221" s="3">
        <v>4</v>
      </c>
      <c r="D221" s="6">
        <v>48</v>
      </c>
      <c r="E221" s="6">
        <v>192</v>
      </c>
      <c r="F221" s="5">
        <v>45667</v>
      </c>
      <c r="G221" s="5">
        <v>45668</v>
      </c>
      <c r="H221" s="3" t="s">
        <v>26</v>
      </c>
      <c r="I221" s="4" t="s">
        <v>56</v>
      </c>
      <c r="J221" s="3">
        <v>4</v>
      </c>
      <c r="K221" s="3" t="s">
        <v>38</v>
      </c>
      <c r="L221" s="3">
        <v>1</v>
      </c>
      <c r="M221" s="3">
        <v>2</v>
      </c>
      <c r="N221" s="3" t="s">
        <v>28</v>
      </c>
    </row>
    <row r="222" spans="1:14" x14ac:dyDescent="0.3">
      <c r="A222" s="7" t="s">
        <v>303</v>
      </c>
      <c r="B222" s="7" t="s">
        <v>44</v>
      </c>
      <c r="C222" s="7">
        <v>3</v>
      </c>
      <c r="D222" s="10">
        <v>68.2</v>
      </c>
      <c r="E222" s="10">
        <v>204.6</v>
      </c>
      <c r="F222" s="9">
        <v>45667</v>
      </c>
      <c r="G222" s="9">
        <v>45671</v>
      </c>
      <c r="H222" s="7"/>
      <c r="I222" s="8" t="s">
        <v>21</v>
      </c>
      <c r="J222" s="7">
        <v>5</v>
      </c>
      <c r="K222" s="7" t="s">
        <v>38</v>
      </c>
      <c r="L222" s="7">
        <v>4</v>
      </c>
      <c r="M222" s="7">
        <v>2</v>
      </c>
      <c r="N222" s="7" t="s">
        <v>23</v>
      </c>
    </row>
    <row r="223" spans="1:14" x14ac:dyDescent="0.3">
      <c r="A223" s="3" t="s">
        <v>304</v>
      </c>
      <c r="B223" s="3" t="s">
        <v>42</v>
      </c>
      <c r="C223" s="3">
        <v>1</v>
      </c>
      <c r="D223" s="6">
        <v>45.4</v>
      </c>
      <c r="E223" s="6">
        <v>45.4</v>
      </c>
      <c r="F223" s="5">
        <v>45667</v>
      </c>
      <c r="G223" s="5">
        <v>45669</v>
      </c>
      <c r="H223" s="3" t="s">
        <v>26</v>
      </c>
      <c r="I223" s="4" t="s">
        <v>40</v>
      </c>
      <c r="J223" s="3">
        <v>4</v>
      </c>
      <c r="K223" s="3" t="s">
        <v>38</v>
      </c>
      <c r="L223" s="3">
        <v>2</v>
      </c>
      <c r="M223" s="3">
        <v>2</v>
      </c>
      <c r="N223" s="3" t="s">
        <v>28</v>
      </c>
    </row>
    <row r="224" spans="1:14" x14ac:dyDescent="0.3">
      <c r="A224" s="7" t="s">
        <v>305</v>
      </c>
      <c r="B224" s="7" t="s">
        <v>74</v>
      </c>
      <c r="C224" s="7">
        <v>2</v>
      </c>
      <c r="D224" s="10">
        <v>53.9</v>
      </c>
      <c r="E224" s="10">
        <v>107.8</v>
      </c>
      <c r="F224" s="9">
        <v>45667</v>
      </c>
      <c r="G224" s="9">
        <v>45668</v>
      </c>
      <c r="H224" s="7" t="s">
        <v>31</v>
      </c>
      <c r="I224" s="8" t="s">
        <v>45</v>
      </c>
      <c r="J224" s="7">
        <v>4</v>
      </c>
      <c r="K224" s="7" t="s">
        <v>38</v>
      </c>
      <c r="L224" s="7">
        <v>1</v>
      </c>
      <c r="M224" s="7">
        <v>2</v>
      </c>
      <c r="N224" s="7" t="s">
        <v>33</v>
      </c>
    </row>
    <row r="225" spans="1:14" x14ac:dyDescent="0.3">
      <c r="A225" s="3" t="s">
        <v>306</v>
      </c>
      <c r="B225" s="3" t="s">
        <v>30</v>
      </c>
      <c r="C225" s="3">
        <v>4</v>
      </c>
      <c r="D225" s="6">
        <v>62.1</v>
      </c>
      <c r="E225" s="6">
        <v>248.4</v>
      </c>
      <c r="F225" s="5">
        <v>45667</v>
      </c>
      <c r="G225" s="5">
        <v>45671</v>
      </c>
      <c r="H225" s="3" t="s">
        <v>31</v>
      </c>
      <c r="I225" s="4" t="s">
        <v>21</v>
      </c>
      <c r="J225" s="3">
        <v>4</v>
      </c>
      <c r="K225" s="3" t="s">
        <v>54</v>
      </c>
      <c r="L225" s="3">
        <v>4</v>
      </c>
      <c r="M225" s="3">
        <v>2</v>
      </c>
      <c r="N225" s="3" t="s">
        <v>33</v>
      </c>
    </row>
    <row r="226" spans="1:14" x14ac:dyDescent="0.3">
      <c r="A226" s="7" t="s">
        <v>307</v>
      </c>
      <c r="B226" s="7" t="s">
        <v>81</v>
      </c>
      <c r="C226" s="7">
        <v>7</v>
      </c>
      <c r="D226" s="10">
        <v>33.1</v>
      </c>
      <c r="E226" s="10">
        <v>231.7</v>
      </c>
      <c r="F226" s="9">
        <v>45667</v>
      </c>
      <c r="G226" s="9">
        <v>45672</v>
      </c>
      <c r="H226" s="7" t="s">
        <v>26</v>
      </c>
      <c r="I226" s="8" t="s">
        <v>40</v>
      </c>
      <c r="J226" s="7">
        <v>4</v>
      </c>
      <c r="K226" s="7" t="s">
        <v>60</v>
      </c>
      <c r="L226" s="7">
        <v>5</v>
      </c>
      <c r="M226" s="7">
        <v>2</v>
      </c>
      <c r="N226" s="7" t="s">
        <v>28</v>
      </c>
    </row>
    <row r="227" spans="1:14" x14ac:dyDescent="0.3">
      <c r="A227" s="3" t="s">
        <v>308</v>
      </c>
      <c r="B227" s="3" t="s">
        <v>152</v>
      </c>
      <c r="C227" s="3">
        <v>5</v>
      </c>
      <c r="D227" s="6">
        <v>35.200000000000003</v>
      </c>
      <c r="E227" s="6">
        <v>176</v>
      </c>
      <c r="F227" s="5">
        <v>45667</v>
      </c>
      <c r="G227" s="5">
        <v>45667</v>
      </c>
      <c r="H227" s="3" t="s">
        <v>31</v>
      </c>
      <c r="I227" s="4" t="s">
        <v>40</v>
      </c>
      <c r="J227" s="3">
        <v>4</v>
      </c>
      <c r="K227" s="3" t="s">
        <v>60</v>
      </c>
      <c r="L227" s="3">
        <v>0</v>
      </c>
      <c r="M227" s="3">
        <v>2</v>
      </c>
      <c r="N227" s="3" t="s">
        <v>33</v>
      </c>
    </row>
    <row r="228" spans="1:14" x14ac:dyDescent="0.3">
      <c r="A228" s="7" t="s">
        <v>309</v>
      </c>
      <c r="B228" s="7" t="s">
        <v>51</v>
      </c>
      <c r="C228" s="7">
        <v>3</v>
      </c>
      <c r="D228" s="10">
        <v>32.1</v>
      </c>
      <c r="E228" s="10">
        <v>96.300000000000011</v>
      </c>
      <c r="F228" s="9">
        <v>45667</v>
      </c>
      <c r="G228" s="9">
        <v>45672</v>
      </c>
      <c r="H228" s="7" t="s">
        <v>26</v>
      </c>
      <c r="I228" s="8" t="s">
        <v>56</v>
      </c>
      <c r="J228" s="7">
        <v>4</v>
      </c>
      <c r="K228" s="7" t="s">
        <v>67</v>
      </c>
      <c r="L228" s="7">
        <v>5</v>
      </c>
      <c r="M228" s="7">
        <v>2</v>
      </c>
      <c r="N228" s="7" t="s">
        <v>28</v>
      </c>
    </row>
    <row r="229" spans="1:14" x14ac:dyDescent="0.3">
      <c r="A229" s="3" t="s">
        <v>310</v>
      </c>
      <c r="B229" s="3" t="s">
        <v>72</v>
      </c>
      <c r="C229" s="3">
        <v>1</v>
      </c>
      <c r="D229" s="6">
        <v>38.1</v>
      </c>
      <c r="E229" s="6">
        <v>38.1</v>
      </c>
      <c r="F229" s="5">
        <v>45667</v>
      </c>
      <c r="G229" s="5">
        <v>45672</v>
      </c>
      <c r="H229" s="3" t="s">
        <v>31</v>
      </c>
      <c r="I229" s="4" t="s">
        <v>21</v>
      </c>
      <c r="J229" s="3">
        <v>5</v>
      </c>
      <c r="K229" s="3" t="s">
        <v>67</v>
      </c>
      <c r="L229" s="3">
        <v>5</v>
      </c>
      <c r="M229" s="3">
        <v>2</v>
      </c>
      <c r="N229" s="3" t="s">
        <v>33</v>
      </c>
    </row>
    <row r="230" spans="1:14" x14ac:dyDescent="0.3">
      <c r="A230" s="7" t="s">
        <v>311</v>
      </c>
      <c r="B230" s="7" t="s">
        <v>49</v>
      </c>
      <c r="C230" s="7">
        <v>1</v>
      </c>
      <c r="D230" s="10">
        <v>65.2</v>
      </c>
      <c r="E230" s="10">
        <v>65.2</v>
      </c>
      <c r="F230" s="9">
        <v>45667</v>
      </c>
      <c r="G230" s="9">
        <v>45672</v>
      </c>
      <c r="H230" s="7" t="s">
        <v>31</v>
      </c>
      <c r="I230" s="8" t="s">
        <v>56</v>
      </c>
      <c r="J230" s="7">
        <v>3</v>
      </c>
      <c r="K230" s="7" t="s">
        <v>67</v>
      </c>
      <c r="L230" s="7">
        <v>5</v>
      </c>
      <c r="M230" s="7">
        <v>2</v>
      </c>
      <c r="N230" s="7" t="s">
        <v>33</v>
      </c>
    </row>
    <row r="231" spans="1:14" x14ac:dyDescent="0.3">
      <c r="A231" s="3" t="s">
        <v>312</v>
      </c>
      <c r="B231" s="3" t="s">
        <v>59</v>
      </c>
      <c r="C231" s="3">
        <v>7</v>
      </c>
      <c r="D231" s="6">
        <v>55.2</v>
      </c>
      <c r="E231" s="6">
        <v>386.4</v>
      </c>
      <c r="F231" s="5">
        <v>45667</v>
      </c>
      <c r="G231" s="5">
        <v>45668</v>
      </c>
      <c r="H231" s="3" t="s">
        <v>26</v>
      </c>
      <c r="I231" s="4" t="s">
        <v>45</v>
      </c>
      <c r="J231" s="3">
        <v>4</v>
      </c>
      <c r="K231" s="3" t="s">
        <v>82</v>
      </c>
      <c r="L231" s="3">
        <v>1</v>
      </c>
      <c r="M231" s="3">
        <v>2</v>
      </c>
      <c r="N231" s="3" t="s">
        <v>28</v>
      </c>
    </row>
    <row r="232" spans="1:14" x14ac:dyDescent="0.3">
      <c r="A232" s="7" t="s">
        <v>313</v>
      </c>
      <c r="B232" s="7" t="s">
        <v>44</v>
      </c>
      <c r="C232" s="7">
        <v>1</v>
      </c>
      <c r="D232" s="10">
        <v>62</v>
      </c>
      <c r="E232" s="10">
        <v>62</v>
      </c>
      <c r="F232" s="9">
        <v>45667</v>
      </c>
      <c r="G232" s="9">
        <v>45671</v>
      </c>
      <c r="H232" s="7" t="s">
        <v>31</v>
      </c>
      <c r="I232" s="8" t="s">
        <v>21</v>
      </c>
      <c r="J232" s="7">
        <v>4</v>
      </c>
      <c r="K232" s="7" t="s">
        <v>82</v>
      </c>
      <c r="L232" s="7">
        <v>4</v>
      </c>
      <c r="M232" s="7">
        <v>2</v>
      </c>
      <c r="N232" s="7" t="s">
        <v>33</v>
      </c>
    </row>
    <row r="233" spans="1:14" x14ac:dyDescent="0.3">
      <c r="A233" s="3" t="s">
        <v>314</v>
      </c>
      <c r="B233" s="3" t="s">
        <v>47</v>
      </c>
      <c r="C233" s="3">
        <v>3</v>
      </c>
      <c r="D233" s="6">
        <v>45.9</v>
      </c>
      <c r="E233" s="6">
        <v>137.69999999999999</v>
      </c>
      <c r="F233" s="5">
        <v>45667</v>
      </c>
      <c r="G233" s="5">
        <v>45668</v>
      </c>
      <c r="H233" s="3" t="s">
        <v>31</v>
      </c>
      <c r="I233" s="4" t="s">
        <v>45</v>
      </c>
      <c r="J233" s="3">
        <v>4</v>
      </c>
      <c r="K233" s="3" t="s">
        <v>315</v>
      </c>
      <c r="L233" s="3">
        <v>1</v>
      </c>
      <c r="M233" s="3">
        <v>2</v>
      </c>
      <c r="N233" s="3" t="s">
        <v>33</v>
      </c>
    </row>
    <row r="234" spans="1:14" x14ac:dyDescent="0.3">
      <c r="A234" s="7" t="s">
        <v>316</v>
      </c>
      <c r="B234" s="7" t="s">
        <v>152</v>
      </c>
      <c r="C234" s="7">
        <v>3</v>
      </c>
      <c r="D234" s="10">
        <v>58.3</v>
      </c>
      <c r="E234" s="10">
        <v>174.9</v>
      </c>
      <c r="F234" s="9">
        <v>45667</v>
      </c>
      <c r="G234" s="9">
        <v>45667</v>
      </c>
      <c r="H234" s="7" t="s">
        <v>26</v>
      </c>
      <c r="I234" s="8" t="s">
        <v>40</v>
      </c>
      <c r="J234" s="7">
        <v>3</v>
      </c>
      <c r="K234" s="7" t="s">
        <v>114</v>
      </c>
      <c r="L234" s="7">
        <v>0</v>
      </c>
      <c r="M234" s="7">
        <v>2</v>
      </c>
      <c r="N234" s="7" t="s">
        <v>28</v>
      </c>
    </row>
    <row r="235" spans="1:14" x14ac:dyDescent="0.3">
      <c r="A235" s="3" t="s">
        <v>317</v>
      </c>
      <c r="B235" s="3" t="s">
        <v>49</v>
      </c>
      <c r="C235" s="3">
        <v>2</v>
      </c>
      <c r="D235" s="6">
        <v>22.3</v>
      </c>
      <c r="E235" s="6">
        <v>44.6</v>
      </c>
      <c r="F235" s="5">
        <v>45667</v>
      </c>
      <c r="G235" s="5">
        <v>45670</v>
      </c>
      <c r="H235" s="3" t="s">
        <v>31</v>
      </c>
      <c r="I235" s="4" t="s">
        <v>21</v>
      </c>
      <c r="J235" s="3">
        <v>5</v>
      </c>
      <c r="K235" s="3" t="s">
        <v>119</v>
      </c>
      <c r="L235" s="3">
        <v>3</v>
      </c>
      <c r="M235" s="3">
        <v>2</v>
      </c>
      <c r="N235" s="3" t="s">
        <v>33</v>
      </c>
    </row>
    <row r="236" spans="1:14" x14ac:dyDescent="0.3">
      <c r="A236" s="7" t="s">
        <v>318</v>
      </c>
      <c r="B236" s="7" t="s">
        <v>177</v>
      </c>
      <c r="C236" s="7">
        <v>5</v>
      </c>
      <c r="D236" s="10">
        <v>24</v>
      </c>
      <c r="E236" s="10">
        <v>120</v>
      </c>
      <c r="F236" s="9">
        <v>45667</v>
      </c>
      <c r="G236" s="9">
        <v>45668</v>
      </c>
      <c r="H236" s="7" t="s">
        <v>26</v>
      </c>
      <c r="I236" s="8" t="s">
        <v>75</v>
      </c>
      <c r="J236" s="7">
        <v>4</v>
      </c>
      <c r="K236" s="7" t="s">
        <v>27</v>
      </c>
      <c r="L236" s="7">
        <v>1</v>
      </c>
      <c r="M236" s="7">
        <v>2</v>
      </c>
      <c r="N236" s="7" t="s">
        <v>28</v>
      </c>
    </row>
    <row r="237" spans="1:14" x14ac:dyDescent="0.3">
      <c r="A237" s="3" t="s">
        <v>319</v>
      </c>
      <c r="B237" s="3" t="s">
        <v>20</v>
      </c>
      <c r="C237" s="3">
        <v>10</v>
      </c>
      <c r="D237" s="6">
        <v>21.3</v>
      </c>
      <c r="E237" s="6">
        <v>213</v>
      </c>
      <c r="F237" s="5">
        <v>45667</v>
      </c>
      <c r="G237" s="5">
        <v>45667</v>
      </c>
      <c r="H237" s="3" t="s">
        <v>31</v>
      </c>
      <c r="I237" s="4" t="s">
        <v>40</v>
      </c>
      <c r="J237" s="3">
        <v>5</v>
      </c>
      <c r="K237" s="3" t="s">
        <v>153</v>
      </c>
      <c r="L237" s="3">
        <v>0</v>
      </c>
      <c r="M237" s="3">
        <v>2</v>
      </c>
      <c r="N237" s="3" t="s">
        <v>33</v>
      </c>
    </row>
    <row r="238" spans="1:14" x14ac:dyDescent="0.3">
      <c r="A238" s="7" t="s">
        <v>320</v>
      </c>
      <c r="B238" s="7" t="s">
        <v>44</v>
      </c>
      <c r="C238" s="7">
        <v>41</v>
      </c>
      <c r="D238" s="10">
        <v>57.8</v>
      </c>
      <c r="E238" s="10">
        <v>2369.8000000000002</v>
      </c>
      <c r="F238" s="9">
        <v>45667</v>
      </c>
      <c r="G238" s="9">
        <v>45669</v>
      </c>
      <c r="H238" s="7" t="s">
        <v>31</v>
      </c>
      <c r="I238" s="8" t="s">
        <v>21</v>
      </c>
      <c r="J238" s="7">
        <v>5</v>
      </c>
      <c r="K238" s="7" t="s">
        <v>38</v>
      </c>
      <c r="L238" s="7">
        <v>2</v>
      </c>
      <c r="M238" s="7">
        <v>2</v>
      </c>
      <c r="N238" s="7" t="s">
        <v>33</v>
      </c>
    </row>
    <row r="239" spans="1:14" x14ac:dyDescent="0.3">
      <c r="A239" s="3" t="s">
        <v>321</v>
      </c>
      <c r="B239" s="3" t="s">
        <v>59</v>
      </c>
      <c r="C239" s="3">
        <v>3</v>
      </c>
      <c r="D239" s="6">
        <v>67.599999999999994</v>
      </c>
      <c r="E239" s="6">
        <v>202.8</v>
      </c>
      <c r="F239" s="5">
        <v>45667</v>
      </c>
      <c r="G239" s="5">
        <v>45668</v>
      </c>
      <c r="H239" s="3" t="s">
        <v>31</v>
      </c>
      <c r="I239" s="4" t="s">
        <v>21</v>
      </c>
      <c r="J239" s="3">
        <v>4</v>
      </c>
      <c r="K239" s="3" t="s">
        <v>38</v>
      </c>
      <c r="L239" s="3">
        <v>1</v>
      </c>
      <c r="M239" s="3">
        <v>2</v>
      </c>
      <c r="N239" s="3" t="s">
        <v>33</v>
      </c>
    </row>
    <row r="240" spans="1:14" x14ac:dyDescent="0.3">
      <c r="A240" s="7" t="s">
        <v>322</v>
      </c>
      <c r="B240" s="7" t="s">
        <v>44</v>
      </c>
      <c r="C240" s="7">
        <v>6</v>
      </c>
      <c r="D240" s="10">
        <v>66.7</v>
      </c>
      <c r="E240" s="10">
        <v>400.2</v>
      </c>
      <c r="F240" s="9">
        <v>45667</v>
      </c>
      <c r="G240" s="9">
        <v>45671</v>
      </c>
      <c r="H240" s="7" t="s">
        <v>26</v>
      </c>
      <c r="I240" s="8" t="s">
        <v>75</v>
      </c>
      <c r="J240" s="7">
        <v>3</v>
      </c>
      <c r="K240" s="7" t="s">
        <v>38</v>
      </c>
      <c r="L240" s="7">
        <v>4</v>
      </c>
      <c r="M240" s="7">
        <v>2</v>
      </c>
      <c r="N240" s="7" t="s">
        <v>28</v>
      </c>
    </row>
    <row r="241" spans="1:14" x14ac:dyDescent="0.3">
      <c r="A241" s="3" t="s">
        <v>323</v>
      </c>
      <c r="B241" s="3" t="s">
        <v>25</v>
      </c>
      <c r="C241" s="3">
        <v>4</v>
      </c>
      <c r="D241" s="6">
        <v>53.1</v>
      </c>
      <c r="E241" s="6">
        <v>212.4</v>
      </c>
      <c r="F241" s="5">
        <v>45667</v>
      </c>
      <c r="G241" s="5">
        <v>45669</v>
      </c>
      <c r="H241" s="3" t="s">
        <v>31</v>
      </c>
      <c r="I241" s="4" t="s">
        <v>40</v>
      </c>
      <c r="J241" s="3">
        <v>4</v>
      </c>
      <c r="K241" s="3" t="s">
        <v>38</v>
      </c>
      <c r="L241" s="3">
        <v>2</v>
      </c>
      <c r="M241" s="3">
        <v>2</v>
      </c>
      <c r="N241" s="3" t="s">
        <v>33</v>
      </c>
    </row>
    <row r="242" spans="1:14" x14ac:dyDescent="0.3">
      <c r="A242" s="7" t="s">
        <v>324</v>
      </c>
      <c r="B242" s="7" t="s">
        <v>74</v>
      </c>
      <c r="C242" s="7">
        <v>3</v>
      </c>
      <c r="D242" s="10">
        <v>57.4</v>
      </c>
      <c r="E242" s="10">
        <v>172.2</v>
      </c>
      <c r="F242" s="9">
        <v>45667</v>
      </c>
      <c r="G242" s="9">
        <v>45670</v>
      </c>
      <c r="H242" s="7" t="s">
        <v>31</v>
      </c>
      <c r="I242" s="8" t="s">
        <v>21</v>
      </c>
      <c r="J242" s="7">
        <v>5</v>
      </c>
      <c r="K242" s="7" t="s">
        <v>264</v>
      </c>
      <c r="L242" s="7">
        <v>3</v>
      </c>
      <c r="M242" s="7">
        <v>2</v>
      </c>
      <c r="N242" s="7" t="s">
        <v>33</v>
      </c>
    </row>
    <row r="243" spans="1:14" x14ac:dyDescent="0.3">
      <c r="A243" s="3" t="s">
        <v>325</v>
      </c>
      <c r="B243" s="3" t="s">
        <v>30</v>
      </c>
      <c r="C243" s="3">
        <v>5</v>
      </c>
      <c r="D243" s="6">
        <v>58.1</v>
      </c>
      <c r="E243" s="6">
        <v>290.5</v>
      </c>
      <c r="F243" s="5">
        <v>45667</v>
      </c>
      <c r="G243" s="5">
        <v>45667</v>
      </c>
      <c r="H243" s="3" t="s">
        <v>26</v>
      </c>
      <c r="I243" s="4" t="s">
        <v>45</v>
      </c>
      <c r="J243" s="3">
        <v>5</v>
      </c>
      <c r="K243" s="3" t="s">
        <v>60</v>
      </c>
      <c r="L243" s="3">
        <v>0</v>
      </c>
      <c r="M243" s="3">
        <v>2</v>
      </c>
      <c r="N243" s="3" t="s">
        <v>28</v>
      </c>
    </row>
    <row r="244" spans="1:14" x14ac:dyDescent="0.3">
      <c r="A244" s="7" t="s">
        <v>326</v>
      </c>
      <c r="B244" s="7" t="s">
        <v>42</v>
      </c>
      <c r="C244" s="7">
        <v>3</v>
      </c>
      <c r="D244" s="10">
        <v>31.8</v>
      </c>
      <c r="E244" s="10">
        <v>95.4</v>
      </c>
      <c r="F244" s="9">
        <v>45668</v>
      </c>
      <c r="G244" s="9">
        <v>45670</v>
      </c>
      <c r="H244" s="7" t="s">
        <v>26</v>
      </c>
      <c r="I244" s="8" t="s">
        <v>56</v>
      </c>
      <c r="J244" s="7">
        <v>4</v>
      </c>
      <c r="K244" s="7" t="s">
        <v>60</v>
      </c>
      <c r="L244" s="7">
        <v>2</v>
      </c>
      <c r="M244" s="7">
        <v>2</v>
      </c>
      <c r="N244" s="7" t="s">
        <v>28</v>
      </c>
    </row>
    <row r="245" spans="1:14" x14ac:dyDescent="0.3">
      <c r="A245" s="3" t="s">
        <v>327</v>
      </c>
      <c r="B245" s="3" t="s">
        <v>37</v>
      </c>
      <c r="C245" s="3">
        <v>3</v>
      </c>
      <c r="D245" s="6">
        <v>31.5</v>
      </c>
      <c r="E245" s="6">
        <v>94.5</v>
      </c>
      <c r="F245" s="5">
        <v>45668</v>
      </c>
      <c r="G245" s="5">
        <v>45671</v>
      </c>
      <c r="H245" s="3" t="s">
        <v>26</v>
      </c>
      <c r="I245" s="4" t="s">
        <v>21</v>
      </c>
      <c r="J245" s="3">
        <v>3</v>
      </c>
      <c r="K245" s="3" t="s">
        <v>67</v>
      </c>
      <c r="L245" s="3">
        <v>3</v>
      </c>
      <c r="M245" s="3">
        <v>2</v>
      </c>
      <c r="N245" s="3" t="s">
        <v>28</v>
      </c>
    </row>
    <row r="246" spans="1:14" x14ac:dyDescent="0.3">
      <c r="A246" s="7" t="s">
        <v>328</v>
      </c>
      <c r="B246" s="7" t="s">
        <v>44</v>
      </c>
      <c r="C246" s="7">
        <v>7</v>
      </c>
      <c r="D246" s="10">
        <v>55.9</v>
      </c>
      <c r="E246" s="10">
        <v>391.3</v>
      </c>
      <c r="F246" s="9">
        <v>45668</v>
      </c>
      <c r="G246" s="9">
        <v>45672</v>
      </c>
      <c r="H246" s="7" t="s">
        <v>31</v>
      </c>
      <c r="I246" s="8" t="s">
        <v>40</v>
      </c>
      <c r="J246" s="7">
        <v>5</v>
      </c>
      <c r="K246" s="7" t="s">
        <v>67</v>
      </c>
      <c r="L246" s="7">
        <v>4</v>
      </c>
      <c r="M246" s="7">
        <v>2</v>
      </c>
      <c r="N246" s="7" t="s">
        <v>33</v>
      </c>
    </row>
    <row r="247" spans="1:14" x14ac:dyDescent="0.3">
      <c r="A247" s="3" t="s">
        <v>329</v>
      </c>
      <c r="B247" s="3" t="s">
        <v>49</v>
      </c>
      <c r="C247" s="3">
        <v>2</v>
      </c>
      <c r="D247" s="6">
        <v>36.4</v>
      </c>
      <c r="E247" s="6">
        <v>72.8</v>
      </c>
      <c r="F247" s="5">
        <v>45668</v>
      </c>
      <c r="G247" s="5">
        <v>45669</v>
      </c>
      <c r="H247" s="3" t="s">
        <v>26</v>
      </c>
      <c r="I247" s="4" t="s">
        <v>40</v>
      </c>
      <c r="J247" s="3">
        <v>3</v>
      </c>
      <c r="K247" s="3" t="s">
        <v>77</v>
      </c>
      <c r="L247" s="3">
        <v>1</v>
      </c>
      <c r="M247" s="3">
        <v>2</v>
      </c>
      <c r="N247" s="3" t="s">
        <v>28</v>
      </c>
    </row>
    <row r="248" spans="1:14" x14ac:dyDescent="0.3">
      <c r="A248" s="7" t="s">
        <v>330</v>
      </c>
      <c r="B248" s="7" t="s">
        <v>25</v>
      </c>
      <c r="C248" s="7">
        <v>5</v>
      </c>
      <c r="D248" s="10">
        <v>47.3</v>
      </c>
      <c r="E248" s="10">
        <v>236.5</v>
      </c>
      <c r="F248" s="9">
        <v>45668</v>
      </c>
      <c r="G248" s="9">
        <v>45671</v>
      </c>
      <c r="H248" s="7" t="s">
        <v>26</v>
      </c>
      <c r="I248" s="8" t="s">
        <v>45</v>
      </c>
      <c r="J248" s="7">
        <v>4</v>
      </c>
      <c r="K248" s="7" t="s">
        <v>79</v>
      </c>
      <c r="L248" s="7">
        <v>3</v>
      </c>
      <c r="M248" s="7">
        <v>2</v>
      </c>
      <c r="N248" s="7" t="s">
        <v>28</v>
      </c>
    </row>
    <row r="249" spans="1:14" x14ac:dyDescent="0.3">
      <c r="A249" s="3" t="s">
        <v>331</v>
      </c>
      <c r="B249" s="3" t="s">
        <v>44</v>
      </c>
      <c r="C249" s="3">
        <v>3</v>
      </c>
      <c r="D249" s="6">
        <v>82.5</v>
      </c>
      <c r="E249" s="6">
        <v>247.5</v>
      </c>
      <c r="F249" s="5">
        <v>45668</v>
      </c>
      <c r="G249" s="5">
        <v>45669</v>
      </c>
      <c r="H249" s="3" t="s">
        <v>26</v>
      </c>
      <c r="I249" s="4" t="s">
        <v>21</v>
      </c>
      <c r="J249" s="3">
        <v>4</v>
      </c>
      <c r="K249" s="3" t="s">
        <v>82</v>
      </c>
      <c r="L249" s="3">
        <v>1</v>
      </c>
      <c r="M249" s="3">
        <v>2</v>
      </c>
      <c r="N249" s="3" t="s">
        <v>28</v>
      </c>
    </row>
    <row r="250" spans="1:14" x14ac:dyDescent="0.3">
      <c r="A250" s="7" t="s">
        <v>332</v>
      </c>
      <c r="B250" s="7" t="s">
        <v>20</v>
      </c>
      <c r="C250" s="7">
        <v>1</v>
      </c>
      <c r="D250" s="10">
        <v>14.3</v>
      </c>
      <c r="E250" s="10">
        <v>14.3</v>
      </c>
      <c r="F250" s="9">
        <v>45668</v>
      </c>
      <c r="G250" s="9">
        <v>45669</v>
      </c>
      <c r="H250" s="7" t="s">
        <v>31</v>
      </c>
      <c r="I250" s="8" t="s">
        <v>21</v>
      </c>
      <c r="J250" s="7">
        <v>4</v>
      </c>
      <c r="K250" s="7" t="s">
        <v>121</v>
      </c>
      <c r="L250" s="7">
        <v>1</v>
      </c>
      <c r="M250" s="7">
        <v>2</v>
      </c>
      <c r="N250" s="7" t="s">
        <v>33</v>
      </c>
    </row>
    <row r="251" spans="1:14" x14ac:dyDescent="0.3">
      <c r="A251" s="3" t="s">
        <v>333</v>
      </c>
      <c r="B251" s="3" t="s">
        <v>30</v>
      </c>
      <c r="C251" s="3">
        <v>6</v>
      </c>
      <c r="D251" s="6">
        <v>57.6</v>
      </c>
      <c r="E251" s="6">
        <v>345.6</v>
      </c>
      <c r="F251" s="5">
        <v>45668</v>
      </c>
      <c r="G251" s="5">
        <v>45682</v>
      </c>
      <c r="H251" s="3" t="s">
        <v>31</v>
      </c>
      <c r="I251" s="4" t="s">
        <v>21</v>
      </c>
      <c r="J251" s="3">
        <v>4</v>
      </c>
      <c r="K251" s="3" t="s">
        <v>121</v>
      </c>
      <c r="L251" s="3">
        <v>14</v>
      </c>
      <c r="M251" s="3">
        <v>2</v>
      </c>
      <c r="N251" s="3" t="s">
        <v>33</v>
      </c>
    </row>
    <row r="252" spans="1:14" x14ac:dyDescent="0.3">
      <c r="A252" s="7" t="s">
        <v>334</v>
      </c>
      <c r="B252" s="7" t="s">
        <v>30</v>
      </c>
      <c r="C252" s="7">
        <v>3</v>
      </c>
      <c r="D252" s="10">
        <v>142.4</v>
      </c>
      <c r="E252" s="10">
        <v>427.2</v>
      </c>
      <c r="F252" s="9">
        <v>45668</v>
      </c>
      <c r="G252" s="9">
        <v>45670</v>
      </c>
      <c r="H252" s="7" t="s">
        <v>26</v>
      </c>
      <c r="I252" s="8" t="s">
        <v>75</v>
      </c>
      <c r="J252" s="7">
        <v>3</v>
      </c>
      <c r="K252" s="7" t="s">
        <v>121</v>
      </c>
      <c r="L252" s="7">
        <v>2</v>
      </c>
      <c r="M252" s="7">
        <v>2</v>
      </c>
      <c r="N252" s="7" t="s">
        <v>28</v>
      </c>
    </row>
    <row r="253" spans="1:14" x14ac:dyDescent="0.3">
      <c r="A253" s="3" t="s">
        <v>335</v>
      </c>
      <c r="B253" s="3" t="s">
        <v>74</v>
      </c>
      <c r="C253" s="3">
        <v>1</v>
      </c>
      <c r="D253" s="6">
        <v>30.2</v>
      </c>
      <c r="E253" s="6">
        <v>30.2</v>
      </c>
      <c r="F253" s="5">
        <v>45668</v>
      </c>
      <c r="G253" s="5">
        <v>45672</v>
      </c>
      <c r="H253" s="3" t="s">
        <v>26</v>
      </c>
      <c r="I253" s="4" t="s">
        <v>40</v>
      </c>
      <c r="J253" s="3">
        <v>5</v>
      </c>
      <c r="K253" s="3" t="s">
        <v>32</v>
      </c>
      <c r="L253" s="3">
        <v>4</v>
      </c>
      <c r="M253" s="3">
        <v>2</v>
      </c>
      <c r="N253" s="3" t="s">
        <v>28</v>
      </c>
    </row>
    <row r="254" spans="1:14" x14ac:dyDescent="0.3">
      <c r="A254" s="7" t="s">
        <v>336</v>
      </c>
      <c r="B254" s="7" t="s">
        <v>152</v>
      </c>
      <c r="C254" s="7">
        <v>3</v>
      </c>
      <c r="D254" s="10">
        <v>65.3</v>
      </c>
      <c r="E254" s="10">
        <v>195.9</v>
      </c>
      <c r="F254" s="9">
        <v>45668</v>
      </c>
      <c r="G254" s="9">
        <v>45669</v>
      </c>
      <c r="H254" s="7" t="s">
        <v>94</v>
      </c>
      <c r="I254" s="8" t="s">
        <v>40</v>
      </c>
      <c r="J254" s="7">
        <v>4</v>
      </c>
      <c r="K254" s="7" t="s">
        <v>337</v>
      </c>
      <c r="L254" s="7">
        <v>1</v>
      </c>
      <c r="M254" s="7">
        <v>2</v>
      </c>
      <c r="N254" s="7" t="s">
        <v>95</v>
      </c>
    </row>
    <row r="255" spans="1:14" x14ac:dyDescent="0.3">
      <c r="A255" s="3" t="s">
        <v>338</v>
      </c>
      <c r="B255" s="3" t="s">
        <v>20</v>
      </c>
      <c r="C255" s="3">
        <v>2</v>
      </c>
      <c r="D255" s="6">
        <v>33.4</v>
      </c>
      <c r="E255" s="6">
        <v>66.8</v>
      </c>
      <c r="F255" s="5">
        <v>45668</v>
      </c>
      <c r="G255" s="5">
        <v>45669</v>
      </c>
      <c r="H255" s="3" t="s">
        <v>26</v>
      </c>
      <c r="I255" s="4" t="s">
        <v>40</v>
      </c>
      <c r="J255" s="3">
        <v>3</v>
      </c>
      <c r="K255" s="3" t="s">
        <v>153</v>
      </c>
      <c r="L255" s="3">
        <v>1</v>
      </c>
      <c r="M255" s="3">
        <v>2</v>
      </c>
      <c r="N255" s="3" t="s">
        <v>28</v>
      </c>
    </row>
    <row r="256" spans="1:14" x14ac:dyDescent="0.3">
      <c r="A256" s="7" t="s">
        <v>339</v>
      </c>
      <c r="B256" s="7" t="s">
        <v>47</v>
      </c>
      <c r="C256" s="7">
        <v>2</v>
      </c>
      <c r="D256" s="10">
        <v>45.1</v>
      </c>
      <c r="E256" s="10">
        <v>90.2</v>
      </c>
      <c r="F256" s="9">
        <v>45668</v>
      </c>
      <c r="G256" s="9">
        <v>45676</v>
      </c>
      <c r="H256" s="7" t="s">
        <v>26</v>
      </c>
      <c r="I256" s="8" t="s">
        <v>21</v>
      </c>
      <c r="J256" s="7">
        <v>4</v>
      </c>
      <c r="K256" s="7" t="s">
        <v>22</v>
      </c>
      <c r="L256" s="7">
        <v>8</v>
      </c>
      <c r="M256" s="7">
        <v>2</v>
      </c>
      <c r="N256" s="7" t="s">
        <v>28</v>
      </c>
    </row>
    <row r="257" spans="1:14" x14ac:dyDescent="0.3">
      <c r="A257" s="3" t="s">
        <v>340</v>
      </c>
      <c r="B257" s="3" t="s">
        <v>30</v>
      </c>
      <c r="C257" s="3">
        <v>7</v>
      </c>
      <c r="D257" s="6">
        <v>61.7</v>
      </c>
      <c r="E257" s="6">
        <v>431.9</v>
      </c>
      <c r="F257" s="5">
        <v>45668</v>
      </c>
      <c r="G257" s="5">
        <v>45670</v>
      </c>
      <c r="H257" s="3" t="s">
        <v>31</v>
      </c>
      <c r="I257" s="4" t="s">
        <v>75</v>
      </c>
      <c r="J257" s="3">
        <v>4</v>
      </c>
      <c r="K257" s="3" t="s">
        <v>38</v>
      </c>
      <c r="L257" s="3">
        <v>2</v>
      </c>
      <c r="M257" s="3">
        <v>2</v>
      </c>
      <c r="N257" s="3" t="s">
        <v>33</v>
      </c>
    </row>
    <row r="258" spans="1:14" x14ac:dyDescent="0.3">
      <c r="A258" s="7" t="s">
        <v>341</v>
      </c>
      <c r="B258" s="7" t="s">
        <v>51</v>
      </c>
      <c r="C258" s="7">
        <v>3</v>
      </c>
      <c r="D258" s="10">
        <v>45.1</v>
      </c>
      <c r="E258" s="10">
        <v>135.30000000000001</v>
      </c>
      <c r="F258" s="9">
        <v>45669</v>
      </c>
      <c r="G258" s="9">
        <v>45670</v>
      </c>
      <c r="H258" s="7" t="s">
        <v>26</v>
      </c>
      <c r="I258" s="8" t="s">
        <v>75</v>
      </c>
      <c r="J258" s="7">
        <v>3</v>
      </c>
      <c r="K258" s="7" t="s">
        <v>38</v>
      </c>
      <c r="L258" s="7">
        <v>1</v>
      </c>
      <c r="M258" s="7">
        <v>3</v>
      </c>
      <c r="N258" s="7" t="s">
        <v>28</v>
      </c>
    </row>
    <row r="259" spans="1:14" x14ac:dyDescent="0.3">
      <c r="A259" s="3" t="s">
        <v>342</v>
      </c>
      <c r="B259" s="3" t="s">
        <v>129</v>
      </c>
      <c r="C259" s="3">
        <v>5</v>
      </c>
      <c r="D259" s="6">
        <v>22.7</v>
      </c>
      <c r="E259" s="6">
        <v>113.5</v>
      </c>
      <c r="F259" s="5">
        <v>45669</v>
      </c>
      <c r="G259" s="5">
        <v>45674</v>
      </c>
      <c r="H259" s="3" t="s">
        <v>26</v>
      </c>
      <c r="I259" s="4" t="s">
        <v>21</v>
      </c>
      <c r="J259" s="3">
        <v>5</v>
      </c>
      <c r="K259" s="3" t="s">
        <v>54</v>
      </c>
      <c r="L259" s="3">
        <v>5</v>
      </c>
      <c r="M259" s="3">
        <v>3</v>
      </c>
      <c r="N259" s="3" t="s">
        <v>28</v>
      </c>
    </row>
    <row r="260" spans="1:14" x14ac:dyDescent="0.3">
      <c r="A260" s="7" t="s">
        <v>343</v>
      </c>
      <c r="B260" s="7" t="s">
        <v>49</v>
      </c>
      <c r="C260" s="7">
        <v>1</v>
      </c>
      <c r="D260" s="10">
        <v>17.600000000000001</v>
      </c>
      <c r="E260" s="10">
        <v>17.600000000000001</v>
      </c>
      <c r="F260" s="9">
        <v>45669</v>
      </c>
      <c r="G260" s="9">
        <v>45670</v>
      </c>
      <c r="H260" s="7" t="s">
        <v>31</v>
      </c>
      <c r="I260" s="8" t="s">
        <v>21</v>
      </c>
      <c r="J260" s="7">
        <v>5</v>
      </c>
      <c r="K260" s="7" t="s">
        <v>164</v>
      </c>
      <c r="L260" s="7">
        <v>1</v>
      </c>
      <c r="M260" s="7">
        <v>3</v>
      </c>
      <c r="N260" s="7" t="s">
        <v>33</v>
      </c>
    </row>
    <row r="261" spans="1:14" x14ac:dyDescent="0.3">
      <c r="A261" s="3" t="s">
        <v>344</v>
      </c>
      <c r="B261" s="3" t="s">
        <v>86</v>
      </c>
      <c r="C261" s="3">
        <v>2</v>
      </c>
      <c r="D261" s="6">
        <v>11.3</v>
      </c>
      <c r="E261" s="6">
        <v>22.6</v>
      </c>
      <c r="F261" s="5">
        <v>45669</v>
      </c>
      <c r="G261" s="5">
        <v>45672</v>
      </c>
      <c r="H261" s="3" t="s">
        <v>31</v>
      </c>
      <c r="I261" s="4" t="s">
        <v>56</v>
      </c>
      <c r="J261" s="3">
        <v>5</v>
      </c>
      <c r="K261" s="3" t="s">
        <v>164</v>
      </c>
      <c r="L261" s="3">
        <v>3</v>
      </c>
      <c r="M261" s="3">
        <v>3</v>
      </c>
      <c r="N261" s="3" t="s">
        <v>33</v>
      </c>
    </row>
    <row r="262" spans="1:14" x14ac:dyDescent="0.3">
      <c r="A262" s="7" t="s">
        <v>345</v>
      </c>
      <c r="B262" s="7" t="s">
        <v>44</v>
      </c>
      <c r="C262" s="7">
        <v>3</v>
      </c>
      <c r="D262" s="10">
        <v>53.4</v>
      </c>
      <c r="E262" s="10">
        <v>160.19999999999999</v>
      </c>
      <c r="F262" s="9">
        <v>45669</v>
      </c>
      <c r="G262" s="9">
        <v>45672</v>
      </c>
      <c r="H262" s="7" t="s">
        <v>26</v>
      </c>
      <c r="I262" s="8" t="s">
        <v>56</v>
      </c>
      <c r="J262" s="7">
        <v>5</v>
      </c>
      <c r="K262" s="7" t="s">
        <v>57</v>
      </c>
      <c r="L262" s="7">
        <v>3</v>
      </c>
      <c r="M262" s="7">
        <v>3</v>
      </c>
      <c r="N262" s="7" t="s">
        <v>28</v>
      </c>
    </row>
    <row r="263" spans="1:14" x14ac:dyDescent="0.3">
      <c r="A263" s="3" t="s">
        <v>346</v>
      </c>
      <c r="B263" s="3" t="s">
        <v>44</v>
      </c>
      <c r="C263" s="3">
        <v>11</v>
      </c>
      <c r="D263" s="6">
        <v>51.1</v>
      </c>
      <c r="E263" s="6">
        <v>562.1</v>
      </c>
      <c r="F263" s="5">
        <v>45669</v>
      </c>
      <c r="G263" s="5">
        <v>45671</v>
      </c>
      <c r="H263" s="3" t="s">
        <v>31</v>
      </c>
      <c r="I263" s="4" t="s">
        <v>45</v>
      </c>
      <c r="J263" s="3">
        <v>5</v>
      </c>
      <c r="K263" s="3" t="s">
        <v>67</v>
      </c>
      <c r="L263" s="3">
        <v>2</v>
      </c>
      <c r="M263" s="3">
        <v>3</v>
      </c>
      <c r="N263" s="3" t="s">
        <v>33</v>
      </c>
    </row>
    <row r="264" spans="1:14" x14ac:dyDescent="0.3">
      <c r="A264" s="7" t="s">
        <v>347</v>
      </c>
      <c r="B264" s="7" t="s">
        <v>49</v>
      </c>
      <c r="C264" s="7">
        <v>2</v>
      </c>
      <c r="D264" s="10">
        <v>27.5</v>
      </c>
      <c r="E264" s="10">
        <v>55</v>
      </c>
      <c r="F264" s="9">
        <v>45669</v>
      </c>
      <c r="G264" s="9">
        <v>45670</v>
      </c>
      <c r="H264" s="7" t="s">
        <v>26</v>
      </c>
      <c r="I264" s="8" t="s">
        <v>75</v>
      </c>
      <c r="J264" s="7">
        <v>3</v>
      </c>
      <c r="K264" s="7" t="s">
        <v>67</v>
      </c>
      <c r="L264" s="7">
        <v>1</v>
      </c>
      <c r="M264" s="7">
        <v>3</v>
      </c>
      <c r="N264" s="7" t="s">
        <v>28</v>
      </c>
    </row>
    <row r="265" spans="1:14" x14ac:dyDescent="0.3">
      <c r="A265" s="3" t="s">
        <v>348</v>
      </c>
      <c r="B265" s="3" t="s">
        <v>51</v>
      </c>
      <c r="C265" s="3">
        <v>1</v>
      </c>
      <c r="D265" s="6">
        <v>33.5</v>
      </c>
      <c r="E265" s="6">
        <v>33.5</v>
      </c>
      <c r="F265" s="5">
        <v>45669</v>
      </c>
      <c r="G265" s="5">
        <v>45671</v>
      </c>
      <c r="H265" s="3" t="s">
        <v>31</v>
      </c>
      <c r="I265" s="4" t="s">
        <v>21</v>
      </c>
      <c r="J265" s="3">
        <v>2</v>
      </c>
      <c r="K265" s="3" t="s">
        <v>67</v>
      </c>
      <c r="L265" s="3">
        <v>2</v>
      </c>
      <c r="M265" s="3">
        <v>3</v>
      </c>
      <c r="N265" s="3" t="s">
        <v>33</v>
      </c>
    </row>
    <row r="266" spans="1:14" x14ac:dyDescent="0.3">
      <c r="A266" s="7" t="s">
        <v>349</v>
      </c>
      <c r="B266" s="7" t="s">
        <v>37</v>
      </c>
      <c r="C266" s="7">
        <v>1</v>
      </c>
      <c r="D266" s="10">
        <v>59.5</v>
      </c>
      <c r="E266" s="10">
        <v>59.5</v>
      </c>
      <c r="F266" s="9">
        <v>45669</v>
      </c>
      <c r="G266" s="9">
        <v>45669</v>
      </c>
      <c r="H266" s="7" t="s">
        <v>26</v>
      </c>
      <c r="I266" s="8" t="s">
        <v>21</v>
      </c>
      <c r="J266" s="7">
        <v>5</v>
      </c>
      <c r="K266" s="7" t="s">
        <v>114</v>
      </c>
      <c r="L266" s="7">
        <v>0</v>
      </c>
      <c r="M266" s="7">
        <v>3</v>
      </c>
      <c r="N266" s="7" t="s">
        <v>28</v>
      </c>
    </row>
    <row r="267" spans="1:14" x14ac:dyDescent="0.3">
      <c r="A267" s="3" t="s">
        <v>350</v>
      </c>
      <c r="B267" s="3" t="s">
        <v>141</v>
      </c>
      <c r="C267" s="3">
        <v>4</v>
      </c>
      <c r="D267" s="6">
        <v>23.5</v>
      </c>
      <c r="E267" s="6">
        <v>94</v>
      </c>
      <c r="F267" s="5">
        <v>45669</v>
      </c>
      <c r="G267" s="5">
        <v>45670</v>
      </c>
      <c r="H267" s="3" t="s">
        <v>31</v>
      </c>
      <c r="I267" s="4" t="s">
        <v>56</v>
      </c>
      <c r="J267" s="3">
        <v>1</v>
      </c>
      <c r="K267" s="3" t="s">
        <v>116</v>
      </c>
      <c r="L267" s="3">
        <v>1</v>
      </c>
      <c r="M267" s="3">
        <v>3</v>
      </c>
      <c r="N267" s="3" t="s">
        <v>33</v>
      </c>
    </row>
    <row r="268" spans="1:14" x14ac:dyDescent="0.3">
      <c r="A268" s="7" t="s">
        <v>351</v>
      </c>
      <c r="B268" s="7" t="s">
        <v>44</v>
      </c>
      <c r="C268" s="7">
        <v>1</v>
      </c>
      <c r="D268" s="10">
        <v>49.7</v>
      </c>
      <c r="E268" s="10">
        <v>49.7</v>
      </c>
      <c r="F268" s="9">
        <v>45669</v>
      </c>
      <c r="G268" s="9">
        <v>45670</v>
      </c>
      <c r="H268" s="7"/>
      <c r="I268" s="8" t="s">
        <v>40</v>
      </c>
      <c r="J268" s="7">
        <v>5</v>
      </c>
      <c r="K268" s="7" t="s">
        <v>119</v>
      </c>
      <c r="L268" s="7">
        <v>1</v>
      </c>
      <c r="M268" s="7">
        <v>3</v>
      </c>
      <c r="N268" s="7" t="s">
        <v>23</v>
      </c>
    </row>
    <row r="269" spans="1:14" x14ac:dyDescent="0.3">
      <c r="A269" s="3" t="s">
        <v>352</v>
      </c>
      <c r="B269" s="3" t="s">
        <v>44</v>
      </c>
      <c r="C269" s="3">
        <v>4</v>
      </c>
      <c r="D269" s="6">
        <v>44.2</v>
      </c>
      <c r="E269" s="6">
        <v>176.8</v>
      </c>
      <c r="F269" s="5">
        <v>45669</v>
      </c>
      <c r="G269" s="5">
        <v>45672</v>
      </c>
      <c r="H269" s="3" t="s">
        <v>31</v>
      </c>
      <c r="I269" s="4" t="s">
        <v>21</v>
      </c>
      <c r="J269" s="3">
        <v>5</v>
      </c>
      <c r="K269" s="3" t="s">
        <v>121</v>
      </c>
      <c r="L269" s="3">
        <v>3</v>
      </c>
      <c r="M269" s="3">
        <v>3</v>
      </c>
      <c r="N269" s="3" t="s">
        <v>33</v>
      </c>
    </row>
    <row r="270" spans="1:14" x14ac:dyDescent="0.3">
      <c r="A270" s="7" t="s">
        <v>353</v>
      </c>
      <c r="B270" s="7" t="s">
        <v>49</v>
      </c>
      <c r="C270" s="7">
        <v>1</v>
      </c>
      <c r="D270" s="10">
        <v>22.1</v>
      </c>
      <c r="E270" s="10">
        <v>22.1</v>
      </c>
      <c r="F270" s="9">
        <v>45669</v>
      </c>
      <c r="G270" s="9">
        <v>45673</v>
      </c>
      <c r="H270" s="7" t="s">
        <v>31</v>
      </c>
      <c r="I270" s="8" t="s">
        <v>40</v>
      </c>
      <c r="J270" s="7">
        <v>3</v>
      </c>
      <c r="K270" s="7" t="s">
        <v>337</v>
      </c>
      <c r="L270" s="7">
        <v>4</v>
      </c>
      <c r="M270" s="7">
        <v>3</v>
      </c>
      <c r="N270" s="7" t="s">
        <v>33</v>
      </c>
    </row>
    <row r="271" spans="1:14" x14ac:dyDescent="0.3">
      <c r="A271" s="3" t="s">
        <v>354</v>
      </c>
      <c r="B271" s="3" t="s">
        <v>44</v>
      </c>
      <c r="C271" s="3">
        <v>3</v>
      </c>
      <c r="D271" s="6">
        <v>90.9</v>
      </c>
      <c r="E271" s="6">
        <v>272.7</v>
      </c>
      <c r="F271" s="5">
        <v>45669</v>
      </c>
      <c r="G271" s="5">
        <v>45670</v>
      </c>
      <c r="H271" s="3" t="s">
        <v>31</v>
      </c>
      <c r="I271" s="4" t="s">
        <v>45</v>
      </c>
      <c r="J271" s="3">
        <v>2</v>
      </c>
      <c r="K271" s="3" t="s">
        <v>38</v>
      </c>
      <c r="L271" s="3">
        <v>1</v>
      </c>
      <c r="M271" s="3">
        <v>3</v>
      </c>
      <c r="N271" s="3" t="s">
        <v>33</v>
      </c>
    </row>
    <row r="272" spans="1:14" x14ac:dyDescent="0.3">
      <c r="A272" s="7" t="s">
        <v>355</v>
      </c>
      <c r="B272" s="7" t="s">
        <v>49</v>
      </c>
      <c r="C272" s="7">
        <v>3</v>
      </c>
      <c r="D272" s="10">
        <v>44.5</v>
      </c>
      <c r="E272" s="10">
        <v>133.5</v>
      </c>
      <c r="F272" s="9">
        <v>45669</v>
      </c>
      <c r="G272" s="9">
        <v>45670</v>
      </c>
      <c r="H272" s="7" t="s">
        <v>31</v>
      </c>
      <c r="I272" s="8" t="s">
        <v>40</v>
      </c>
      <c r="J272" s="7">
        <v>4</v>
      </c>
      <c r="K272" s="7" t="s">
        <v>38</v>
      </c>
      <c r="L272" s="7">
        <v>1</v>
      </c>
      <c r="M272" s="7">
        <v>3</v>
      </c>
      <c r="N272" s="7" t="s">
        <v>33</v>
      </c>
    </row>
    <row r="273" spans="1:14" x14ac:dyDescent="0.3">
      <c r="A273" s="3" t="s">
        <v>356</v>
      </c>
      <c r="B273" s="3" t="s">
        <v>51</v>
      </c>
      <c r="C273" s="3">
        <v>6</v>
      </c>
      <c r="D273" s="6">
        <v>32.299999999999997</v>
      </c>
      <c r="E273" s="6">
        <v>193.8</v>
      </c>
      <c r="F273" s="5">
        <v>45669</v>
      </c>
      <c r="G273" s="5">
        <v>45673</v>
      </c>
      <c r="H273" s="3" t="s">
        <v>31</v>
      </c>
      <c r="I273" s="4" t="s">
        <v>21</v>
      </c>
      <c r="J273" s="3">
        <v>4</v>
      </c>
      <c r="K273" s="3" t="s">
        <v>38</v>
      </c>
      <c r="L273" s="3">
        <v>4</v>
      </c>
      <c r="M273" s="3">
        <v>3</v>
      </c>
      <c r="N273" s="3" t="s">
        <v>33</v>
      </c>
    </row>
    <row r="274" spans="1:14" x14ac:dyDescent="0.3">
      <c r="A274" s="7" t="s">
        <v>357</v>
      </c>
      <c r="B274" s="7" t="s">
        <v>141</v>
      </c>
      <c r="C274" s="7">
        <v>3</v>
      </c>
      <c r="D274" s="10">
        <v>87.5</v>
      </c>
      <c r="E274" s="10">
        <v>262.5</v>
      </c>
      <c r="F274" s="9">
        <v>45669</v>
      </c>
      <c r="G274" s="9">
        <v>45670</v>
      </c>
      <c r="H274" s="7" t="s">
        <v>31</v>
      </c>
      <c r="I274" s="8" t="s">
        <v>40</v>
      </c>
      <c r="J274" s="7">
        <v>3</v>
      </c>
      <c r="K274" s="7" t="s">
        <v>38</v>
      </c>
      <c r="L274" s="7">
        <v>1</v>
      </c>
      <c r="M274" s="7">
        <v>3</v>
      </c>
      <c r="N274" s="7" t="s">
        <v>33</v>
      </c>
    </row>
    <row r="275" spans="1:14" x14ac:dyDescent="0.3">
      <c r="A275" s="3" t="s">
        <v>358</v>
      </c>
      <c r="B275" s="3" t="s">
        <v>134</v>
      </c>
      <c r="C275" s="3">
        <v>5</v>
      </c>
      <c r="D275" s="6">
        <v>48.7</v>
      </c>
      <c r="E275" s="6">
        <v>243.5</v>
      </c>
      <c r="F275" s="5">
        <v>45669</v>
      </c>
      <c r="G275" s="5">
        <v>45670</v>
      </c>
      <c r="H275" s="3" t="s">
        <v>26</v>
      </c>
      <c r="I275" s="4" t="s">
        <v>45</v>
      </c>
      <c r="J275" s="3">
        <v>4</v>
      </c>
      <c r="K275" s="3" t="s">
        <v>38</v>
      </c>
      <c r="L275" s="3">
        <v>1</v>
      </c>
      <c r="M275" s="3">
        <v>3</v>
      </c>
      <c r="N275" s="3" t="s">
        <v>28</v>
      </c>
    </row>
    <row r="276" spans="1:14" x14ac:dyDescent="0.3">
      <c r="A276" s="7" t="s">
        <v>359</v>
      </c>
      <c r="B276" s="7" t="s">
        <v>20</v>
      </c>
      <c r="C276" s="7">
        <v>5</v>
      </c>
      <c r="D276" s="10">
        <v>22.5</v>
      </c>
      <c r="E276" s="10">
        <v>112.5</v>
      </c>
      <c r="F276" s="9">
        <v>45669</v>
      </c>
      <c r="G276" s="9">
        <v>45670</v>
      </c>
      <c r="H276" s="7" t="s">
        <v>26</v>
      </c>
      <c r="I276" s="8" t="s">
        <v>21</v>
      </c>
      <c r="J276" s="7">
        <v>4</v>
      </c>
      <c r="K276" s="7" t="s">
        <v>38</v>
      </c>
      <c r="L276" s="7">
        <v>1</v>
      </c>
      <c r="M276" s="7">
        <v>3</v>
      </c>
      <c r="N276" s="7" t="s">
        <v>28</v>
      </c>
    </row>
    <row r="277" spans="1:14" x14ac:dyDescent="0.3">
      <c r="A277" s="3" t="s">
        <v>360</v>
      </c>
      <c r="B277" s="3" t="s">
        <v>25</v>
      </c>
      <c r="C277" s="3">
        <v>8</v>
      </c>
      <c r="D277" s="6">
        <v>65.900000000000006</v>
      </c>
      <c r="E277" s="6">
        <v>527.20000000000005</v>
      </c>
      <c r="F277" s="5">
        <v>45669</v>
      </c>
      <c r="G277" s="5">
        <v>45672</v>
      </c>
      <c r="H277" s="3" t="s">
        <v>31</v>
      </c>
      <c r="I277" s="4" t="s">
        <v>40</v>
      </c>
      <c r="J277" s="3">
        <v>5</v>
      </c>
      <c r="K277" s="3" t="s">
        <v>38</v>
      </c>
      <c r="L277" s="3">
        <v>3</v>
      </c>
      <c r="M277" s="3">
        <v>3</v>
      </c>
      <c r="N277" s="3" t="s">
        <v>33</v>
      </c>
    </row>
    <row r="278" spans="1:14" x14ac:dyDescent="0.3">
      <c r="A278" s="7" t="s">
        <v>361</v>
      </c>
      <c r="B278" s="7" t="s">
        <v>44</v>
      </c>
      <c r="C278" s="7">
        <v>5</v>
      </c>
      <c r="D278" s="10">
        <v>41.9</v>
      </c>
      <c r="E278" s="10">
        <v>209.5</v>
      </c>
      <c r="F278" s="9">
        <v>45669</v>
      </c>
      <c r="G278" s="9">
        <v>45676</v>
      </c>
      <c r="H278" s="7"/>
      <c r="I278" s="8" t="s">
        <v>21</v>
      </c>
      <c r="J278" s="7">
        <v>4</v>
      </c>
      <c r="K278" s="7" t="s">
        <v>38</v>
      </c>
      <c r="L278" s="7">
        <v>7</v>
      </c>
      <c r="M278" s="7">
        <v>3</v>
      </c>
      <c r="N278" s="7" t="s">
        <v>23</v>
      </c>
    </row>
    <row r="279" spans="1:14" x14ac:dyDescent="0.3">
      <c r="A279" s="3" t="s">
        <v>362</v>
      </c>
      <c r="B279" s="3" t="s">
        <v>25</v>
      </c>
      <c r="C279" s="3">
        <v>5</v>
      </c>
      <c r="D279" s="6">
        <v>67.5</v>
      </c>
      <c r="E279" s="6">
        <v>337.5</v>
      </c>
      <c r="F279" s="5">
        <v>45669</v>
      </c>
      <c r="G279" s="5">
        <v>45670</v>
      </c>
      <c r="H279" s="3" t="s">
        <v>31</v>
      </c>
      <c r="I279" s="4" t="s">
        <v>21</v>
      </c>
      <c r="J279" s="3">
        <v>5</v>
      </c>
      <c r="K279" s="3" t="s">
        <v>38</v>
      </c>
      <c r="L279" s="3">
        <v>1</v>
      </c>
      <c r="M279" s="3">
        <v>3</v>
      </c>
      <c r="N279" s="3" t="s">
        <v>33</v>
      </c>
    </row>
    <row r="280" spans="1:14" x14ac:dyDescent="0.3">
      <c r="A280" s="7" t="s">
        <v>363</v>
      </c>
      <c r="B280" s="7" t="s">
        <v>51</v>
      </c>
      <c r="C280" s="7">
        <v>1</v>
      </c>
      <c r="D280" s="10">
        <v>60.4</v>
      </c>
      <c r="E280" s="10">
        <v>60.4</v>
      </c>
      <c r="F280" s="9">
        <v>45670</v>
      </c>
      <c r="G280" s="9">
        <v>45672</v>
      </c>
      <c r="H280" s="7" t="s">
        <v>31</v>
      </c>
      <c r="I280" s="8" t="s">
        <v>40</v>
      </c>
      <c r="J280" s="7">
        <v>3</v>
      </c>
      <c r="K280" s="7" t="s">
        <v>38</v>
      </c>
      <c r="L280" s="7">
        <v>2</v>
      </c>
      <c r="M280" s="7">
        <v>3</v>
      </c>
      <c r="N280" s="7" t="s">
        <v>33</v>
      </c>
    </row>
    <row r="281" spans="1:14" x14ac:dyDescent="0.3">
      <c r="A281" s="3" t="s">
        <v>364</v>
      </c>
      <c r="B281" s="3" t="s">
        <v>25</v>
      </c>
      <c r="C281" s="3">
        <v>7</v>
      </c>
      <c r="D281" s="6">
        <v>30.4</v>
      </c>
      <c r="E281" s="6">
        <v>212.8</v>
      </c>
      <c r="F281" s="5">
        <v>45670</v>
      </c>
      <c r="G281" s="5">
        <v>45673</v>
      </c>
      <c r="H281" s="3" t="s">
        <v>31</v>
      </c>
      <c r="I281" s="4" t="s">
        <v>75</v>
      </c>
      <c r="J281" s="3">
        <v>4</v>
      </c>
      <c r="K281" s="3" t="s">
        <v>38</v>
      </c>
      <c r="L281" s="3">
        <v>3</v>
      </c>
      <c r="M281" s="3">
        <v>3</v>
      </c>
      <c r="N281" s="3" t="s">
        <v>33</v>
      </c>
    </row>
    <row r="282" spans="1:14" x14ac:dyDescent="0.3">
      <c r="A282" s="7" t="s">
        <v>365</v>
      </c>
      <c r="B282" s="7" t="s">
        <v>86</v>
      </c>
      <c r="C282" s="7">
        <v>2</v>
      </c>
      <c r="D282" s="10">
        <v>24.5</v>
      </c>
      <c r="E282" s="10">
        <v>49</v>
      </c>
      <c r="F282" s="9">
        <v>45670</v>
      </c>
      <c r="G282" s="9">
        <v>45671</v>
      </c>
      <c r="H282" s="7" t="s">
        <v>26</v>
      </c>
      <c r="I282" s="8" t="s">
        <v>56</v>
      </c>
      <c r="J282" s="7">
        <v>5</v>
      </c>
      <c r="K282" s="7" t="s">
        <v>38</v>
      </c>
      <c r="L282" s="7">
        <v>1</v>
      </c>
      <c r="M282" s="7">
        <v>3</v>
      </c>
      <c r="N282" s="7" t="s">
        <v>28</v>
      </c>
    </row>
    <row r="283" spans="1:14" x14ac:dyDescent="0.3">
      <c r="A283" s="3" t="s">
        <v>366</v>
      </c>
      <c r="B283" s="3" t="s">
        <v>30</v>
      </c>
      <c r="C283" s="3">
        <v>3</v>
      </c>
      <c r="D283" s="6">
        <v>105.9</v>
      </c>
      <c r="E283" s="6">
        <v>317.7</v>
      </c>
      <c r="F283" s="5">
        <v>45670</v>
      </c>
      <c r="G283" s="5">
        <v>45675</v>
      </c>
      <c r="H283" s="3" t="s">
        <v>26</v>
      </c>
      <c r="I283" s="4" t="s">
        <v>21</v>
      </c>
      <c r="J283" s="3">
        <v>4</v>
      </c>
      <c r="K283" s="3" t="s">
        <v>79</v>
      </c>
      <c r="L283" s="3">
        <v>5</v>
      </c>
      <c r="M283" s="3">
        <v>3</v>
      </c>
      <c r="N283" s="3" t="s">
        <v>28</v>
      </c>
    </row>
    <row r="284" spans="1:14" x14ac:dyDescent="0.3">
      <c r="A284" s="7" t="s">
        <v>367</v>
      </c>
      <c r="B284" s="7" t="s">
        <v>59</v>
      </c>
      <c r="C284" s="7">
        <v>24</v>
      </c>
      <c r="D284" s="10">
        <v>25.9</v>
      </c>
      <c r="E284" s="10">
        <v>621.59999999999991</v>
      </c>
      <c r="F284" s="9">
        <v>45670</v>
      </c>
      <c r="G284" s="9">
        <v>45671</v>
      </c>
      <c r="H284" s="7" t="s">
        <v>31</v>
      </c>
      <c r="I284" s="8" t="s">
        <v>75</v>
      </c>
      <c r="J284" s="7">
        <v>4</v>
      </c>
      <c r="K284" s="7" t="s">
        <v>164</v>
      </c>
      <c r="L284" s="7">
        <v>1</v>
      </c>
      <c r="M284" s="7">
        <v>3</v>
      </c>
      <c r="N284" s="7" t="s">
        <v>33</v>
      </c>
    </row>
    <row r="285" spans="1:14" x14ac:dyDescent="0.3">
      <c r="A285" s="3" t="s">
        <v>368</v>
      </c>
      <c r="B285" s="3" t="s">
        <v>44</v>
      </c>
      <c r="C285" s="3">
        <v>3</v>
      </c>
      <c r="D285" s="6">
        <v>66.8</v>
      </c>
      <c r="E285" s="6">
        <v>200.4</v>
      </c>
      <c r="F285" s="5">
        <v>45670</v>
      </c>
      <c r="G285" s="5">
        <v>45670</v>
      </c>
      <c r="H285" s="3" t="s">
        <v>26</v>
      </c>
      <c r="I285" s="4" t="s">
        <v>21</v>
      </c>
      <c r="J285" s="3">
        <v>4</v>
      </c>
      <c r="K285" s="3" t="s">
        <v>164</v>
      </c>
      <c r="L285" s="3">
        <v>0</v>
      </c>
      <c r="M285" s="3">
        <v>3</v>
      </c>
      <c r="N285" s="3" t="s">
        <v>28</v>
      </c>
    </row>
    <row r="286" spans="1:14" x14ac:dyDescent="0.3">
      <c r="A286" s="7" t="s">
        <v>369</v>
      </c>
      <c r="B286" s="7" t="s">
        <v>44</v>
      </c>
      <c r="C286" s="7">
        <v>3</v>
      </c>
      <c r="D286" s="10">
        <v>112.3</v>
      </c>
      <c r="E286" s="10">
        <v>336.9</v>
      </c>
      <c r="F286" s="9">
        <v>45670</v>
      </c>
      <c r="G286" s="9">
        <v>45671</v>
      </c>
      <c r="H286" s="7" t="s">
        <v>26</v>
      </c>
      <c r="I286" s="8" t="s">
        <v>45</v>
      </c>
      <c r="J286" s="7">
        <v>2</v>
      </c>
      <c r="K286" s="7" t="s">
        <v>60</v>
      </c>
      <c r="L286" s="7">
        <v>1</v>
      </c>
      <c r="M286" s="7">
        <v>3</v>
      </c>
      <c r="N286" s="7" t="s">
        <v>28</v>
      </c>
    </row>
    <row r="287" spans="1:14" x14ac:dyDescent="0.3">
      <c r="A287" s="3" t="s">
        <v>370</v>
      </c>
      <c r="B287" s="3" t="s">
        <v>25</v>
      </c>
      <c r="C287" s="3">
        <v>6</v>
      </c>
      <c r="D287" s="6">
        <v>94.1</v>
      </c>
      <c r="E287" s="6">
        <v>564.59999999999991</v>
      </c>
      <c r="F287" s="5">
        <v>45670</v>
      </c>
      <c r="G287" s="5">
        <v>45671</v>
      </c>
      <c r="H287" s="3" t="s">
        <v>31</v>
      </c>
      <c r="I287" s="4" t="s">
        <v>21</v>
      </c>
      <c r="J287" s="3">
        <v>2</v>
      </c>
      <c r="K287" s="3" t="s">
        <v>60</v>
      </c>
      <c r="L287" s="3">
        <v>1</v>
      </c>
      <c r="M287" s="3">
        <v>3</v>
      </c>
      <c r="N287" s="3" t="s">
        <v>33</v>
      </c>
    </row>
    <row r="288" spans="1:14" x14ac:dyDescent="0.3">
      <c r="A288" s="7" t="s">
        <v>371</v>
      </c>
      <c r="B288" s="7" t="s">
        <v>42</v>
      </c>
      <c r="C288" s="7">
        <v>1</v>
      </c>
      <c r="D288" s="10">
        <v>40.700000000000003</v>
      </c>
      <c r="E288" s="10">
        <v>40.700000000000003</v>
      </c>
      <c r="F288" s="9">
        <v>45670</v>
      </c>
      <c r="G288" s="9">
        <v>45673</v>
      </c>
      <c r="H288" s="7" t="s">
        <v>31</v>
      </c>
      <c r="I288" s="8" t="s">
        <v>45</v>
      </c>
      <c r="J288" s="7">
        <v>4</v>
      </c>
      <c r="K288" s="7" t="s">
        <v>60</v>
      </c>
      <c r="L288" s="7">
        <v>3</v>
      </c>
      <c r="M288" s="7">
        <v>3</v>
      </c>
      <c r="N288" s="7" t="s">
        <v>33</v>
      </c>
    </row>
    <row r="289" spans="1:14" x14ac:dyDescent="0.3">
      <c r="A289" s="3" t="s">
        <v>372</v>
      </c>
      <c r="B289" s="3" t="s">
        <v>35</v>
      </c>
      <c r="C289" s="3">
        <v>2</v>
      </c>
      <c r="D289" s="6">
        <v>71.400000000000006</v>
      </c>
      <c r="E289" s="6">
        <v>142.80000000000001</v>
      </c>
      <c r="F289" s="5">
        <v>45670</v>
      </c>
      <c r="G289" s="5">
        <v>45671</v>
      </c>
      <c r="H289" s="3" t="s">
        <v>26</v>
      </c>
      <c r="I289" s="4" t="s">
        <v>21</v>
      </c>
      <c r="J289" s="3">
        <v>4</v>
      </c>
      <c r="K289" s="3" t="s">
        <v>64</v>
      </c>
      <c r="L289" s="3">
        <v>1</v>
      </c>
      <c r="M289" s="3">
        <v>3</v>
      </c>
      <c r="N289" s="3" t="s">
        <v>28</v>
      </c>
    </row>
    <row r="290" spans="1:14" x14ac:dyDescent="0.3">
      <c r="A290" s="7" t="s">
        <v>373</v>
      </c>
      <c r="B290" s="7" t="s">
        <v>20</v>
      </c>
      <c r="C290" s="7">
        <v>18</v>
      </c>
      <c r="D290" s="10">
        <v>15.6</v>
      </c>
      <c r="E290" s="10">
        <v>280.8</v>
      </c>
      <c r="F290" s="9">
        <v>45670</v>
      </c>
      <c r="G290" s="9">
        <v>45671</v>
      </c>
      <c r="H290" s="7" t="s">
        <v>26</v>
      </c>
      <c r="I290" s="8" t="s">
        <v>40</v>
      </c>
      <c r="J290" s="7">
        <v>1</v>
      </c>
      <c r="K290" s="7" t="s">
        <v>67</v>
      </c>
      <c r="L290" s="7">
        <v>1</v>
      </c>
      <c r="M290" s="7">
        <v>3</v>
      </c>
      <c r="N290" s="7" t="s">
        <v>28</v>
      </c>
    </row>
    <row r="291" spans="1:14" x14ac:dyDescent="0.3">
      <c r="A291" s="3" t="s">
        <v>374</v>
      </c>
      <c r="B291" s="3" t="s">
        <v>59</v>
      </c>
      <c r="C291" s="3">
        <v>4</v>
      </c>
      <c r="D291" s="6">
        <v>37.799999999999997</v>
      </c>
      <c r="E291" s="6">
        <v>151.19999999999999</v>
      </c>
      <c r="F291" s="5">
        <v>45670</v>
      </c>
      <c r="G291" s="5">
        <v>45671</v>
      </c>
      <c r="H291" s="3" t="s">
        <v>26</v>
      </c>
      <c r="I291" s="4" t="s">
        <v>45</v>
      </c>
      <c r="J291" s="3">
        <v>5</v>
      </c>
      <c r="K291" s="3" t="s">
        <v>67</v>
      </c>
      <c r="L291" s="3">
        <v>1</v>
      </c>
      <c r="M291" s="3">
        <v>3</v>
      </c>
      <c r="N291" s="3" t="s">
        <v>28</v>
      </c>
    </row>
    <row r="292" spans="1:14" x14ac:dyDescent="0.3">
      <c r="A292" s="7" t="s">
        <v>375</v>
      </c>
      <c r="B292" s="7" t="s">
        <v>37</v>
      </c>
      <c r="C292" s="7">
        <v>3</v>
      </c>
      <c r="D292" s="10">
        <v>28.1</v>
      </c>
      <c r="E292" s="10">
        <v>84.300000000000011</v>
      </c>
      <c r="F292" s="9">
        <v>45670</v>
      </c>
      <c r="G292" s="9">
        <v>45674</v>
      </c>
      <c r="H292" s="7" t="s">
        <v>26</v>
      </c>
      <c r="I292" s="8" t="s">
        <v>21</v>
      </c>
      <c r="J292" s="7">
        <v>4</v>
      </c>
      <c r="K292" s="7" t="s">
        <v>67</v>
      </c>
      <c r="L292" s="7">
        <v>4</v>
      </c>
      <c r="M292" s="7">
        <v>3</v>
      </c>
      <c r="N292" s="7" t="s">
        <v>28</v>
      </c>
    </row>
    <row r="293" spans="1:14" x14ac:dyDescent="0.3">
      <c r="A293" s="3" t="s">
        <v>376</v>
      </c>
      <c r="B293" s="3" t="s">
        <v>47</v>
      </c>
      <c r="C293" s="3">
        <v>6</v>
      </c>
      <c r="D293" s="6">
        <v>51.4</v>
      </c>
      <c r="E293" s="6">
        <v>308.39999999999998</v>
      </c>
      <c r="F293" s="5">
        <v>45670</v>
      </c>
      <c r="G293" s="5">
        <v>45674</v>
      </c>
      <c r="H293" s="3" t="s">
        <v>26</v>
      </c>
      <c r="I293" s="4" t="s">
        <v>21</v>
      </c>
      <c r="J293" s="3">
        <v>4</v>
      </c>
      <c r="K293" s="3" t="s">
        <v>67</v>
      </c>
      <c r="L293" s="3">
        <v>4</v>
      </c>
      <c r="M293" s="3">
        <v>3</v>
      </c>
      <c r="N293" s="3" t="s">
        <v>28</v>
      </c>
    </row>
    <row r="294" spans="1:14" x14ac:dyDescent="0.3">
      <c r="A294" s="7" t="s">
        <v>377</v>
      </c>
      <c r="B294" s="7" t="s">
        <v>47</v>
      </c>
      <c r="C294" s="7">
        <v>2</v>
      </c>
      <c r="D294" s="10">
        <v>97.7</v>
      </c>
      <c r="E294" s="10">
        <v>195.4</v>
      </c>
      <c r="F294" s="9">
        <v>45670</v>
      </c>
      <c r="G294" s="9">
        <v>45672</v>
      </c>
      <c r="H294" s="7" t="s">
        <v>31</v>
      </c>
      <c r="I294" s="8" t="s">
        <v>75</v>
      </c>
      <c r="J294" s="7">
        <v>5</v>
      </c>
      <c r="K294" s="7" t="s">
        <v>109</v>
      </c>
      <c r="L294" s="7">
        <v>2</v>
      </c>
      <c r="M294" s="7">
        <v>3</v>
      </c>
      <c r="N294" s="7" t="s">
        <v>33</v>
      </c>
    </row>
    <row r="295" spans="1:14" x14ac:dyDescent="0.3">
      <c r="A295" s="3" t="s">
        <v>378</v>
      </c>
      <c r="B295" s="3" t="s">
        <v>25</v>
      </c>
      <c r="C295" s="3">
        <v>4</v>
      </c>
      <c r="D295" s="6">
        <v>63.8</v>
      </c>
      <c r="E295" s="6">
        <v>255.2</v>
      </c>
      <c r="F295" s="5">
        <v>45670</v>
      </c>
      <c r="G295" s="5">
        <v>45671</v>
      </c>
      <c r="H295" s="3" t="s">
        <v>26</v>
      </c>
      <c r="I295" s="4" t="s">
        <v>45</v>
      </c>
      <c r="J295" s="3">
        <v>4</v>
      </c>
      <c r="K295" s="3" t="s">
        <v>84</v>
      </c>
      <c r="L295" s="3">
        <v>1</v>
      </c>
      <c r="M295" s="3">
        <v>3</v>
      </c>
      <c r="N295" s="3" t="s">
        <v>28</v>
      </c>
    </row>
    <row r="296" spans="1:14" x14ac:dyDescent="0.3">
      <c r="A296" s="7" t="s">
        <v>379</v>
      </c>
      <c r="B296" s="7" t="s">
        <v>81</v>
      </c>
      <c r="C296" s="7">
        <v>2</v>
      </c>
      <c r="D296" s="10">
        <v>20.100000000000001</v>
      </c>
      <c r="E296" s="10">
        <v>40.200000000000003</v>
      </c>
      <c r="F296" s="9">
        <v>45670</v>
      </c>
      <c r="G296" s="9">
        <v>45672</v>
      </c>
      <c r="H296" s="7" t="s">
        <v>26</v>
      </c>
      <c r="I296" s="8" t="s">
        <v>21</v>
      </c>
      <c r="J296" s="7">
        <v>5</v>
      </c>
      <c r="K296" s="7" t="s">
        <v>119</v>
      </c>
      <c r="L296" s="7">
        <v>2</v>
      </c>
      <c r="M296" s="7">
        <v>3</v>
      </c>
      <c r="N296" s="7" t="s">
        <v>28</v>
      </c>
    </row>
    <row r="297" spans="1:14" x14ac:dyDescent="0.3">
      <c r="A297" s="3" t="s">
        <v>380</v>
      </c>
      <c r="B297" s="3" t="s">
        <v>72</v>
      </c>
      <c r="C297" s="3">
        <v>3</v>
      </c>
      <c r="D297" s="6">
        <v>50.4</v>
      </c>
      <c r="E297" s="6">
        <v>151.19999999999999</v>
      </c>
      <c r="F297" s="5">
        <v>45670</v>
      </c>
      <c r="G297" s="5">
        <v>45673</v>
      </c>
      <c r="H297" s="3" t="s">
        <v>31</v>
      </c>
      <c r="I297" s="4" t="s">
        <v>56</v>
      </c>
      <c r="J297" s="3">
        <v>4</v>
      </c>
      <c r="K297" s="3" t="s">
        <v>87</v>
      </c>
      <c r="L297" s="3">
        <v>3</v>
      </c>
      <c r="M297" s="3">
        <v>3</v>
      </c>
      <c r="N297" s="3" t="s">
        <v>33</v>
      </c>
    </row>
    <row r="298" spans="1:14" x14ac:dyDescent="0.3">
      <c r="A298" s="7" t="s">
        <v>381</v>
      </c>
      <c r="B298" s="7" t="s">
        <v>20</v>
      </c>
      <c r="C298" s="7">
        <v>1</v>
      </c>
      <c r="D298" s="10">
        <v>16.2</v>
      </c>
      <c r="E298" s="10">
        <v>16.2</v>
      </c>
      <c r="F298" s="9">
        <v>45670</v>
      </c>
      <c r="G298" s="9">
        <v>45683</v>
      </c>
      <c r="H298" s="7" t="s">
        <v>31</v>
      </c>
      <c r="I298" s="8" t="s">
        <v>40</v>
      </c>
      <c r="J298" s="7">
        <v>4</v>
      </c>
      <c r="K298" s="7" t="s">
        <v>27</v>
      </c>
      <c r="L298" s="7">
        <v>13</v>
      </c>
      <c r="M298" s="7">
        <v>3</v>
      </c>
      <c r="N298" s="7" t="s">
        <v>33</v>
      </c>
    </row>
    <row r="299" spans="1:14" x14ac:dyDescent="0.3">
      <c r="A299" s="3" t="s">
        <v>382</v>
      </c>
      <c r="B299" s="3" t="s">
        <v>44</v>
      </c>
      <c r="C299" s="3">
        <v>7</v>
      </c>
      <c r="D299" s="6">
        <v>80.900000000000006</v>
      </c>
      <c r="E299" s="6">
        <v>566.30000000000007</v>
      </c>
      <c r="F299" s="5">
        <v>45670</v>
      </c>
      <c r="G299" s="5">
        <v>45672</v>
      </c>
      <c r="H299" s="3" t="s">
        <v>26</v>
      </c>
      <c r="I299" s="4" t="s">
        <v>75</v>
      </c>
      <c r="J299" s="3">
        <v>2</v>
      </c>
      <c r="K299" s="3" t="s">
        <v>32</v>
      </c>
      <c r="L299" s="3">
        <v>2</v>
      </c>
      <c r="M299" s="3">
        <v>3</v>
      </c>
      <c r="N299" s="3" t="s">
        <v>28</v>
      </c>
    </row>
    <row r="300" spans="1:14" x14ac:dyDescent="0.3">
      <c r="A300" s="7" t="s">
        <v>383</v>
      </c>
      <c r="B300" s="7" t="s">
        <v>51</v>
      </c>
      <c r="C300" s="7">
        <v>6</v>
      </c>
      <c r="D300" s="10">
        <v>95.2</v>
      </c>
      <c r="E300" s="10">
        <v>571.20000000000005</v>
      </c>
      <c r="F300" s="9">
        <v>45670</v>
      </c>
      <c r="G300" s="9">
        <v>45672</v>
      </c>
      <c r="H300" s="7" t="s">
        <v>31</v>
      </c>
      <c r="I300" s="8" t="s">
        <v>21</v>
      </c>
      <c r="J300" s="7">
        <v>5</v>
      </c>
      <c r="K300" s="7" t="s">
        <v>32</v>
      </c>
      <c r="L300" s="7">
        <v>2</v>
      </c>
      <c r="M300" s="7">
        <v>3</v>
      </c>
      <c r="N300" s="7" t="s">
        <v>33</v>
      </c>
    </row>
    <row r="301" spans="1:14" x14ac:dyDescent="0.3">
      <c r="A301" s="3" t="s">
        <v>384</v>
      </c>
      <c r="B301" s="3" t="s">
        <v>42</v>
      </c>
      <c r="C301" s="3">
        <v>8</v>
      </c>
      <c r="D301" s="6">
        <v>70.400000000000006</v>
      </c>
      <c r="E301" s="6">
        <v>563.20000000000005</v>
      </c>
      <c r="F301" s="5">
        <v>45670</v>
      </c>
      <c r="G301" s="5">
        <v>45671</v>
      </c>
      <c r="H301" s="3" t="s">
        <v>26</v>
      </c>
      <c r="I301" s="4" t="s">
        <v>40</v>
      </c>
      <c r="J301" s="3">
        <v>3</v>
      </c>
      <c r="K301" s="3" t="s">
        <v>38</v>
      </c>
      <c r="L301" s="3">
        <v>1</v>
      </c>
      <c r="M301" s="3">
        <v>3</v>
      </c>
      <c r="N301" s="3" t="s">
        <v>28</v>
      </c>
    </row>
    <row r="302" spans="1:14" x14ac:dyDescent="0.3">
      <c r="A302" s="7" t="s">
        <v>385</v>
      </c>
      <c r="B302" s="7" t="s">
        <v>20</v>
      </c>
      <c r="C302" s="7">
        <v>5</v>
      </c>
      <c r="D302" s="10">
        <v>10.7</v>
      </c>
      <c r="E302" s="10">
        <v>53.5</v>
      </c>
      <c r="F302" s="9">
        <v>45670</v>
      </c>
      <c r="G302" s="9">
        <v>45674</v>
      </c>
      <c r="H302" s="7" t="s">
        <v>31</v>
      </c>
      <c r="I302" s="8" t="s">
        <v>45</v>
      </c>
      <c r="J302" s="7">
        <v>4</v>
      </c>
      <c r="K302" s="7" t="s">
        <v>38</v>
      </c>
      <c r="L302" s="7">
        <v>4</v>
      </c>
      <c r="M302" s="7">
        <v>3</v>
      </c>
      <c r="N302" s="7" t="s">
        <v>33</v>
      </c>
    </row>
    <row r="303" spans="1:14" x14ac:dyDescent="0.3">
      <c r="A303" s="3" t="s">
        <v>386</v>
      </c>
      <c r="B303" s="3" t="s">
        <v>49</v>
      </c>
      <c r="C303" s="3">
        <v>5</v>
      </c>
      <c r="D303" s="6">
        <v>19.600000000000001</v>
      </c>
      <c r="E303" s="6">
        <v>98</v>
      </c>
      <c r="F303" s="5">
        <v>45670</v>
      </c>
      <c r="G303" s="5">
        <v>45672</v>
      </c>
      <c r="H303" s="3" t="s">
        <v>31</v>
      </c>
      <c r="I303" s="4" t="s">
        <v>21</v>
      </c>
      <c r="J303" s="3">
        <v>1</v>
      </c>
      <c r="K303" s="3" t="s">
        <v>38</v>
      </c>
      <c r="L303" s="3">
        <v>2</v>
      </c>
      <c r="M303" s="3">
        <v>3</v>
      </c>
      <c r="N303" s="3" t="s">
        <v>33</v>
      </c>
    </row>
    <row r="304" spans="1:14" x14ac:dyDescent="0.3">
      <c r="A304" s="7" t="s">
        <v>387</v>
      </c>
      <c r="B304" s="7" t="s">
        <v>49</v>
      </c>
      <c r="C304" s="7">
        <v>11</v>
      </c>
      <c r="D304" s="10">
        <v>34.700000000000003</v>
      </c>
      <c r="E304" s="10">
        <v>381.7</v>
      </c>
      <c r="F304" s="9">
        <v>45670</v>
      </c>
      <c r="G304" s="9">
        <v>45672</v>
      </c>
      <c r="H304" s="7" t="s">
        <v>31</v>
      </c>
      <c r="I304" s="8" t="s">
        <v>21</v>
      </c>
      <c r="J304" s="7">
        <v>5</v>
      </c>
      <c r="K304" s="7" t="s">
        <v>38</v>
      </c>
      <c r="L304" s="7">
        <v>2</v>
      </c>
      <c r="M304" s="7">
        <v>3</v>
      </c>
      <c r="N304" s="7" t="s">
        <v>33</v>
      </c>
    </row>
    <row r="305" spans="1:14" x14ac:dyDescent="0.3">
      <c r="A305" s="3" t="s">
        <v>388</v>
      </c>
      <c r="B305" s="3" t="s">
        <v>59</v>
      </c>
      <c r="C305" s="3">
        <v>9</v>
      </c>
      <c r="D305" s="6">
        <v>34.1</v>
      </c>
      <c r="E305" s="6">
        <v>306.89999999999998</v>
      </c>
      <c r="F305" s="5">
        <v>45670</v>
      </c>
      <c r="G305" s="5">
        <v>45671</v>
      </c>
      <c r="H305" s="3" t="s">
        <v>31</v>
      </c>
      <c r="I305" s="4" t="s">
        <v>75</v>
      </c>
      <c r="J305" s="3">
        <v>3</v>
      </c>
      <c r="K305" s="3" t="s">
        <v>38</v>
      </c>
      <c r="L305" s="3">
        <v>1</v>
      </c>
      <c r="M305" s="3">
        <v>3</v>
      </c>
      <c r="N305" s="3" t="s">
        <v>33</v>
      </c>
    </row>
    <row r="306" spans="1:14" x14ac:dyDescent="0.3">
      <c r="A306" s="7" t="s">
        <v>389</v>
      </c>
      <c r="B306" s="7" t="s">
        <v>20</v>
      </c>
      <c r="C306" s="7">
        <v>49</v>
      </c>
      <c r="D306" s="10">
        <v>29.3</v>
      </c>
      <c r="E306" s="10">
        <v>1435.7</v>
      </c>
      <c r="F306" s="9">
        <v>45670</v>
      </c>
      <c r="G306" s="9">
        <v>45670</v>
      </c>
      <c r="H306" s="7" t="s">
        <v>26</v>
      </c>
      <c r="I306" s="8" t="s">
        <v>21</v>
      </c>
      <c r="J306" s="7">
        <v>3</v>
      </c>
      <c r="K306" s="7" t="s">
        <v>38</v>
      </c>
      <c r="L306" s="7">
        <v>0</v>
      </c>
      <c r="M306" s="7">
        <v>3</v>
      </c>
      <c r="N306" s="7" t="s">
        <v>28</v>
      </c>
    </row>
    <row r="307" spans="1:14" x14ac:dyDescent="0.3">
      <c r="A307" s="3" t="s">
        <v>390</v>
      </c>
      <c r="B307" s="3" t="s">
        <v>25</v>
      </c>
      <c r="C307" s="3">
        <v>1</v>
      </c>
      <c r="D307" s="6">
        <v>55.2</v>
      </c>
      <c r="E307" s="6">
        <v>55.2</v>
      </c>
      <c r="F307" s="5">
        <v>45670</v>
      </c>
      <c r="G307" s="5">
        <v>45671</v>
      </c>
      <c r="H307" s="3" t="s">
        <v>31</v>
      </c>
      <c r="I307" s="4" t="s">
        <v>21</v>
      </c>
      <c r="J307" s="3">
        <v>3</v>
      </c>
      <c r="K307" s="3" t="s">
        <v>38</v>
      </c>
      <c r="L307" s="3">
        <v>1</v>
      </c>
      <c r="M307" s="3">
        <v>3</v>
      </c>
      <c r="N307" s="3" t="s">
        <v>33</v>
      </c>
    </row>
    <row r="308" spans="1:14" x14ac:dyDescent="0.3">
      <c r="A308" s="7" t="s">
        <v>391</v>
      </c>
      <c r="B308" s="7" t="s">
        <v>152</v>
      </c>
      <c r="C308" s="7">
        <v>3</v>
      </c>
      <c r="D308" s="10">
        <v>26</v>
      </c>
      <c r="E308" s="10">
        <v>78</v>
      </c>
      <c r="F308" s="9">
        <v>45670</v>
      </c>
      <c r="G308" s="9">
        <v>45673</v>
      </c>
      <c r="H308" s="7" t="s">
        <v>31</v>
      </c>
      <c r="I308" s="8" t="s">
        <v>21</v>
      </c>
      <c r="J308" s="7">
        <v>5</v>
      </c>
      <c r="K308" s="7" t="s">
        <v>38</v>
      </c>
      <c r="L308" s="7">
        <v>3</v>
      </c>
      <c r="M308" s="7">
        <v>3</v>
      </c>
      <c r="N308" s="7" t="s">
        <v>33</v>
      </c>
    </row>
    <row r="309" spans="1:14" x14ac:dyDescent="0.3">
      <c r="A309" s="3" t="s">
        <v>392</v>
      </c>
      <c r="B309" s="3" t="s">
        <v>86</v>
      </c>
      <c r="C309" s="3">
        <v>2</v>
      </c>
      <c r="D309" s="6">
        <v>14.2</v>
      </c>
      <c r="E309" s="6">
        <v>28.4</v>
      </c>
      <c r="F309" s="5">
        <v>45670</v>
      </c>
      <c r="G309" s="5">
        <v>45675</v>
      </c>
      <c r="H309" s="3" t="s">
        <v>31</v>
      </c>
      <c r="I309" s="4" t="s">
        <v>56</v>
      </c>
      <c r="J309" s="3">
        <v>4</v>
      </c>
      <c r="K309" s="3" t="s">
        <v>89</v>
      </c>
      <c r="L309" s="3">
        <v>5</v>
      </c>
      <c r="M309" s="3">
        <v>3</v>
      </c>
      <c r="N309" s="3" t="s">
        <v>33</v>
      </c>
    </row>
    <row r="310" spans="1:14" x14ac:dyDescent="0.3">
      <c r="A310" s="7" t="s">
        <v>393</v>
      </c>
      <c r="B310" s="7" t="s">
        <v>49</v>
      </c>
      <c r="C310" s="7">
        <v>9</v>
      </c>
      <c r="D310" s="10">
        <v>22.7</v>
      </c>
      <c r="E310" s="10">
        <v>204.3</v>
      </c>
      <c r="F310" s="9">
        <v>45671</v>
      </c>
      <c r="G310" s="9">
        <v>45672</v>
      </c>
      <c r="H310" s="7" t="s">
        <v>26</v>
      </c>
      <c r="I310" s="8" t="s">
        <v>40</v>
      </c>
      <c r="J310" s="7">
        <v>4</v>
      </c>
      <c r="K310" s="7" t="s">
        <v>60</v>
      </c>
      <c r="L310" s="7">
        <v>1</v>
      </c>
      <c r="M310" s="7">
        <v>3</v>
      </c>
      <c r="N310" s="7" t="s">
        <v>28</v>
      </c>
    </row>
    <row r="311" spans="1:14" x14ac:dyDescent="0.3">
      <c r="A311" s="3" t="s">
        <v>394</v>
      </c>
      <c r="B311" s="3" t="s">
        <v>20</v>
      </c>
      <c r="C311" s="3">
        <v>15</v>
      </c>
      <c r="D311" s="6">
        <v>19.8</v>
      </c>
      <c r="E311" s="6">
        <v>297</v>
      </c>
      <c r="F311" s="5">
        <v>45671</v>
      </c>
      <c r="G311" s="5">
        <v>45671</v>
      </c>
      <c r="H311" s="3" t="s">
        <v>31</v>
      </c>
      <c r="I311" s="4" t="s">
        <v>21</v>
      </c>
      <c r="J311" s="3">
        <v>5</v>
      </c>
      <c r="K311" s="3" t="s">
        <v>60</v>
      </c>
      <c r="L311" s="3">
        <v>0</v>
      </c>
      <c r="M311" s="3">
        <v>3</v>
      </c>
      <c r="N311" s="3" t="s">
        <v>33</v>
      </c>
    </row>
    <row r="312" spans="1:14" x14ac:dyDescent="0.3">
      <c r="A312" s="7" t="s">
        <v>395</v>
      </c>
      <c r="B312" s="7" t="s">
        <v>20</v>
      </c>
      <c r="C312" s="7">
        <v>3</v>
      </c>
      <c r="D312" s="10">
        <v>31.7</v>
      </c>
      <c r="E312" s="10">
        <v>95.1</v>
      </c>
      <c r="F312" s="9">
        <v>45671</v>
      </c>
      <c r="G312" s="9">
        <v>45672</v>
      </c>
      <c r="H312" s="7" t="s">
        <v>26</v>
      </c>
      <c r="I312" s="8" t="s">
        <v>45</v>
      </c>
      <c r="J312" s="7">
        <v>4</v>
      </c>
      <c r="K312" s="7" t="s">
        <v>60</v>
      </c>
      <c r="L312" s="7">
        <v>1</v>
      </c>
      <c r="M312" s="7">
        <v>3</v>
      </c>
      <c r="N312" s="7" t="s">
        <v>28</v>
      </c>
    </row>
    <row r="313" spans="1:14" x14ac:dyDescent="0.3">
      <c r="A313" s="3" t="s">
        <v>396</v>
      </c>
      <c r="B313" s="3" t="s">
        <v>49</v>
      </c>
      <c r="C313" s="3">
        <v>4</v>
      </c>
      <c r="D313" s="6">
        <v>30.4</v>
      </c>
      <c r="E313" s="6">
        <v>121.6</v>
      </c>
      <c r="F313" s="5">
        <v>45671</v>
      </c>
      <c r="G313" s="5">
        <v>45675</v>
      </c>
      <c r="H313" s="3" t="s">
        <v>26</v>
      </c>
      <c r="I313" s="4" t="s">
        <v>21</v>
      </c>
      <c r="J313" s="3">
        <v>4</v>
      </c>
      <c r="K313" s="3" t="s">
        <v>60</v>
      </c>
      <c r="L313" s="3">
        <v>4</v>
      </c>
      <c r="M313" s="3">
        <v>3</v>
      </c>
      <c r="N313" s="3" t="s">
        <v>28</v>
      </c>
    </row>
    <row r="314" spans="1:14" x14ac:dyDescent="0.3">
      <c r="A314" s="7" t="s">
        <v>397</v>
      </c>
      <c r="B314" s="7" t="s">
        <v>20</v>
      </c>
      <c r="C314" s="7">
        <v>4</v>
      </c>
      <c r="D314" s="10">
        <v>25.6</v>
      </c>
      <c r="E314" s="10">
        <v>102.4</v>
      </c>
      <c r="F314" s="9">
        <v>45671</v>
      </c>
      <c r="G314" s="9">
        <v>45672</v>
      </c>
      <c r="H314" s="7" t="s">
        <v>26</v>
      </c>
      <c r="I314" s="8" t="s">
        <v>56</v>
      </c>
      <c r="J314" s="7">
        <v>4</v>
      </c>
      <c r="K314" s="7" t="s">
        <v>67</v>
      </c>
      <c r="L314" s="7">
        <v>1</v>
      </c>
      <c r="M314" s="7">
        <v>3</v>
      </c>
      <c r="N314" s="7" t="s">
        <v>28</v>
      </c>
    </row>
    <row r="315" spans="1:14" x14ac:dyDescent="0.3">
      <c r="A315" s="3" t="s">
        <v>398</v>
      </c>
      <c r="B315" s="3" t="s">
        <v>42</v>
      </c>
      <c r="C315" s="3">
        <v>2</v>
      </c>
      <c r="D315" s="6">
        <v>34.9</v>
      </c>
      <c r="E315" s="6">
        <v>69.8</v>
      </c>
      <c r="F315" s="5">
        <v>45671</v>
      </c>
      <c r="G315" s="5">
        <v>45672</v>
      </c>
      <c r="H315" s="3" t="s">
        <v>31</v>
      </c>
      <c r="I315" s="4" t="s">
        <v>45</v>
      </c>
      <c r="J315" s="3">
        <v>4</v>
      </c>
      <c r="K315" s="3" t="s">
        <v>77</v>
      </c>
      <c r="L315" s="3">
        <v>1</v>
      </c>
      <c r="M315" s="3">
        <v>3</v>
      </c>
      <c r="N315" s="3" t="s">
        <v>33</v>
      </c>
    </row>
    <row r="316" spans="1:14" x14ac:dyDescent="0.3">
      <c r="A316" s="7" t="s">
        <v>399</v>
      </c>
      <c r="B316" s="7" t="s">
        <v>47</v>
      </c>
      <c r="C316" s="7">
        <v>6</v>
      </c>
      <c r="D316" s="10">
        <v>42.7</v>
      </c>
      <c r="E316" s="10">
        <v>256.2</v>
      </c>
      <c r="F316" s="9">
        <v>45671</v>
      </c>
      <c r="G316" s="9">
        <v>45674</v>
      </c>
      <c r="H316" s="7" t="s">
        <v>26</v>
      </c>
      <c r="I316" s="8" t="s">
        <v>45</v>
      </c>
      <c r="J316" s="7">
        <v>3</v>
      </c>
      <c r="K316" s="7" t="s">
        <v>82</v>
      </c>
      <c r="L316" s="7">
        <v>3</v>
      </c>
      <c r="M316" s="7">
        <v>3</v>
      </c>
      <c r="N316" s="7" t="s">
        <v>28</v>
      </c>
    </row>
    <row r="317" spans="1:14" x14ac:dyDescent="0.3">
      <c r="A317" s="3" t="s">
        <v>400</v>
      </c>
      <c r="B317" s="3" t="s">
        <v>49</v>
      </c>
      <c r="C317" s="3">
        <v>1</v>
      </c>
      <c r="D317" s="6">
        <v>23.9</v>
      </c>
      <c r="E317" s="6">
        <v>23.9</v>
      </c>
      <c r="F317" s="5">
        <v>45671</v>
      </c>
      <c r="G317" s="5">
        <v>45673</v>
      </c>
      <c r="H317" s="3" t="s">
        <v>31</v>
      </c>
      <c r="I317" s="4" t="s">
        <v>56</v>
      </c>
      <c r="J317" s="3">
        <v>4</v>
      </c>
      <c r="K317" s="3" t="s">
        <v>82</v>
      </c>
      <c r="L317" s="3">
        <v>2</v>
      </c>
      <c r="M317" s="3">
        <v>3</v>
      </c>
      <c r="N317" s="3" t="s">
        <v>33</v>
      </c>
    </row>
    <row r="318" spans="1:14" x14ac:dyDescent="0.3">
      <c r="A318" s="7" t="s">
        <v>401</v>
      </c>
      <c r="B318" s="7" t="s">
        <v>44</v>
      </c>
      <c r="C318" s="7">
        <v>1</v>
      </c>
      <c r="D318" s="10">
        <v>124.3</v>
      </c>
      <c r="E318" s="10">
        <v>124.3</v>
      </c>
      <c r="F318" s="9">
        <v>45671</v>
      </c>
      <c r="G318" s="9">
        <v>45672</v>
      </c>
      <c r="H318" s="7"/>
      <c r="I318" s="8" t="s">
        <v>45</v>
      </c>
      <c r="J318" s="7">
        <v>3</v>
      </c>
      <c r="K318" s="7" t="s">
        <v>121</v>
      </c>
      <c r="L318" s="7">
        <v>1</v>
      </c>
      <c r="M318" s="7">
        <v>3</v>
      </c>
      <c r="N318" s="7" t="s">
        <v>23</v>
      </c>
    </row>
    <row r="319" spans="1:14" x14ac:dyDescent="0.3">
      <c r="A319" s="3" t="s">
        <v>402</v>
      </c>
      <c r="B319" s="3" t="s">
        <v>49</v>
      </c>
      <c r="C319" s="3">
        <v>6</v>
      </c>
      <c r="D319" s="6">
        <v>35.9</v>
      </c>
      <c r="E319" s="6">
        <v>215.4</v>
      </c>
      <c r="F319" s="5">
        <v>45671</v>
      </c>
      <c r="G319" s="5">
        <v>45672</v>
      </c>
      <c r="H319" s="3" t="s">
        <v>31</v>
      </c>
      <c r="I319" s="4" t="s">
        <v>21</v>
      </c>
      <c r="J319" s="3">
        <v>3</v>
      </c>
      <c r="K319" s="3" t="s">
        <v>27</v>
      </c>
      <c r="L319" s="3">
        <v>1</v>
      </c>
      <c r="M319" s="3">
        <v>3</v>
      </c>
      <c r="N319" s="3" t="s">
        <v>33</v>
      </c>
    </row>
    <row r="320" spans="1:14" x14ac:dyDescent="0.3">
      <c r="A320" s="7" t="s">
        <v>403</v>
      </c>
      <c r="B320" s="7" t="s">
        <v>30</v>
      </c>
      <c r="C320" s="7">
        <v>2</v>
      </c>
      <c r="D320" s="10">
        <v>69.099999999999994</v>
      </c>
      <c r="E320" s="10">
        <v>138.19999999999999</v>
      </c>
      <c r="F320" s="9">
        <v>45671</v>
      </c>
      <c r="G320" s="9">
        <v>45674</v>
      </c>
      <c r="H320" s="7" t="s">
        <v>31</v>
      </c>
      <c r="I320" s="8" t="s">
        <v>21</v>
      </c>
      <c r="J320" s="7">
        <v>5</v>
      </c>
      <c r="K320" s="7" t="s">
        <v>153</v>
      </c>
      <c r="L320" s="7">
        <v>3</v>
      </c>
      <c r="M320" s="7">
        <v>3</v>
      </c>
      <c r="N320" s="7" t="s">
        <v>33</v>
      </c>
    </row>
    <row r="321" spans="1:14" x14ac:dyDescent="0.3">
      <c r="A321" s="3" t="s">
        <v>404</v>
      </c>
      <c r="B321" s="3" t="s">
        <v>47</v>
      </c>
      <c r="C321" s="3">
        <v>1</v>
      </c>
      <c r="D321" s="6">
        <v>58.4</v>
      </c>
      <c r="E321" s="6">
        <v>58.4</v>
      </c>
      <c r="F321" s="5">
        <v>45671</v>
      </c>
      <c r="G321" s="5">
        <v>45675</v>
      </c>
      <c r="H321" s="3" t="s">
        <v>26</v>
      </c>
      <c r="I321" s="4" t="s">
        <v>21</v>
      </c>
      <c r="J321" s="3">
        <v>4</v>
      </c>
      <c r="K321" s="3" t="s">
        <v>153</v>
      </c>
      <c r="L321" s="3">
        <v>4</v>
      </c>
      <c r="M321" s="3">
        <v>3</v>
      </c>
      <c r="N321" s="3" t="s">
        <v>28</v>
      </c>
    </row>
    <row r="322" spans="1:14" x14ac:dyDescent="0.3">
      <c r="A322" s="7" t="s">
        <v>405</v>
      </c>
      <c r="B322" s="7" t="s">
        <v>42</v>
      </c>
      <c r="C322" s="7">
        <v>1</v>
      </c>
      <c r="D322" s="10">
        <v>65.2</v>
      </c>
      <c r="E322" s="10">
        <v>65.2</v>
      </c>
      <c r="F322" s="9">
        <v>45671</v>
      </c>
      <c r="G322" s="9">
        <v>45673</v>
      </c>
      <c r="H322" s="7" t="s">
        <v>94</v>
      </c>
      <c r="I322" s="8" t="s">
        <v>75</v>
      </c>
      <c r="J322" s="7">
        <v>2</v>
      </c>
      <c r="K322" s="7" t="s">
        <v>38</v>
      </c>
      <c r="L322" s="7">
        <v>2</v>
      </c>
      <c r="M322" s="7">
        <v>3</v>
      </c>
      <c r="N322" s="7" t="s">
        <v>95</v>
      </c>
    </row>
    <row r="323" spans="1:14" x14ac:dyDescent="0.3">
      <c r="A323" s="3" t="s">
        <v>406</v>
      </c>
      <c r="B323" s="3" t="s">
        <v>49</v>
      </c>
      <c r="C323" s="3">
        <v>17</v>
      </c>
      <c r="D323" s="6">
        <v>32.700000000000003</v>
      </c>
      <c r="E323" s="6">
        <v>555.90000000000009</v>
      </c>
      <c r="F323" s="5">
        <v>45671</v>
      </c>
      <c r="G323" s="5">
        <v>45678</v>
      </c>
      <c r="H323" s="3"/>
      <c r="I323" s="4" t="s">
        <v>75</v>
      </c>
      <c r="J323" s="3">
        <v>4</v>
      </c>
      <c r="K323" s="3" t="s">
        <v>38</v>
      </c>
      <c r="L323" s="3">
        <v>7</v>
      </c>
      <c r="M323" s="3">
        <v>3</v>
      </c>
      <c r="N323" s="3" t="s">
        <v>23</v>
      </c>
    </row>
    <row r="324" spans="1:14" x14ac:dyDescent="0.3">
      <c r="A324" s="7" t="s">
        <v>407</v>
      </c>
      <c r="B324" s="7" t="s">
        <v>59</v>
      </c>
      <c r="C324" s="7">
        <v>7</v>
      </c>
      <c r="D324" s="10">
        <v>24.4</v>
      </c>
      <c r="E324" s="10">
        <v>170.8</v>
      </c>
      <c r="F324" s="9">
        <v>45671</v>
      </c>
      <c r="G324" s="9">
        <v>45672</v>
      </c>
      <c r="H324" s="7" t="s">
        <v>31</v>
      </c>
      <c r="I324" s="8" t="s">
        <v>21</v>
      </c>
      <c r="J324" s="7">
        <v>4</v>
      </c>
      <c r="K324" s="7" t="s">
        <v>38</v>
      </c>
      <c r="L324" s="7">
        <v>1</v>
      </c>
      <c r="M324" s="7">
        <v>3</v>
      </c>
      <c r="N324" s="7" t="s">
        <v>33</v>
      </c>
    </row>
    <row r="325" spans="1:14" x14ac:dyDescent="0.3">
      <c r="A325" s="3" t="s">
        <v>408</v>
      </c>
      <c r="B325" s="3" t="s">
        <v>86</v>
      </c>
      <c r="C325" s="3">
        <v>2</v>
      </c>
      <c r="D325" s="6">
        <v>50.4</v>
      </c>
      <c r="E325" s="6">
        <v>100.8</v>
      </c>
      <c r="F325" s="5">
        <v>45671</v>
      </c>
      <c r="G325" s="5">
        <v>45677</v>
      </c>
      <c r="H325" s="3" t="s">
        <v>26</v>
      </c>
      <c r="I325" s="4" t="s">
        <v>21</v>
      </c>
      <c r="J325" s="3">
        <v>3</v>
      </c>
      <c r="K325" s="3" t="s">
        <v>38</v>
      </c>
      <c r="L325" s="3">
        <v>6</v>
      </c>
      <c r="M325" s="3">
        <v>3</v>
      </c>
      <c r="N325" s="3" t="s">
        <v>28</v>
      </c>
    </row>
    <row r="326" spans="1:14" x14ac:dyDescent="0.3">
      <c r="A326" s="7" t="s">
        <v>409</v>
      </c>
      <c r="B326" s="7" t="s">
        <v>25</v>
      </c>
      <c r="C326" s="7">
        <v>2</v>
      </c>
      <c r="D326" s="10">
        <v>100</v>
      </c>
      <c r="E326" s="10">
        <v>200</v>
      </c>
      <c r="F326" s="9">
        <v>45671</v>
      </c>
      <c r="G326" s="9">
        <v>45672</v>
      </c>
      <c r="H326" s="7" t="s">
        <v>31</v>
      </c>
      <c r="I326" s="8" t="s">
        <v>21</v>
      </c>
      <c r="J326" s="7">
        <v>4</v>
      </c>
      <c r="K326" s="7" t="s">
        <v>38</v>
      </c>
      <c r="L326" s="7">
        <v>1</v>
      </c>
      <c r="M326" s="7">
        <v>3</v>
      </c>
      <c r="N326" s="7" t="s">
        <v>33</v>
      </c>
    </row>
    <row r="327" spans="1:14" x14ac:dyDescent="0.3">
      <c r="A327" s="3" t="s">
        <v>410</v>
      </c>
      <c r="B327" s="3" t="s">
        <v>59</v>
      </c>
      <c r="C327" s="3">
        <v>3</v>
      </c>
      <c r="D327" s="6">
        <v>43</v>
      </c>
      <c r="E327" s="6">
        <v>129</v>
      </c>
      <c r="F327" s="5">
        <v>45672</v>
      </c>
      <c r="G327" s="5">
        <v>45672</v>
      </c>
      <c r="H327" s="3" t="s">
        <v>31</v>
      </c>
      <c r="I327" s="4" t="s">
        <v>45</v>
      </c>
      <c r="J327" s="3">
        <v>3</v>
      </c>
      <c r="K327" s="3" t="s">
        <v>38</v>
      </c>
      <c r="L327" s="3">
        <v>0</v>
      </c>
      <c r="M327" s="3">
        <v>3</v>
      </c>
      <c r="N327" s="3" t="s">
        <v>33</v>
      </c>
    </row>
    <row r="328" spans="1:14" x14ac:dyDescent="0.3">
      <c r="A328" s="7" t="s">
        <v>411</v>
      </c>
      <c r="B328" s="7" t="s">
        <v>25</v>
      </c>
      <c r="C328" s="7">
        <v>5</v>
      </c>
      <c r="D328" s="10">
        <v>64.400000000000006</v>
      </c>
      <c r="E328" s="10">
        <v>322</v>
      </c>
      <c r="F328" s="9">
        <v>45672</v>
      </c>
      <c r="G328" s="9">
        <v>45674</v>
      </c>
      <c r="H328" s="7" t="s">
        <v>26</v>
      </c>
      <c r="I328" s="8" t="s">
        <v>45</v>
      </c>
      <c r="J328" s="7">
        <v>3</v>
      </c>
      <c r="K328" s="7" t="s">
        <v>38</v>
      </c>
      <c r="L328" s="7">
        <v>2</v>
      </c>
      <c r="M328" s="7">
        <v>3</v>
      </c>
      <c r="N328" s="7" t="s">
        <v>28</v>
      </c>
    </row>
    <row r="329" spans="1:14" x14ac:dyDescent="0.3">
      <c r="A329" s="3" t="s">
        <v>412</v>
      </c>
      <c r="B329" s="3" t="s">
        <v>152</v>
      </c>
      <c r="C329" s="3">
        <v>2</v>
      </c>
      <c r="D329" s="6">
        <v>57.4</v>
      </c>
      <c r="E329" s="6">
        <v>114.8</v>
      </c>
      <c r="F329" s="5">
        <v>45672</v>
      </c>
      <c r="G329" s="5">
        <v>45673</v>
      </c>
      <c r="H329" s="3" t="s">
        <v>26</v>
      </c>
      <c r="I329" s="4" t="s">
        <v>45</v>
      </c>
      <c r="J329" s="3">
        <v>3</v>
      </c>
      <c r="K329" s="3" t="s">
        <v>38</v>
      </c>
      <c r="L329" s="3">
        <v>1</v>
      </c>
      <c r="M329" s="3">
        <v>3</v>
      </c>
      <c r="N329" s="3" t="s">
        <v>28</v>
      </c>
    </row>
    <row r="330" spans="1:14" x14ac:dyDescent="0.3">
      <c r="A330" s="7" t="s">
        <v>413</v>
      </c>
      <c r="B330" s="7" t="s">
        <v>30</v>
      </c>
      <c r="C330" s="7">
        <v>3</v>
      </c>
      <c r="D330" s="10">
        <v>55.1</v>
      </c>
      <c r="E330" s="10">
        <v>165.3</v>
      </c>
      <c r="F330" s="9">
        <v>45672</v>
      </c>
      <c r="G330" s="9">
        <v>45675</v>
      </c>
      <c r="H330" s="7" t="s">
        <v>31</v>
      </c>
      <c r="I330" s="8" t="s">
        <v>40</v>
      </c>
      <c r="J330" s="7">
        <v>4</v>
      </c>
      <c r="K330" s="7" t="s">
        <v>38</v>
      </c>
      <c r="L330" s="7">
        <v>3</v>
      </c>
      <c r="M330" s="7">
        <v>3</v>
      </c>
      <c r="N330" s="7" t="s">
        <v>33</v>
      </c>
    </row>
    <row r="331" spans="1:14" x14ac:dyDescent="0.3">
      <c r="A331" s="3" t="s">
        <v>414</v>
      </c>
      <c r="B331" s="3" t="s">
        <v>47</v>
      </c>
      <c r="C331" s="3">
        <v>4</v>
      </c>
      <c r="D331" s="6">
        <v>45.4</v>
      </c>
      <c r="E331" s="6">
        <v>181.6</v>
      </c>
      <c r="F331" s="5">
        <v>45672</v>
      </c>
      <c r="G331" s="5">
        <v>45673</v>
      </c>
      <c r="H331" s="3" t="s">
        <v>31</v>
      </c>
      <c r="I331" s="4" t="s">
        <v>40</v>
      </c>
      <c r="J331" s="3">
        <v>4</v>
      </c>
      <c r="K331" s="3" t="s">
        <v>38</v>
      </c>
      <c r="L331" s="3">
        <v>1</v>
      </c>
      <c r="M331" s="3">
        <v>3</v>
      </c>
      <c r="N331" s="3" t="s">
        <v>33</v>
      </c>
    </row>
    <row r="332" spans="1:14" x14ac:dyDescent="0.3">
      <c r="A332" s="7" t="s">
        <v>415</v>
      </c>
      <c r="B332" s="7" t="s">
        <v>35</v>
      </c>
      <c r="C332" s="7">
        <v>3</v>
      </c>
      <c r="D332" s="10">
        <v>93.3</v>
      </c>
      <c r="E332" s="10">
        <v>279.89999999999998</v>
      </c>
      <c r="F332" s="9">
        <v>45672</v>
      </c>
      <c r="G332" s="9">
        <v>45673</v>
      </c>
      <c r="H332" s="7" t="s">
        <v>31</v>
      </c>
      <c r="I332" s="8" t="s">
        <v>21</v>
      </c>
      <c r="J332" s="7">
        <v>4</v>
      </c>
      <c r="K332" s="7" t="s">
        <v>91</v>
      </c>
      <c r="L332" s="7">
        <v>1</v>
      </c>
      <c r="M332" s="7">
        <v>3</v>
      </c>
      <c r="N332" s="7" t="s">
        <v>33</v>
      </c>
    </row>
    <row r="333" spans="1:14" x14ac:dyDescent="0.3">
      <c r="A333" s="3" t="s">
        <v>416</v>
      </c>
      <c r="B333" s="3" t="s">
        <v>30</v>
      </c>
      <c r="C333" s="3">
        <v>19</v>
      </c>
      <c r="D333" s="6">
        <v>158.19999999999999</v>
      </c>
      <c r="E333" s="6">
        <v>3005.8</v>
      </c>
      <c r="F333" s="5">
        <v>45672</v>
      </c>
      <c r="G333" s="5">
        <v>45673</v>
      </c>
      <c r="H333" s="3" t="s">
        <v>31</v>
      </c>
      <c r="I333" s="4" t="s">
        <v>40</v>
      </c>
      <c r="J333" s="3">
        <v>5</v>
      </c>
      <c r="K333" s="3" t="s">
        <v>104</v>
      </c>
      <c r="L333" s="3">
        <v>1</v>
      </c>
      <c r="M333" s="3">
        <v>3</v>
      </c>
      <c r="N333" s="3" t="s">
        <v>33</v>
      </c>
    </row>
    <row r="334" spans="1:14" x14ac:dyDescent="0.3">
      <c r="A334" s="7" t="s">
        <v>417</v>
      </c>
      <c r="B334" s="7" t="s">
        <v>30</v>
      </c>
      <c r="C334" s="7">
        <v>2</v>
      </c>
      <c r="D334" s="10">
        <v>74.900000000000006</v>
      </c>
      <c r="E334" s="10">
        <v>149.80000000000001</v>
      </c>
      <c r="F334" s="9">
        <v>45672</v>
      </c>
      <c r="G334" s="9">
        <v>45674</v>
      </c>
      <c r="H334" s="7" t="s">
        <v>26</v>
      </c>
      <c r="I334" s="8" t="s">
        <v>56</v>
      </c>
      <c r="J334" s="7">
        <v>4</v>
      </c>
      <c r="K334" s="7" t="s">
        <v>60</v>
      </c>
      <c r="L334" s="7">
        <v>2</v>
      </c>
      <c r="M334" s="7">
        <v>3</v>
      </c>
      <c r="N334" s="7" t="s">
        <v>28</v>
      </c>
    </row>
    <row r="335" spans="1:14" x14ac:dyDescent="0.3">
      <c r="A335" s="3" t="s">
        <v>418</v>
      </c>
      <c r="B335" s="3" t="s">
        <v>49</v>
      </c>
      <c r="C335" s="3">
        <v>7</v>
      </c>
      <c r="D335" s="6">
        <v>26</v>
      </c>
      <c r="E335" s="6">
        <v>182</v>
      </c>
      <c r="F335" s="5">
        <v>45672</v>
      </c>
      <c r="G335" s="5">
        <v>45675</v>
      </c>
      <c r="H335" s="3" t="s">
        <v>31</v>
      </c>
      <c r="I335" s="4" t="s">
        <v>40</v>
      </c>
      <c r="J335" s="3">
        <v>4</v>
      </c>
      <c r="K335" s="3" t="s">
        <v>67</v>
      </c>
      <c r="L335" s="3">
        <v>3</v>
      </c>
      <c r="M335" s="3">
        <v>3</v>
      </c>
      <c r="N335" s="3" t="s">
        <v>33</v>
      </c>
    </row>
    <row r="336" spans="1:14" x14ac:dyDescent="0.3">
      <c r="A336" s="7" t="s">
        <v>419</v>
      </c>
      <c r="B336" s="7" t="s">
        <v>51</v>
      </c>
      <c r="C336" s="7">
        <v>6</v>
      </c>
      <c r="D336" s="10">
        <v>37.5</v>
      </c>
      <c r="E336" s="10">
        <v>225</v>
      </c>
      <c r="F336" s="9">
        <v>45672</v>
      </c>
      <c r="G336" s="9">
        <v>45673</v>
      </c>
      <c r="H336" s="7" t="s">
        <v>31</v>
      </c>
      <c r="I336" s="8" t="s">
        <v>21</v>
      </c>
      <c r="J336" s="7">
        <v>3</v>
      </c>
      <c r="K336" s="7" t="s">
        <v>67</v>
      </c>
      <c r="L336" s="7">
        <v>1</v>
      </c>
      <c r="M336" s="7">
        <v>3</v>
      </c>
      <c r="N336" s="7" t="s">
        <v>33</v>
      </c>
    </row>
    <row r="337" spans="1:14" x14ac:dyDescent="0.3">
      <c r="A337" s="3" t="s">
        <v>420</v>
      </c>
      <c r="B337" s="3" t="s">
        <v>44</v>
      </c>
      <c r="C337" s="3">
        <v>2</v>
      </c>
      <c r="D337" s="6">
        <v>75.8</v>
      </c>
      <c r="E337" s="6">
        <v>151.6</v>
      </c>
      <c r="F337" s="5">
        <v>45672</v>
      </c>
      <c r="G337" s="5">
        <v>45678</v>
      </c>
      <c r="H337" s="3" t="s">
        <v>26</v>
      </c>
      <c r="I337" s="4" t="s">
        <v>21</v>
      </c>
      <c r="J337" s="3">
        <v>4</v>
      </c>
      <c r="K337" s="3" t="s">
        <v>67</v>
      </c>
      <c r="L337" s="3">
        <v>6</v>
      </c>
      <c r="M337" s="3">
        <v>3</v>
      </c>
      <c r="N337" s="3" t="s">
        <v>28</v>
      </c>
    </row>
    <row r="338" spans="1:14" x14ac:dyDescent="0.3">
      <c r="A338" s="7" t="s">
        <v>421</v>
      </c>
      <c r="B338" s="7" t="s">
        <v>47</v>
      </c>
      <c r="C338" s="7">
        <v>1</v>
      </c>
      <c r="D338" s="10">
        <v>48.5</v>
      </c>
      <c r="E338" s="10">
        <v>48.5</v>
      </c>
      <c r="F338" s="9">
        <v>45672</v>
      </c>
      <c r="G338" s="9">
        <v>45684</v>
      </c>
      <c r="H338" s="7"/>
      <c r="I338" s="8" t="s">
        <v>75</v>
      </c>
      <c r="J338" s="7">
        <v>5</v>
      </c>
      <c r="K338" s="7" t="s">
        <v>67</v>
      </c>
      <c r="L338" s="7">
        <v>12</v>
      </c>
      <c r="M338" s="7">
        <v>3</v>
      </c>
      <c r="N338" s="7" t="s">
        <v>23</v>
      </c>
    </row>
    <row r="339" spans="1:14" x14ac:dyDescent="0.3">
      <c r="A339" s="3" t="s">
        <v>422</v>
      </c>
      <c r="B339" s="3" t="s">
        <v>44</v>
      </c>
      <c r="C339" s="3">
        <v>3</v>
      </c>
      <c r="D339" s="6">
        <v>98.9</v>
      </c>
      <c r="E339" s="6">
        <v>296.7</v>
      </c>
      <c r="F339" s="5">
        <v>45672</v>
      </c>
      <c r="G339" s="5">
        <v>45674</v>
      </c>
      <c r="H339" s="3" t="s">
        <v>31</v>
      </c>
      <c r="I339" s="4" t="s">
        <v>75</v>
      </c>
      <c r="J339" s="3">
        <v>3</v>
      </c>
      <c r="K339" s="3" t="s">
        <v>67</v>
      </c>
      <c r="L339" s="3">
        <v>2</v>
      </c>
      <c r="M339" s="3">
        <v>3</v>
      </c>
      <c r="N339" s="3" t="s">
        <v>33</v>
      </c>
    </row>
    <row r="340" spans="1:14" x14ac:dyDescent="0.3">
      <c r="A340" s="7" t="s">
        <v>423</v>
      </c>
      <c r="B340" s="7" t="s">
        <v>25</v>
      </c>
      <c r="C340" s="7">
        <v>12</v>
      </c>
      <c r="D340" s="10">
        <v>50.9</v>
      </c>
      <c r="E340" s="10">
        <v>610.79999999999995</v>
      </c>
      <c r="F340" s="9">
        <v>45672</v>
      </c>
      <c r="G340" s="9">
        <v>45672</v>
      </c>
      <c r="H340" s="7" t="s">
        <v>26</v>
      </c>
      <c r="I340" s="8" t="s">
        <v>75</v>
      </c>
      <c r="J340" s="7">
        <v>4</v>
      </c>
      <c r="K340" s="7" t="s">
        <v>67</v>
      </c>
      <c r="L340" s="7">
        <v>0</v>
      </c>
      <c r="M340" s="7">
        <v>3</v>
      </c>
      <c r="N340" s="7" t="s">
        <v>28</v>
      </c>
    </row>
    <row r="341" spans="1:14" x14ac:dyDescent="0.3">
      <c r="A341" s="3" t="s">
        <v>424</v>
      </c>
      <c r="B341" s="3" t="s">
        <v>74</v>
      </c>
      <c r="C341" s="3">
        <v>6</v>
      </c>
      <c r="D341" s="6">
        <v>84.7</v>
      </c>
      <c r="E341" s="6">
        <v>508.2</v>
      </c>
      <c r="F341" s="5">
        <v>45672</v>
      </c>
      <c r="G341" s="5">
        <v>45672</v>
      </c>
      <c r="H341" s="3" t="s">
        <v>31</v>
      </c>
      <c r="I341" s="4" t="s">
        <v>45</v>
      </c>
      <c r="J341" s="3">
        <v>4</v>
      </c>
      <c r="K341" s="3" t="s">
        <v>67</v>
      </c>
      <c r="L341" s="3">
        <v>0</v>
      </c>
      <c r="M341" s="3">
        <v>3</v>
      </c>
      <c r="N341" s="3" t="s">
        <v>33</v>
      </c>
    </row>
    <row r="342" spans="1:14" x14ac:dyDescent="0.3">
      <c r="A342" s="7" t="s">
        <v>425</v>
      </c>
      <c r="B342" s="7" t="s">
        <v>49</v>
      </c>
      <c r="C342" s="7">
        <v>1</v>
      </c>
      <c r="D342" s="10">
        <v>20.7</v>
      </c>
      <c r="E342" s="10">
        <v>20.7</v>
      </c>
      <c r="F342" s="9">
        <v>45672</v>
      </c>
      <c r="G342" s="9">
        <v>45674</v>
      </c>
      <c r="H342" s="7" t="s">
        <v>31</v>
      </c>
      <c r="I342" s="8" t="s">
        <v>56</v>
      </c>
      <c r="J342" s="7">
        <v>5</v>
      </c>
      <c r="K342" s="7" t="s">
        <v>67</v>
      </c>
      <c r="L342" s="7">
        <v>2</v>
      </c>
      <c r="M342" s="7">
        <v>3</v>
      </c>
      <c r="N342" s="7" t="s">
        <v>33</v>
      </c>
    </row>
    <row r="343" spans="1:14" x14ac:dyDescent="0.3">
      <c r="A343" s="3" t="s">
        <v>426</v>
      </c>
      <c r="B343" s="3" t="s">
        <v>74</v>
      </c>
      <c r="C343" s="3">
        <v>9</v>
      </c>
      <c r="D343" s="6">
        <v>57.8</v>
      </c>
      <c r="E343" s="6">
        <v>520.19999999999993</v>
      </c>
      <c r="F343" s="5">
        <v>45672</v>
      </c>
      <c r="G343" s="5">
        <v>45683</v>
      </c>
      <c r="H343" s="3" t="s">
        <v>26</v>
      </c>
      <c r="I343" s="4" t="s">
        <v>21</v>
      </c>
      <c r="J343" s="3">
        <v>2</v>
      </c>
      <c r="K343" s="3" t="s">
        <v>109</v>
      </c>
      <c r="L343" s="3">
        <v>11</v>
      </c>
      <c r="M343" s="3">
        <v>3</v>
      </c>
      <c r="N343" s="3" t="s">
        <v>28</v>
      </c>
    </row>
    <row r="344" spans="1:14" x14ac:dyDescent="0.3">
      <c r="A344" s="7" t="s">
        <v>427</v>
      </c>
      <c r="B344" s="7" t="s">
        <v>30</v>
      </c>
      <c r="C344" s="7">
        <v>2</v>
      </c>
      <c r="D344" s="10">
        <v>106.9</v>
      </c>
      <c r="E344" s="10">
        <v>213.8</v>
      </c>
      <c r="F344" s="9">
        <v>45672</v>
      </c>
      <c r="G344" s="9">
        <v>45674</v>
      </c>
      <c r="H344" s="7" t="s">
        <v>31</v>
      </c>
      <c r="I344" s="8" t="s">
        <v>21</v>
      </c>
      <c r="J344" s="7">
        <v>5</v>
      </c>
      <c r="K344" s="7" t="s">
        <v>104</v>
      </c>
      <c r="L344" s="7">
        <v>2</v>
      </c>
      <c r="M344" s="7">
        <v>3</v>
      </c>
      <c r="N344" s="7" t="s">
        <v>33</v>
      </c>
    </row>
    <row r="345" spans="1:14" x14ac:dyDescent="0.3">
      <c r="A345" s="3" t="s">
        <v>428</v>
      </c>
      <c r="B345" s="3" t="s">
        <v>35</v>
      </c>
      <c r="C345" s="3">
        <v>5</v>
      </c>
      <c r="D345" s="6">
        <v>45.2</v>
      </c>
      <c r="E345" s="6">
        <v>226</v>
      </c>
      <c r="F345" s="5">
        <v>45672</v>
      </c>
      <c r="G345" s="5">
        <v>45676</v>
      </c>
      <c r="H345" s="3" t="s">
        <v>31</v>
      </c>
      <c r="I345" s="4" t="s">
        <v>40</v>
      </c>
      <c r="J345" s="3">
        <v>4</v>
      </c>
      <c r="K345" s="3" t="s">
        <v>121</v>
      </c>
      <c r="L345" s="3">
        <v>4</v>
      </c>
      <c r="M345" s="3">
        <v>3</v>
      </c>
      <c r="N345" s="3" t="s">
        <v>33</v>
      </c>
    </row>
    <row r="346" spans="1:14" x14ac:dyDescent="0.3">
      <c r="A346" s="7" t="s">
        <v>429</v>
      </c>
      <c r="B346" s="7" t="s">
        <v>49</v>
      </c>
      <c r="C346" s="7">
        <v>13</v>
      </c>
      <c r="D346" s="10">
        <v>34.6</v>
      </c>
      <c r="E346" s="10">
        <v>449.8</v>
      </c>
      <c r="F346" s="9">
        <v>45672</v>
      </c>
      <c r="G346" s="9">
        <v>45672</v>
      </c>
      <c r="H346" s="7" t="s">
        <v>31</v>
      </c>
      <c r="I346" s="8" t="s">
        <v>40</v>
      </c>
      <c r="J346" s="7">
        <v>3</v>
      </c>
      <c r="K346" s="7" t="s">
        <v>121</v>
      </c>
      <c r="L346" s="7">
        <v>0</v>
      </c>
      <c r="M346" s="7">
        <v>3</v>
      </c>
      <c r="N346" s="7" t="s">
        <v>33</v>
      </c>
    </row>
    <row r="347" spans="1:14" x14ac:dyDescent="0.3">
      <c r="A347" s="3" t="s">
        <v>430</v>
      </c>
      <c r="B347" s="3" t="s">
        <v>129</v>
      </c>
      <c r="C347" s="3">
        <v>1</v>
      </c>
      <c r="D347" s="6">
        <v>43.8</v>
      </c>
      <c r="E347" s="6">
        <v>43.8</v>
      </c>
      <c r="F347" s="5">
        <v>45672</v>
      </c>
      <c r="G347" s="5">
        <v>45674</v>
      </c>
      <c r="H347" s="3"/>
      <c r="I347" s="4" t="s">
        <v>21</v>
      </c>
      <c r="J347" s="3">
        <v>5</v>
      </c>
      <c r="K347" s="3" t="s">
        <v>121</v>
      </c>
      <c r="L347" s="3">
        <v>2</v>
      </c>
      <c r="M347" s="3">
        <v>3</v>
      </c>
      <c r="N347" s="3" t="s">
        <v>23</v>
      </c>
    </row>
    <row r="348" spans="1:14" x14ac:dyDescent="0.3">
      <c r="A348" s="7" t="s">
        <v>431</v>
      </c>
      <c r="B348" s="7" t="s">
        <v>129</v>
      </c>
      <c r="C348" s="7">
        <v>1</v>
      </c>
      <c r="D348" s="10">
        <v>20.399999999999999</v>
      </c>
      <c r="E348" s="10">
        <v>20.399999999999999</v>
      </c>
      <c r="F348" s="9">
        <v>45672</v>
      </c>
      <c r="G348" s="9">
        <v>45674</v>
      </c>
      <c r="H348" s="7" t="s">
        <v>26</v>
      </c>
      <c r="I348" s="8" t="s">
        <v>75</v>
      </c>
      <c r="J348" s="7">
        <v>3</v>
      </c>
      <c r="K348" s="7" t="s">
        <v>121</v>
      </c>
      <c r="L348" s="7">
        <v>2</v>
      </c>
      <c r="M348" s="7">
        <v>3</v>
      </c>
      <c r="N348" s="7" t="s">
        <v>28</v>
      </c>
    </row>
    <row r="349" spans="1:14" x14ac:dyDescent="0.3">
      <c r="A349" s="3" t="s">
        <v>432</v>
      </c>
      <c r="B349" s="3" t="s">
        <v>25</v>
      </c>
      <c r="C349" s="3">
        <v>1</v>
      </c>
      <c r="D349" s="6">
        <v>36.700000000000003</v>
      </c>
      <c r="E349" s="6">
        <v>36.700000000000003</v>
      </c>
      <c r="F349" s="5">
        <v>45672</v>
      </c>
      <c r="G349" s="5">
        <v>45673</v>
      </c>
      <c r="H349" s="3" t="s">
        <v>26</v>
      </c>
      <c r="I349" s="4" t="s">
        <v>21</v>
      </c>
      <c r="J349" s="3">
        <v>3</v>
      </c>
      <c r="K349" s="3" t="s">
        <v>27</v>
      </c>
      <c r="L349" s="3">
        <v>1</v>
      </c>
      <c r="M349" s="3">
        <v>3</v>
      </c>
      <c r="N349" s="3" t="s">
        <v>28</v>
      </c>
    </row>
    <row r="350" spans="1:14" x14ac:dyDescent="0.3">
      <c r="A350" s="7" t="s">
        <v>433</v>
      </c>
      <c r="B350" s="7" t="s">
        <v>49</v>
      </c>
      <c r="C350" s="7">
        <v>3</v>
      </c>
      <c r="D350" s="10">
        <v>27.2</v>
      </c>
      <c r="E350" s="10">
        <v>81.599999999999994</v>
      </c>
      <c r="F350" s="9">
        <v>45672</v>
      </c>
      <c r="G350" s="9">
        <v>45676</v>
      </c>
      <c r="H350" s="7" t="s">
        <v>26</v>
      </c>
      <c r="I350" s="8" t="s">
        <v>21</v>
      </c>
      <c r="J350" s="7">
        <v>5</v>
      </c>
      <c r="K350" s="7" t="s">
        <v>27</v>
      </c>
      <c r="L350" s="7">
        <v>4</v>
      </c>
      <c r="M350" s="7">
        <v>3</v>
      </c>
      <c r="N350" s="7" t="s">
        <v>28</v>
      </c>
    </row>
    <row r="351" spans="1:14" x14ac:dyDescent="0.3">
      <c r="A351" s="3" t="s">
        <v>434</v>
      </c>
      <c r="B351" s="3" t="s">
        <v>44</v>
      </c>
      <c r="C351" s="3">
        <v>1</v>
      </c>
      <c r="D351" s="6">
        <v>58.2</v>
      </c>
      <c r="E351" s="6">
        <v>58.2</v>
      </c>
      <c r="F351" s="5">
        <v>45672</v>
      </c>
      <c r="G351" s="5">
        <v>45673</v>
      </c>
      <c r="H351" s="3" t="s">
        <v>31</v>
      </c>
      <c r="I351" s="4" t="s">
        <v>21</v>
      </c>
      <c r="J351" s="3">
        <v>5</v>
      </c>
      <c r="K351" s="3" t="s">
        <v>114</v>
      </c>
      <c r="L351" s="3">
        <v>1</v>
      </c>
      <c r="M351" s="3">
        <v>3</v>
      </c>
      <c r="N351" s="3" t="s">
        <v>33</v>
      </c>
    </row>
    <row r="352" spans="1:14" x14ac:dyDescent="0.3">
      <c r="A352" s="7" t="s">
        <v>435</v>
      </c>
      <c r="B352" s="7" t="s">
        <v>49</v>
      </c>
      <c r="C352" s="7">
        <v>3</v>
      </c>
      <c r="D352" s="10">
        <v>25.6</v>
      </c>
      <c r="E352" s="10">
        <v>76.800000000000011</v>
      </c>
      <c r="F352" s="9">
        <v>45672</v>
      </c>
      <c r="G352" s="9">
        <v>45673</v>
      </c>
      <c r="H352" s="7" t="s">
        <v>26</v>
      </c>
      <c r="I352" s="8" t="s">
        <v>75</v>
      </c>
      <c r="J352" s="7">
        <v>2</v>
      </c>
      <c r="K352" s="7" t="s">
        <v>32</v>
      </c>
      <c r="L352" s="7">
        <v>1</v>
      </c>
      <c r="M352" s="7">
        <v>3</v>
      </c>
      <c r="N352" s="7" t="s">
        <v>28</v>
      </c>
    </row>
    <row r="353" spans="1:14" x14ac:dyDescent="0.3">
      <c r="A353" s="3" t="s">
        <v>436</v>
      </c>
      <c r="B353" s="3" t="s">
        <v>59</v>
      </c>
      <c r="C353" s="3">
        <v>1</v>
      </c>
      <c r="D353" s="6">
        <v>21.2</v>
      </c>
      <c r="E353" s="6">
        <v>21.2</v>
      </c>
      <c r="F353" s="5">
        <v>45672</v>
      </c>
      <c r="G353" s="5">
        <v>45672</v>
      </c>
      <c r="H353" s="3" t="s">
        <v>31</v>
      </c>
      <c r="I353" s="4" t="s">
        <v>40</v>
      </c>
      <c r="J353" s="3">
        <v>5</v>
      </c>
      <c r="K353" s="3" t="s">
        <v>38</v>
      </c>
      <c r="L353" s="3">
        <v>0</v>
      </c>
      <c r="M353" s="3">
        <v>3</v>
      </c>
      <c r="N353" s="3" t="s">
        <v>33</v>
      </c>
    </row>
    <row r="354" spans="1:14" x14ac:dyDescent="0.3">
      <c r="A354" s="7" t="s">
        <v>437</v>
      </c>
      <c r="B354" s="7" t="s">
        <v>44</v>
      </c>
      <c r="C354" s="7">
        <v>2</v>
      </c>
      <c r="D354" s="10">
        <v>48.2</v>
      </c>
      <c r="E354" s="10">
        <v>96.4</v>
      </c>
      <c r="F354" s="9">
        <v>45672</v>
      </c>
      <c r="G354" s="9">
        <v>45680</v>
      </c>
      <c r="H354" s="7" t="s">
        <v>31</v>
      </c>
      <c r="I354" s="8" t="s">
        <v>21</v>
      </c>
      <c r="J354" s="7">
        <v>5</v>
      </c>
      <c r="K354" s="7" t="s">
        <v>38</v>
      </c>
      <c r="L354" s="7">
        <v>8</v>
      </c>
      <c r="M354" s="7">
        <v>3</v>
      </c>
      <c r="N354" s="7" t="s">
        <v>33</v>
      </c>
    </row>
    <row r="355" spans="1:14" x14ac:dyDescent="0.3">
      <c r="A355" s="3" t="s">
        <v>438</v>
      </c>
      <c r="B355" s="3" t="s">
        <v>25</v>
      </c>
      <c r="C355" s="3">
        <v>4</v>
      </c>
      <c r="D355" s="6">
        <v>83.4</v>
      </c>
      <c r="E355" s="6">
        <v>333.6</v>
      </c>
      <c r="F355" s="5">
        <v>45673</v>
      </c>
      <c r="G355" s="5">
        <v>45674</v>
      </c>
      <c r="H355" s="3" t="s">
        <v>26</v>
      </c>
      <c r="I355" s="4" t="s">
        <v>21</v>
      </c>
      <c r="J355" s="3">
        <v>4</v>
      </c>
      <c r="K355" s="3" t="s">
        <v>38</v>
      </c>
      <c r="L355" s="3">
        <v>1</v>
      </c>
      <c r="M355" s="3">
        <v>3</v>
      </c>
      <c r="N355" s="3" t="s">
        <v>28</v>
      </c>
    </row>
    <row r="356" spans="1:14" x14ac:dyDescent="0.3">
      <c r="A356" s="7" t="s">
        <v>439</v>
      </c>
      <c r="B356" s="7" t="s">
        <v>51</v>
      </c>
      <c r="C356" s="7">
        <v>3</v>
      </c>
      <c r="D356" s="10">
        <v>45.3</v>
      </c>
      <c r="E356" s="10">
        <v>135.9</v>
      </c>
      <c r="F356" s="9">
        <v>45673</v>
      </c>
      <c r="G356" s="9">
        <v>45679</v>
      </c>
      <c r="H356" s="7" t="s">
        <v>26</v>
      </c>
      <c r="I356" s="8" t="s">
        <v>45</v>
      </c>
      <c r="J356" s="7">
        <v>3</v>
      </c>
      <c r="K356" s="7" t="s">
        <v>38</v>
      </c>
      <c r="L356" s="7">
        <v>6</v>
      </c>
      <c r="M356" s="7">
        <v>3</v>
      </c>
      <c r="N356" s="7" t="s">
        <v>28</v>
      </c>
    </row>
    <row r="357" spans="1:14" x14ac:dyDescent="0.3">
      <c r="A357" s="3" t="s">
        <v>440</v>
      </c>
      <c r="B357" s="3" t="s">
        <v>141</v>
      </c>
      <c r="C357" s="3">
        <v>1</v>
      </c>
      <c r="D357" s="6">
        <v>42</v>
      </c>
      <c r="E357" s="6">
        <v>42</v>
      </c>
      <c r="F357" s="5">
        <v>45673</v>
      </c>
      <c r="G357" s="5">
        <v>45674</v>
      </c>
      <c r="H357" s="3"/>
      <c r="I357" s="4" t="s">
        <v>21</v>
      </c>
      <c r="J357" s="3">
        <v>4</v>
      </c>
      <c r="K357" s="3" t="s">
        <v>38</v>
      </c>
      <c r="L357" s="3">
        <v>1</v>
      </c>
      <c r="M357" s="3">
        <v>3</v>
      </c>
      <c r="N357" s="3" t="s">
        <v>23</v>
      </c>
    </row>
    <row r="358" spans="1:14" x14ac:dyDescent="0.3">
      <c r="A358" s="7" t="s">
        <v>441</v>
      </c>
      <c r="B358" s="7" t="s">
        <v>20</v>
      </c>
      <c r="C358" s="7">
        <v>9</v>
      </c>
      <c r="D358" s="10">
        <v>21.8</v>
      </c>
      <c r="E358" s="10">
        <v>196.2</v>
      </c>
      <c r="F358" s="9">
        <v>45673</v>
      </c>
      <c r="G358" s="9">
        <v>45675</v>
      </c>
      <c r="H358" s="7" t="s">
        <v>31</v>
      </c>
      <c r="I358" s="8" t="s">
        <v>40</v>
      </c>
      <c r="J358" s="7">
        <v>4</v>
      </c>
      <c r="K358" s="7" t="s">
        <v>38</v>
      </c>
      <c r="L358" s="7">
        <v>2</v>
      </c>
      <c r="M358" s="7">
        <v>3</v>
      </c>
      <c r="N358" s="7" t="s">
        <v>33</v>
      </c>
    </row>
    <row r="359" spans="1:14" x14ac:dyDescent="0.3">
      <c r="A359" s="3" t="s">
        <v>442</v>
      </c>
      <c r="B359" s="3" t="s">
        <v>49</v>
      </c>
      <c r="C359" s="3">
        <v>18</v>
      </c>
      <c r="D359" s="6">
        <v>21.4</v>
      </c>
      <c r="E359" s="6">
        <v>385.2</v>
      </c>
      <c r="F359" s="5">
        <v>45673</v>
      </c>
      <c r="G359" s="5">
        <v>45676</v>
      </c>
      <c r="H359" s="3" t="s">
        <v>31</v>
      </c>
      <c r="I359" s="4" t="s">
        <v>40</v>
      </c>
      <c r="J359" s="3">
        <v>5</v>
      </c>
      <c r="K359" s="3" t="s">
        <v>38</v>
      </c>
      <c r="L359" s="3">
        <v>3</v>
      </c>
      <c r="M359" s="3">
        <v>3</v>
      </c>
      <c r="N359" s="3" t="s">
        <v>33</v>
      </c>
    </row>
    <row r="360" spans="1:14" x14ac:dyDescent="0.3">
      <c r="A360" s="7" t="s">
        <v>443</v>
      </c>
      <c r="B360" s="7" t="s">
        <v>59</v>
      </c>
      <c r="C360" s="7">
        <v>3</v>
      </c>
      <c r="D360" s="10">
        <v>45</v>
      </c>
      <c r="E360" s="10">
        <v>135</v>
      </c>
      <c r="F360" s="9">
        <v>45673</v>
      </c>
      <c r="G360" s="9">
        <v>45673</v>
      </c>
      <c r="H360" s="7" t="s">
        <v>31</v>
      </c>
      <c r="I360" s="8" t="s">
        <v>40</v>
      </c>
      <c r="J360" s="7">
        <v>5</v>
      </c>
      <c r="K360" s="7" t="s">
        <v>38</v>
      </c>
      <c r="L360" s="7">
        <v>0</v>
      </c>
      <c r="M360" s="7">
        <v>3</v>
      </c>
      <c r="N360" s="7" t="s">
        <v>33</v>
      </c>
    </row>
    <row r="361" spans="1:14" x14ac:dyDescent="0.3">
      <c r="A361" s="3" t="s">
        <v>444</v>
      </c>
      <c r="B361" s="3" t="s">
        <v>86</v>
      </c>
      <c r="C361" s="3">
        <v>1</v>
      </c>
      <c r="D361" s="6">
        <v>39.6</v>
      </c>
      <c r="E361" s="6">
        <v>39.6</v>
      </c>
      <c r="F361" s="5">
        <v>45673</v>
      </c>
      <c r="G361" s="5">
        <v>45674</v>
      </c>
      <c r="H361" s="3" t="s">
        <v>26</v>
      </c>
      <c r="I361" s="4" t="s">
        <v>21</v>
      </c>
      <c r="J361" s="3">
        <v>5</v>
      </c>
      <c r="K361" s="3" t="s">
        <v>38</v>
      </c>
      <c r="L361" s="3">
        <v>1</v>
      </c>
      <c r="M361" s="3">
        <v>3</v>
      </c>
      <c r="N361" s="3" t="s">
        <v>28</v>
      </c>
    </row>
    <row r="362" spans="1:14" x14ac:dyDescent="0.3">
      <c r="A362" s="7" t="s">
        <v>445</v>
      </c>
      <c r="B362" s="7" t="s">
        <v>74</v>
      </c>
      <c r="C362" s="7">
        <v>3</v>
      </c>
      <c r="D362" s="10">
        <v>79.8</v>
      </c>
      <c r="E362" s="10">
        <v>239.4</v>
      </c>
      <c r="F362" s="9">
        <v>45673</v>
      </c>
      <c r="G362" s="9">
        <v>45679</v>
      </c>
      <c r="H362" s="7" t="s">
        <v>31</v>
      </c>
      <c r="I362" s="8" t="s">
        <v>40</v>
      </c>
      <c r="J362" s="7">
        <v>2</v>
      </c>
      <c r="K362" s="7" t="s">
        <v>38</v>
      </c>
      <c r="L362" s="7">
        <v>6</v>
      </c>
      <c r="M362" s="7">
        <v>3</v>
      </c>
      <c r="N362" s="7" t="s">
        <v>33</v>
      </c>
    </row>
    <row r="363" spans="1:14" x14ac:dyDescent="0.3">
      <c r="A363" s="3" t="s">
        <v>446</v>
      </c>
      <c r="B363" s="3" t="s">
        <v>25</v>
      </c>
      <c r="C363" s="3">
        <v>4</v>
      </c>
      <c r="D363" s="6">
        <v>63.6</v>
      </c>
      <c r="E363" s="6">
        <v>254.4</v>
      </c>
      <c r="F363" s="5">
        <v>45673</v>
      </c>
      <c r="G363" s="5">
        <v>45674</v>
      </c>
      <c r="H363" s="3" t="s">
        <v>94</v>
      </c>
      <c r="I363" s="4" t="s">
        <v>21</v>
      </c>
      <c r="J363" s="3">
        <v>5</v>
      </c>
      <c r="K363" s="3" t="s">
        <v>192</v>
      </c>
      <c r="L363" s="3">
        <v>1</v>
      </c>
      <c r="M363" s="3">
        <v>3</v>
      </c>
      <c r="N363" s="3" t="s">
        <v>95</v>
      </c>
    </row>
    <row r="364" spans="1:14" x14ac:dyDescent="0.3">
      <c r="A364" s="7" t="s">
        <v>447</v>
      </c>
      <c r="B364" s="7" t="s">
        <v>47</v>
      </c>
      <c r="C364" s="7">
        <v>10</v>
      </c>
      <c r="D364" s="10">
        <v>92.7</v>
      </c>
      <c r="E364" s="10">
        <v>927</v>
      </c>
      <c r="F364" s="9">
        <v>45673</v>
      </c>
      <c r="G364" s="9">
        <v>45677</v>
      </c>
      <c r="H364" s="7" t="s">
        <v>26</v>
      </c>
      <c r="I364" s="8" t="s">
        <v>40</v>
      </c>
      <c r="J364" s="7">
        <v>5</v>
      </c>
      <c r="K364" s="7" t="s">
        <v>60</v>
      </c>
      <c r="L364" s="7">
        <v>4</v>
      </c>
      <c r="M364" s="7">
        <v>3</v>
      </c>
      <c r="N364" s="7" t="s">
        <v>28</v>
      </c>
    </row>
    <row r="365" spans="1:14" x14ac:dyDescent="0.3">
      <c r="A365" s="3" t="s">
        <v>448</v>
      </c>
      <c r="B365" s="3" t="s">
        <v>25</v>
      </c>
      <c r="C365" s="3">
        <v>4</v>
      </c>
      <c r="D365" s="6">
        <v>48.4</v>
      </c>
      <c r="E365" s="6">
        <v>193.6</v>
      </c>
      <c r="F365" s="5">
        <v>45673</v>
      </c>
      <c r="G365" s="5">
        <v>45675</v>
      </c>
      <c r="H365" s="3" t="s">
        <v>31</v>
      </c>
      <c r="I365" s="4" t="s">
        <v>40</v>
      </c>
      <c r="J365" s="3">
        <v>5</v>
      </c>
      <c r="K365" s="3" t="s">
        <v>60</v>
      </c>
      <c r="L365" s="3">
        <v>2</v>
      </c>
      <c r="M365" s="3">
        <v>3</v>
      </c>
      <c r="N365" s="3" t="s">
        <v>33</v>
      </c>
    </row>
    <row r="366" spans="1:14" x14ac:dyDescent="0.3">
      <c r="A366" s="7" t="s">
        <v>449</v>
      </c>
      <c r="B366" s="7" t="s">
        <v>51</v>
      </c>
      <c r="C366" s="7">
        <v>8</v>
      </c>
      <c r="D366" s="10">
        <v>36</v>
      </c>
      <c r="E366" s="10">
        <v>288</v>
      </c>
      <c r="F366" s="9">
        <v>45673</v>
      </c>
      <c r="G366" s="9">
        <v>45676</v>
      </c>
      <c r="H366" s="7" t="s">
        <v>26</v>
      </c>
      <c r="I366" s="8" t="s">
        <v>45</v>
      </c>
      <c r="J366" s="7">
        <v>5</v>
      </c>
      <c r="K366" s="7" t="s">
        <v>67</v>
      </c>
      <c r="L366" s="7">
        <v>3</v>
      </c>
      <c r="M366" s="7">
        <v>3</v>
      </c>
      <c r="N366" s="7" t="s">
        <v>28</v>
      </c>
    </row>
    <row r="367" spans="1:14" x14ac:dyDescent="0.3">
      <c r="A367" s="3" t="s">
        <v>450</v>
      </c>
      <c r="B367" s="3" t="s">
        <v>49</v>
      </c>
      <c r="C367" s="3">
        <v>12</v>
      </c>
      <c r="D367" s="6">
        <v>27</v>
      </c>
      <c r="E367" s="6">
        <v>324</v>
      </c>
      <c r="F367" s="5">
        <v>45673</v>
      </c>
      <c r="G367" s="5">
        <v>45675</v>
      </c>
      <c r="H367" s="3" t="s">
        <v>31</v>
      </c>
      <c r="I367" s="4" t="s">
        <v>45</v>
      </c>
      <c r="J367" s="3">
        <v>3</v>
      </c>
      <c r="K367" s="3" t="s">
        <v>67</v>
      </c>
      <c r="L367" s="3">
        <v>2</v>
      </c>
      <c r="M367" s="3">
        <v>3</v>
      </c>
      <c r="N367" s="3" t="s">
        <v>33</v>
      </c>
    </row>
    <row r="368" spans="1:14" x14ac:dyDescent="0.3">
      <c r="A368" s="7" t="s">
        <v>451</v>
      </c>
      <c r="B368" s="7" t="s">
        <v>30</v>
      </c>
      <c r="C368" s="7">
        <v>8</v>
      </c>
      <c r="D368" s="10">
        <v>53.9</v>
      </c>
      <c r="E368" s="10">
        <v>431.2</v>
      </c>
      <c r="F368" s="9">
        <v>45673</v>
      </c>
      <c r="G368" s="9">
        <v>45674</v>
      </c>
      <c r="H368" s="7"/>
      <c r="I368" s="8" t="s">
        <v>21</v>
      </c>
      <c r="J368" s="7">
        <v>4</v>
      </c>
      <c r="K368" s="7" t="s">
        <v>67</v>
      </c>
      <c r="L368" s="7">
        <v>1</v>
      </c>
      <c r="M368" s="7">
        <v>3</v>
      </c>
      <c r="N368" s="7" t="s">
        <v>23</v>
      </c>
    </row>
    <row r="369" spans="1:14" x14ac:dyDescent="0.3">
      <c r="A369" s="3" t="s">
        <v>452</v>
      </c>
      <c r="B369" s="3" t="s">
        <v>35</v>
      </c>
      <c r="C369" s="3">
        <v>9</v>
      </c>
      <c r="D369" s="6">
        <v>48.4</v>
      </c>
      <c r="E369" s="6">
        <v>435.6</v>
      </c>
      <c r="F369" s="5">
        <v>45673</v>
      </c>
      <c r="G369" s="5">
        <v>45674</v>
      </c>
      <c r="H369" s="3" t="s">
        <v>31</v>
      </c>
      <c r="I369" s="4" t="s">
        <v>40</v>
      </c>
      <c r="J369" s="3">
        <v>4</v>
      </c>
      <c r="K369" s="3" t="s">
        <v>77</v>
      </c>
      <c r="L369" s="3">
        <v>1</v>
      </c>
      <c r="M369" s="3">
        <v>3</v>
      </c>
      <c r="N369" s="3" t="s">
        <v>33</v>
      </c>
    </row>
    <row r="370" spans="1:14" x14ac:dyDescent="0.3">
      <c r="A370" s="7" t="s">
        <v>453</v>
      </c>
      <c r="B370" s="7" t="s">
        <v>141</v>
      </c>
      <c r="C370" s="7">
        <v>2</v>
      </c>
      <c r="D370" s="10">
        <v>49.9</v>
      </c>
      <c r="E370" s="10">
        <v>99.8</v>
      </c>
      <c r="F370" s="9">
        <v>45673</v>
      </c>
      <c r="G370" s="9">
        <v>45678</v>
      </c>
      <c r="H370" s="7" t="s">
        <v>26</v>
      </c>
      <c r="I370" s="8" t="s">
        <v>75</v>
      </c>
      <c r="J370" s="7">
        <v>2</v>
      </c>
      <c r="K370" s="7" t="s">
        <v>79</v>
      </c>
      <c r="L370" s="7">
        <v>5</v>
      </c>
      <c r="M370" s="7">
        <v>3</v>
      </c>
      <c r="N370" s="7" t="s">
        <v>28</v>
      </c>
    </row>
    <row r="371" spans="1:14" x14ac:dyDescent="0.3">
      <c r="A371" s="3" t="s">
        <v>454</v>
      </c>
      <c r="B371" s="3" t="s">
        <v>25</v>
      </c>
      <c r="C371" s="3">
        <v>3</v>
      </c>
      <c r="D371" s="6">
        <v>51.7</v>
      </c>
      <c r="E371" s="6">
        <v>155.1</v>
      </c>
      <c r="F371" s="5">
        <v>45673</v>
      </c>
      <c r="G371" s="5">
        <v>45674</v>
      </c>
      <c r="H371" s="3" t="s">
        <v>31</v>
      </c>
      <c r="I371" s="4" t="s">
        <v>21</v>
      </c>
      <c r="J371" s="3">
        <v>5</v>
      </c>
      <c r="K371" s="3" t="s">
        <v>82</v>
      </c>
      <c r="L371" s="3">
        <v>1</v>
      </c>
      <c r="M371" s="3">
        <v>3</v>
      </c>
      <c r="N371" s="3" t="s">
        <v>33</v>
      </c>
    </row>
    <row r="372" spans="1:14" x14ac:dyDescent="0.3">
      <c r="A372" s="7" t="s">
        <v>455</v>
      </c>
      <c r="B372" s="7" t="s">
        <v>49</v>
      </c>
      <c r="C372" s="7">
        <v>3</v>
      </c>
      <c r="D372" s="10">
        <v>41.8</v>
      </c>
      <c r="E372" s="10">
        <v>125.4</v>
      </c>
      <c r="F372" s="9">
        <v>45673</v>
      </c>
      <c r="G372" s="9">
        <v>45675</v>
      </c>
      <c r="H372" s="7" t="s">
        <v>31</v>
      </c>
      <c r="I372" s="8" t="s">
        <v>45</v>
      </c>
      <c r="J372" s="7">
        <v>4</v>
      </c>
      <c r="K372" s="7" t="s">
        <v>114</v>
      </c>
      <c r="L372" s="7">
        <v>2</v>
      </c>
      <c r="M372" s="7">
        <v>3</v>
      </c>
      <c r="N372" s="7" t="s">
        <v>33</v>
      </c>
    </row>
    <row r="373" spans="1:14" x14ac:dyDescent="0.3">
      <c r="A373" s="3" t="s">
        <v>456</v>
      </c>
      <c r="B373" s="3" t="s">
        <v>37</v>
      </c>
      <c r="C373" s="3">
        <v>4</v>
      </c>
      <c r="D373" s="6">
        <v>36.200000000000003</v>
      </c>
      <c r="E373" s="6">
        <v>144.80000000000001</v>
      </c>
      <c r="F373" s="5">
        <v>45674</v>
      </c>
      <c r="G373" s="5">
        <v>45675</v>
      </c>
      <c r="H373" s="3" t="s">
        <v>26</v>
      </c>
      <c r="I373" s="4" t="s">
        <v>45</v>
      </c>
      <c r="J373" s="3">
        <v>5</v>
      </c>
      <c r="K373" s="3" t="s">
        <v>121</v>
      </c>
      <c r="L373" s="3">
        <v>1</v>
      </c>
      <c r="M373" s="3">
        <v>3</v>
      </c>
      <c r="N373" s="3" t="s">
        <v>28</v>
      </c>
    </row>
    <row r="374" spans="1:14" x14ac:dyDescent="0.3">
      <c r="A374" s="7" t="s">
        <v>457</v>
      </c>
      <c r="B374" s="7" t="s">
        <v>30</v>
      </c>
      <c r="C374" s="7">
        <v>1</v>
      </c>
      <c r="D374" s="10">
        <v>150.9</v>
      </c>
      <c r="E374" s="10">
        <v>150.9</v>
      </c>
      <c r="F374" s="9">
        <v>45674</v>
      </c>
      <c r="G374" s="9">
        <v>45684</v>
      </c>
      <c r="H374" s="7" t="s">
        <v>26</v>
      </c>
      <c r="I374" s="8" t="s">
        <v>21</v>
      </c>
      <c r="J374" s="7">
        <v>4</v>
      </c>
      <c r="K374" s="7" t="s">
        <v>27</v>
      </c>
      <c r="L374" s="7">
        <v>10</v>
      </c>
      <c r="M374" s="7">
        <v>3</v>
      </c>
      <c r="N374" s="7" t="s">
        <v>28</v>
      </c>
    </row>
    <row r="375" spans="1:14" x14ac:dyDescent="0.3">
      <c r="A375" s="3" t="s">
        <v>458</v>
      </c>
      <c r="B375" s="3" t="s">
        <v>152</v>
      </c>
      <c r="C375" s="3">
        <v>4</v>
      </c>
      <c r="D375" s="6">
        <v>77.599999999999994</v>
      </c>
      <c r="E375" s="6">
        <v>310.39999999999998</v>
      </c>
      <c r="F375" s="5">
        <v>45674</v>
      </c>
      <c r="G375" s="5">
        <v>45675</v>
      </c>
      <c r="H375" s="3"/>
      <c r="I375" s="4" t="s">
        <v>45</v>
      </c>
      <c r="J375" s="3">
        <v>4</v>
      </c>
      <c r="K375" s="3" t="s">
        <v>38</v>
      </c>
      <c r="L375" s="3">
        <v>1</v>
      </c>
      <c r="M375" s="3">
        <v>3</v>
      </c>
      <c r="N375" s="3" t="s">
        <v>23</v>
      </c>
    </row>
    <row r="376" spans="1:14" x14ac:dyDescent="0.3">
      <c r="A376" s="7" t="s">
        <v>459</v>
      </c>
      <c r="B376" s="7" t="s">
        <v>81</v>
      </c>
      <c r="C376" s="7">
        <v>5</v>
      </c>
      <c r="D376" s="10">
        <v>65.5</v>
      </c>
      <c r="E376" s="10">
        <v>327.5</v>
      </c>
      <c r="F376" s="9">
        <v>45674</v>
      </c>
      <c r="G376" s="9">
        <v>45674</v>
      </c>
      <c r="H376" s="7" t="s">
        <v>26</v>
      </c>
      <c r="I376" s="8" t="s">
        <v>40</v>
      </c>
      <c r="J376" s="7">
        <v>4</v>
      </c>
      <c r="K376" s="7" t="s">
        <v>38</v>
      </c>
      <c r="L376" s="7">
        <v>0</v>
      </c>
      <c r="M376" s="7">
        <v>3</v>
      </c>
      <c r="N376" s="7" t="s">
        <v>28</v>
      </c>
    </row>
    <row r="377" spans="1:14" x14ac:dyDescent="0.3">
      <c r="A377" s="3" t="s">
        <v>460</v>
      </c>
      <c r="B377" s="3" t="s">
        <v>44</v>
      </c>
      <c r="C377" s="3">
        <v>3</v>
      </c>
      <c r="D377" s="6">
        <v>90.1</v>
      </c>
      <c r="E377" s="6">
        <v>270.3</v>
      </c>
      <c r="F377" s="5">
        <v>45674</v>
      </c>
      <c r="G377" s="5">
        <v>45676</v>
      </c>
      <c r="H377" s="3" t="s">
        <v>31</v>
      </c>
      <c r="I377" s="4" t="s">
        <v>21</v>
      </c>
      <c r="J377" s="3">
        <v>4</v>
      </c>
      <c r="K377" s="3" t="s">
        <v>38</v>
      </c>
      <c r="L377" s="3">
        <v>2</v>
      </c>
      <c r="M377" s="3">
        <v>3</v>
      </c>
      <c r="N377" s="3" t="s">
        <v>33</v>
      </c>
    </row>
    <row r="378" spans="1:14" x14ac:dyDescent="0.3">
      <c r="A378" s="7" t="s">
        <v>461</v>
      </c>
      <c r="B378" s="7" t="s">
        <v>25</v>
      </c>
      <c r="C378" s="7">
        <v>2</v>
      </c>
      <c r="D378" s="10">
        <v>108.3</v>
      </c>
      <c r="E378" s="10">
        <v>216.6</v>
      </c>
      <c r="F378" s="9">
        <v>45674</v>
      </c>
      <c r="G378" s="9">
        <v>45677</v>
      </c>
      <c r="H378" s="7" t="s">
        <v>94</v>
      </c>
      <c r="I378" s="8" t="s">
        <v>75</v>
      </c>
      <c r="J378" s="7">
        <v>4</v>
      </c>
      <c r="K378" s="7" t="s">
        <v>38</v>
      </c>
      <c r="L378" s="7">
        <v>3</v>
      </c>
      <c r="M378" s="7">
        <v>3</v>
      </c>
      <c r="N378" s="7" t="s">
        <v>95</v>
      </c>
    </row>
    <row r="379" spans="1:14" x14ac:dyDescent="0.3">
      <c r="A379" s="3" t="s">
        <v>462</v>
      </c>
      <c r="B379" s="3" t="s">
        <v>42</v>
      </c>
      <c r="C379" s="3">
        <v>3</v>
      </c>
      <c r="D379" s="6">
        <v>59.9</v>
      </c>
      <c r="E379" s="6">
        <v>179.7</v>
      </c>
      <c r="F379" s="5">
        <v>45674</v>
      </c>
      <c r="G379" s="5">
        <v>45678</v>
      </c>
      <c r="H379" s="3" t="s">
        <v>31</v>
      </c>
      <c r="I379" s="4" t="s">
        <v>21</v>
      </c>
      <c r="J379" s="3">
        <v>4</v>
      </c>
      <c r="K379" s="3" t="s">
        <v>38</v>
      </c>
      <c r="L379" s="3">
        <v>4</v>
      </c>
      <c r="M379" s="3">
        <v>3</v>
      </c>
      <c r="N379" s="3" t="s">
        <v>33</v>
      </c>
    </row>
    <row r="380" spans="1:14" x14ac:dyDescent="0.3">
      <c r="A380" s="7" t="s">
        <v>463</v>
      </c>
      <c r="B380" s="7" t="s">
        <v>30</v>
      </c>
      <c r="C380" s="7">
        <v>17</v>
      </c>
      <c r="D380" s="10">
        <v>139</v>
      </c>
      <c r="E380" s="10">
        <v>2363</v>
      </c>
      <c r="F380" s="9">
        <v>45674</v>
      </c>
      <c r="G380" s="9">
        <v>45676</v>
      </c>
      <c r="H380" s="7" t="s">
        <v>31</v>
      </c>
      <c r="I380" s="8" t="s">
        <v>40</v>
      </c>
      <c r="J380" s="7">
        <v>2</v>
      </c>
      <c r="K380" s="7" t="s">
        <v>38</v>
      </c>
      <c r="L380" s="7">
        <v>2</v>
      </c>
      <c r="M380" s="7">
        <v>3</v>
      </c>
      <c r="N380" s="7" t="s">
        <v>33</v>
      </c>
    </row>
    <row r="381" spans="1:14" x14ac:dyDescent="0.3">
      <c r="A381" s="3" t="s">
        <v>464</v>
      </c>
      <c r="B381" s="3" t="s">
        <v>44</v>
      </c>
      <c r="C381" s="3">
        <v>3</v>
      </c>
      <c r="D381" s="6">
        <v>87.3</v>
      </c>
      <c r="E381" s="6">
        <v>261.89999999999998</v>
      </c>
      <c r="F381" s="5">
        <v>45674</v>
      </c>
      <c r="G381" s="5">
        <v>45675</v>
      </c>
      <c r="H381" s="3" t="s">
        <v>31</v>
      </c>
      <c r="I381" s="4" t="s">
        <v>21</v>
      </c>
      <c r="J381" s="3">
        <v>4</v>
      </c>
      <c r="K381" s="3" t="s">
        <v>38</v>
      </c>
      <c r="L381" s="3">
        <v>1</v>
      </c>
      <c r="M381" s="3">
        <v>3</v>
      </c>
      <c r="N381" s="3" t="s">
        <v>33</v>
      </c>
    </row>
    <row r="382" spans="1:14" x14ac:dyDescent="0.3">
      <c r="A382" s="7" t="s">
        <v>465</v>
      </c>
      <c r="B382" s="7" t="s">
        <v>72</v>
      </c>
      <c r="C382" s="7">
        <v>4</v>
      </c>
      <c r="D382" s="10">
        <v>42.3</v>
      </c>
      <c r="E382" s="10">
        <v>169.2</v>
      </c>
      <c r="F382" s="9">
        <v>45674</v>
      </c>
      <c r="G382" s="9">
        <v>45674</v>
      </c>
      <c r="H382" s="7" t="s">
        <v>26</v>
      </c>
      <c r="I382" s="8" t="s">
        <v>21</v>
      </c>
      <c r="J382" s="7">
        <v>4</v>
      </c>
      <c r="K382" s="7" t="s">
        <v>38</v>
      </c>
      <c r="L382" s="7">
        <v>0</v>
      </c>
      <c r="M382" s="7">
        <v>3</v>
      </c>
      <c r="N382" s="7" t="s">
        <v>28</v>
      </c>
    </row>
    <row r="383" spans="1:14" x14ac:dyDescent="0.3">
      <c r="A383" s="3" t="s">
        <v>466</v>
      </c>
      <c r="B383" s="3" t="s">
        <v>86</v>
      </c>
      <c r="C383" s="3">
        <v>8</v>
      </c>
      <c r="D383" s="6">
        <v>103.6</v>
      </c>
      <c r="E383" s="6">
        <v>828.8</v>
      </c>
      <c r="F383" s="5">
        <v>45674</v>
      </c>
      <c r="G383" s="5">
        <v>45675</v>
      </c>
      <c r="H383" s="3" t="s">
        <v>94</v>
      </c>
      <c r="I383" s="4" t="s">
        <v>21</v>
      </c>
      <c r="J383" s="3">
        <v>3</v>
      </c>
      <c r="K383" s="3" t="s">
        <v>38</v>
      </c>
      <c r="L383" s="3">
        <v>1</v>
      </c>
      <c r="M383" s="3">
        <v>3</v>
      </c>
      <c r="N383" s="3" t="s">
        <v>95</v>
      </c>
    </row>
    <row r="384" spans="1:14" x14ac:dyDescent="0.3">
      <c r="A384" s="7" t="s">
        <v>467</v>
      </c>
      <c r="B384" s="7" t="s">
        <v>44</v>
      </c>
      <c r="C384" s="7">
        <v>2</v>
      </c>
      <c r="D384" s="10">
        <v>90.9</v>
      </c>
      <c r="E384" s="10">
        <v>181.8</v>
      </c>
      <c r="F384" s="9">
        <v>45674</v>
      </c>
      <c r="G384" s="9">
        <v>45675</v>
      </c>
      <c r="H384" s="7" t="s">
        <v>26</v>
      </c>
      <c r="I384" s="8" t="s">
        <v>40</v>
      </c>
      <c r="J384" s="7">
        <v>4</v>
      </c>
      <c r="K384" s="7" t="s">
        <v>60</v>
      </c>
      <c r="L384" s="7">
        <v>1</v>
      </c>
      <c r="M384" s="7">
        <v>3</v>
      </c>
      <c r="N384" s="7" t="s">
        <v>28</v>
      </c>
    </row>
    <row r="385" spans="1:14" x14ac:dyDescent="0.3">
      <c r="A385" s="3" t="s">
        <v>468</v>
      </c>
      <c r="B385" s="3" t="s">
        <v>51</v>
      </c>
      <c r="C385" s="3">
        <v>16</v>
      </c>
      <c r="D385" s="6">
        <v>100.9</v>
      </c>
      <c r="E385" s="6">
        <v>1614.4</v>
      </c>
      <c r="F385" s="5">
        <v>45674</v>
      </c>
      <c r="G385" s="5">
        <v>45675</v>
      </c>
      <c r="H385" s="3" t="s">
        <v>31</v>
      </c>
      <c r="I385" s="4" t="s">
        <v>40</v>
      </c>
      <c r="J385" s="3">
        <v>4</v>
      </c>
      <c r="K385" s="3" t="s">
        <v>60</v>
      </c>
      <c r="L385" s="3">
        <v>1</v>
      </c>
      <c r="M385" s="3">
        <v>3</v>
      </c>
      <c r="N385" s="3" t="s">
        <v>33</v>
      </c>
    </row>
    <row r="386" spans="1:14" x14ac:dyDescent="0.3">
      <c r="A386" s="7" t="s">
        <v>469</v>
      </c>
      <c r="B386" s="7" t="s">
        <v>37</v>
      </c>
      <c r="C386" s="7">
        <v>5</v>
      </c>
      <c r="D386" s="10">
        <v>36</v>
      </c>
      <c r="E386" s="10">
        <v>180</v>
      </c>
      <c r="F386" s="9">
        <v>45674</v>
      </c>
      <c r="G386" s="9">
        <v>45676</v>
      </c>
      <c r="H386" s="7" t="s">
        <v>31</v>
      </c>
      <c r="I386" s="8" t="s">
        <v>40</v>
      </c>
      <c r="J386" s="7">
        <v>4</v>
      </c>
      <c r="K386" s="7" t="s">
        <v>64</v>
      </c>
      <c r="L386" s="7">
        <v>2</v>
      </c>
      <c r="M386" s="7">
        <v>3</v>
      </c>
      <c r="N386" s="7" t="s">
        <v>33</v>
      </c>
    </row>
    <row r="387" spans="1:14" x14ac:dyDescent="0.3">
      <c r="A387" s="3" t="s">
        <v>470</v>
      </c>
      <c r="B387" s="3" t="s">
        <v>44</v>
      </c>
      <c r="C387" s="3">
        <v>6</v>
      </c>
      <c r="D387" s="6">
        <v>83.3</v>
      </c>
      <c r="E387" s="6">
        <v>499.8</v>
      </c>
      <c r="F387" s="5">
        <v>45674</v>
      </c>
      <c r="G387" s="5">
        <v>45677</v>
      </c>
      <c r="H387" s="3"/>
      <c r="I387" s="4" t="s">
        <v>45</v>
      </c>
      <c r="J387" s="3">
        <v>4</v>
      </c>
      <c r="K387" s="3" t="s">
        <v>64</v>
      </c>
      <c r="L387" s="3">
        <v>3</v>
      </c>
      <c r="M387" s="3">
        <v>3</v>
      </c>
      <c r="N387" s="3" t="s">
        <v>23</v>
      </c>
    </row>
    <row r="388" spans="1:14" x14ac:dyDescent="0.3">
      <c r="A388" s="7" t="s">
        <v>471</v>
      </c>
      <c r="B388" s="7" t="s">
        <v>30</v>
      </c>
      <c r="C388" s="7">
        <v>17</v>
      </c>
      <c r="D388" s="10">
        <v>60.3</v>
      </c>
      <c r="E388" s="10">
        <v>1025.0999999999999</v>
      </c>
      <c r="F388" s="9">
        <v>45674</v>
      </c>
      <c r="G388" s="9">
        <v>45675</v>
      </c>
      <c r="H388" s="7" t="s">
        <v>26</v>
      </c>
      <c r="I388" s="8" t="s">
        <v>45</v>
      </c>
      <c r="J388" s="7">
        <v>3</v>
      </c>
      <c r="K388" s="7" t="s">
        <v>64</v>
      </c>
      <c r="L388" s="7">
        <v>1</v>
      </c>
      <c r="M388" s="7">
        <v>3</v>
      </c>
      <c r="N388" s="7" t="s">
        <v>28</v>
      </c>
    </row>
    <row r="389" spans="1:14" x14ac:dyDescent="0.3">
      <c r="A389" s="3" t="s">
        <v>472</v>
      </c>
      <c r="B389" s="3" t="s">
        <v>30</v>
      </c>
      <c r="C389" s="3">
        <v>6</v>
      </c>
      <c r="D389" s="6">
        <v>120.3</v>
      </c>
      <c r="E389" s="6">
        <v>721.8</v>
      </c>
      <c r="F389" s="5">
        <v>45674</v>
      </c>
      <c r="G389" s="5">
        <v>45675</v>
      </c>
      <c r="H389" s="3" t="s">
        <v>26</v>
      </c>
      <c r="I389" s="4" t="s">
        <v>45</v>
      </c>
      <c r="J389" s="3">
        <v>4</v>
      </c>
      <c r="K389" s="3" t="s">
        <v>67</v>
      </c>
      <c r="L389" s="3">
        <v>1</v>
      </c>
      <c r="M389" s="3">
        <v>3</v>
      </c>
      <c r="N389" s="3" t="s">
        <v>28</v>
      </c>
    </row>
    <row r="390" spans="1:14" x14ac:dyDescent="0.3">
      <c r="A390" s="7" t="s">
        <v>473</v>
      </c>
      <c r="B390" s="7" t="s">
        <v>37</v>
      </c>
      <c r="C390" s="7">
        <v>10</v>
      </c>
      <c r="D390" s="10">
        <v>34</v>
      </c>
      <c r="E390" s="10">
        <v>340</v>
      </c>
      <c r="F390" s="9">
        <v>45674</v>
      </c>
      <c r="G390" s="9">
        <v>45678</v>
      </c>
      <c r="H390" s="7" t="s">
        <v>31</v>
      </c>
      <c r="I390" s="8" t="s">
        <v>45</v>
      </c>
      <c r="J390" s="7">
        <v>4</v>
      </c>
      <c r="K390" s="7" t="s">
        <v>67</v>
      </c>
      <c r="L390" s="7">
        <v>4</v>
      </c>
      <c r="M390" s="7">
        <v>3</v>
      </c>
      <c r="N390" s="7" t="s">
        <v>33</v>
      </c>
    </row>
    <row r="391" spans="1:14" x14ac:dyDescent="0.3">
      <c r="A391" s="3" t="s">
        <v>474</v>
      </c>
      <c r="B391" s="3" t="s">
        <v>59</v>
      </c>
      <c r="C391" s="3">
        <v>5</v>
      </c>
      <c r="D391" s="6">
        <v>42.6</v>
      </c>
      <c r="E391" s="6">
        <v>213</v>
      </c>
      <c r="F391" s="5">
        <v>45674</v>
      </c>
      <c r="G391" s="5">
        <v>45677</v>
      </c>
      <c r="H391" s="3" t="s">
        <v>26</v>
      </c>
      <c r="I391" s="4" t="s">
        <v>40</v>
      </c>
      <c r="J391" s="3">
        <v>4</v>
      </c>
      <c r="K391" s="3" t="s">
        <v>67</v>
      </c>
      <c r="L391" s="3">
        <v>3</v>
      </c>
      <c r="M391" s="3">
        <v>3</v>
      </c>
      <c r="N391" s="3" t="s">
        <v>28</v>
      </c>
    </row>
    <row r="392" spans="1:14" x14ac:dyDescent="0.3">
      <c r="A392" s="7" t="s">
        <v>475</v>
      </c>
      <c r="B392" s="7" t="s">
        <v>42</v>
      </c>
      <c r="C392" s="7">
        <v>20</v>
      </c>
      <c r="D392" s="10">
        <v>47.4</v>
      </c>
      <c r="E392" s="10">
        <v>948</v>
      </c>
      <c r="F392" s="9">
        <v>45674</v>
      </c>
      <c r="G392" s="9">
        <v>45674</v>
      </c>
      <c r="H392" s="7" t="s">
        <v>31</v>
      </c>
      <c r="I392" s="8" t="s">
        <v>45</v>
      </c>
      <c r="J392" s="7">
        <v>3</v>
      </c>
      <c r="K392" s="7" t="s">
        <v>109</v>
      </c>
      <c r="L392" s="7">
        <v>0</v>
      </c>
      <c r="M392" s="7">
        <v>3</v>
      </c>
      <c r="N392" s="7" t="s">
        <v>33</v>
      </c>
    </row>
    <row r="393" spans="1:14" x14ac:dyDescent="0.3">
      <c r="A393" s="3" t="s">
        <v>476</v>
      </c>
      <c r="B393" s="3" t="s">
        <v>30</v>
      </c>
      <c r="C393" s="3">
        <v>1</v>
      </c>
      <c r="D393" s="6">
        <v>74</v>
      </c>
      <c r="E393" s="6">
        <v>74</v>
      </c>
      <c r="F393" s="5">
        <v>45675</v>
      </c>
      <c r="G393" s="5">
        <v>45676</v>
      </c>
      <c r="H393" s="3" t="s">
        <v>26</v>
      </c>
      <c r="I393" s="4" t="s">
        <v>40</v>
      </c>
      <c r="J393" s="3">
        <v>4</v>
      </c>
      <c r="K393" s="3" t="s">
        <v>82</v>
      </c>
      <c r="L393" s="3">
        <v>1</v>
      </c>
      <c r="M393" s="3">
        <v>3</v>
      </c>
      <c r="N393" s="3" t="s">
        <v>28</v>
      </c>
    </row>
    <row r="394" spans="1:14" x14ac:dyDescent="0.3">
      <c r="A394" s="7" t="s">
        <v>477</v>
      </c>
      <c r="B394" s="7" t="s">
        <v>30</v>
      </c>
      <c r="C394" s="7">
        <v>5</v>
      </c>
      <c r="D394" s="10">
        <v>60.4</v>
      </c>
      <c r="E394" s="10">
        <v>302</v>
      </c>
      <c r="F394" s="9">
        <v>45675</v>
      </c>
      <c r="G394" s="9">
        <v>45678</v>
      </c>
      <c r="H394" s="7" t="s">
        <v>31</v>
      </c>
      <c r="I394" s="8" t="s">
        <v>40</v>
      </c>
      <c r="J394" s="7">
        <v>2</v>
      </c>
      <c r="K394" s="7" t="s">
        <v>114</v>
      </c>
      <c r="L394" s="7">
        <v>3</v>
      </c>
      <c r="M394" s="7">
        <v>3</v>
      </c>
      <c r="N394" s="7" t="s">
        <v>33</v>
      </c>
    </row>
    <row r="395" spans="1:14" x14ac:dyDescent="0.3">
      <c r="A395" s="3" t="s">
        <v>478</v>
      </c>
      <c r="B395" s="3" t="s">
        <v>74</v>
      </c>
      <c r="C395" s="3">
        <v>2</v>
      </c>
      <c r="D395" s="6">
        <v>69.3</v>
      </c>
      <c r="E395" s="6">
        <v>138.6</v>
      </c>
      <c r="F395" s="5">
        <v>45675</v>
      </c>
      <c r="G395" s="5">
        <v>45678</v>
      </c>
      <c r="H395" s="3" t="s">
        <v>26</v>
      </c>
      <c r="I395" s="4" t="s">
        <v>40</v>
      </c>
      <c r="J395" s="3">
        <v>3</v>
      </c>
      <c r="K395" s="3" t="s">
        <v>87</v>
      </c>
      <c r="L395" s="3">
        <v>3</v>
      </c>
      <c r="M395" s="3">
        <v>3</v>
      </c>
      <c r="N395" s="3" t="s">
        <v>28</v>
      </c>
    </row>
    <row r="396" spans="1:14" x14ac:dyDescent="0.3">
      <c r="A396" s="7" t="s">
        <v>479</v>
      </c>
      <c r="B396" s="7" t="s">
        <v>42</v>
      </c>
      <c r="C396" s="7">
        <v>5</v>
      </c>
      <c r="D396" s="10">
        <v>81</v>
      </c>
      <c r="E396" s="10">
        <v>405</v>
      </c>
      <c r="F396" s="9">
        <v>45675</v>
      </c>
      <c r="G396" s="9">
        <v>45681</v>
      </c>
      <c r="H396" s="7" t="s">
        <v>26</v>
      </c>
      <c r="I396" s="8" t="s">
        <v>56</v>
      </c>
      <c r="J396" s="7">
        <v>4</v>
      </c>
      <c r="K396" s="7" t="s">
        <v>121</v>
      </c>
      <c r="L396" s="7">
        <v>6</v>
      </c>
      <c r="M396" s="7">
        <v>3</v>
      </c>
      <c r="N396" s="7" t="s">
        <v>28</v>
      </c>
    </row>
    <row r="397" spans="1:14" x14ac:dyDescent="0.3">
      <c r="A397" s="3" t="s">
        <v>480</v>
      </c>
      <c r="B397" s="3" t="s">
        <v>129</v>
      </c>
      <c r="C397" s="3">
        <v>3</v>
      </c>
      <c r="D397" s="6">
        <v>41.5</v>
      </c>
      <c r="E397" s="6">
        <v>124.5</v>
      </c>
      <c r="F397" s="5">
        <v>45675</v>
      </c>
      <c r="G397" s="5">
        <v>45677</v>
      </c>
      <c r="H397" s="3" t="s">
        <v>94</v>
      </c>
      <c r="I397" s="4" t="s">
        <v>40</v>
      </c>
      <c r="J397" s="3">
        <v>4</v>
      </c>
      <c r="K397" s="3" t="s">
        <v>121</v>
      </c>
      <c r="L397" s="3">
        <v>2</v>
      </c>
      <c r="M397" s="3">
        <v>3</v>
      </c>
      <c r="N397" s="3" t="s">
        <v>95</v>
      </c>
    </row>
    <row r="398" spans="1:14" x14ac:dyDescent="0.3">
      <c r="A398" s="7" t="s">
        <v>481</v>
      </c>
      <c r="B398" s="7" t="s">
        <v>152</v>
      </c>
      <c r="C398" s="7">
        <v>2</v>
      </c>
      <c r="D398" s="10">
        <v>69.7</v>
      </c>
      <c r="E398" s="10">
        <v>139.4</v>
      </c>
      <c r="F398" s="9">
        <v>45675</v>
      </c>
      <c r="G398" s="9">
        <v>45680</v>
      </c>
      <c r="H398" s="7" t="s">
        <v>26</v>
      </c>
      <c r="I398" s="8" t="s">
        <v>40</v>
      </c>
      <c r="J398" s="7">
        <v>4</v>
      </c>
      <c r="K398" s="7" t="s">
        <v>121</v>
      </c>
      <c r="L398" s="7">
        <v>5</v>
      </c>
      <c r="M398" s="7">
        <v>3</v>
      </c>
      <c r="N398" s="7" t="s">
        <v>28</v>
      </c>
    </row>
    <row r="399" spans="1:14" x14ac:dyDescent="0.3">
      <c r="A399" s="3" t="s">
        <v>482</v>
      </c>
      <c r="B399" s="3" t="s">
        <v>30</v>
      </c>
      <c r="C399" s="3">
        <v>5</v>
      </c>
      <c r="D399" s="6">
        <v>83.6</v>
      </c>
      <c r="E399" s="6">
        <v>418</v>
      </c>
      <c r="F399" s="5">
        <v>45675</v>
      </c>
      <c r="G399" s="5">
        <v>45675</v>
      </c>
      <c r="H399" s="3" t="s">
        <v>31</v>
      </c>
      <c r="I399" s="4" t="s">
        <v>75</v>
      </c>
      <c r="J399" s="3">
        <v>4</v>
      </c>
      <c r="K399" s="3" t="s">
        <v>27</v>
      </c>
      <c r="L399" s="3">
        <v>0</v>
      </c>
      <c r="M399" s="3">
        <v>3</v>
      </c>
      <c r="N399" s="3" t="s">
        <v>33</v>
      </c>
    </row>
    <row r="400" spans="1:14" x14ac:dyDescent="0.3">
      <c r="A400" s="7" t="s">
        <v>483</v>
      </c>
      <c r="B400" s="7" t="s">
        <v>49</v>
      </c>
      <c r="C400" s="7">
        <v>7</v>
      </c>
      <c r="D400" s="10">
        <v>21.5</v>
      </c>
      <c r="E400" s="10">
        <v>150.5</v>
      </c>
      <c r="F400" s="9">
        <v>45675</v>
      </c>
      <c r="G400" s="9">
        <v>45677</v>
      </c>
      <c r="H400" s="7" t="s">
        <v>26</v>
      </c>
      <c r="I400" s="8" t="s">
        <v>40</v>
      </c>
      <c r="J400" s="7">
        <v>2</v>
      </c>
      <c r="K400" s="7" t="s">
        <v>22</v>
      </c>
      <c r="L400" s="7">
        <v>2</v>
      </c>
      <c r="M400" s="7">
        <v>3</v>
      </c>
      <c r="N400" s="7" t="s">
        <v>28</v>
      </c>
    </row>
    <row r="401" spans="1:14" x14ac:dyDescent="0.3">
      <c r="A401" s="3" t="s">
        <v>484</v>
      </c>
      <c r="B401" s="3" t="s">
        <v>49</v>
      </c>
      <c r="C401" s="3">
        <v>8</v>
      </c>
      <c r="D401" s="6">
        <v>28.6</v>
      </c>
      <c r="E401" s="6">
        <v>228.8</v>
      </c>
      <c r="F401" s="5">
        <v>45675</v>
      </c>
      <c r="G401" s="5">
        <v>45676</v>
      </c>
      <c r="H401" s="3" t="s">
        <v>26</v>
      </c>
      <c r="I401" s="4" t="s">
        <v>21</v>
      </c>
      <c r="J401" s="3">
        <v>4</v>
      </c>
      <c r="K401" s="3" t="s">
        <v>38</v>
      </c>
      <c r="L401" s="3">
        <v>1</v>
      </c>
      <c r="M401" s="3">
        <v>3</v>
      </c>
      <c r="N401" s="3" t="s">
        <v>28</v>
      </c>
    </row>
    <row r="402" spans="1:14" x14ac:dyDescent="0.3">
      <c r="A402" s="7" t="s">
        <v>485</v>
      </c>
      <c r="B402" s="7" t="s">
        <v>49</v>
      </c>
      <c r="C402" s="7">
        <v>6</v>
      </c>
      <c r="D402" s="10">
        <v>18.8</v>
      </c>
      <c r="E402" s="10">
        <v>112.8</v>
      </c>
      <c r="F402" s="9">
        <v>45675</v>
      </c>
      <c r="G402" s="9">
        <v>45678</v>
      </c>
      <c r="H402" s="7" t="s">
        <v>26</v>
      </c>
      <c r="I402" s="8" t="s">
        <v>56</v>
      </c>
      <c r="J402" s="7">
        <v>5</v>
      </c>
      <c r="K402" s="7" t="s">
        <v>38</v>
      </c>
      <c r="L402" s="7">
        <v>3</v>
      </c>
      <c r="M402" s="7">
        <v>3</v>
      </c>
      <c r="N402" s="7" t="s">
        <v>28</v>
      </c>
    </row>
    <row r="403" spans="1:14" x14ac:dyDescent="0.3">
      <c r="A403" s="3" t="s">
        <v>486</v>
      </c>
      <c r="B403" s="3" t="s">
        <v>59</v>
      </c>
      <c r="C403" s="3">
        <v>4</v>
      </c>
      <c r="D403" s="6">
        <v>35.1</v>
      </c>
      <c r="E403" s="6">
        <v>140.4</v>
      </c>
      <c r="F403" s="5">
        <v>45675</v>
      </c>
      <c r="G403" s="5">
        <v>45675</v>
      </c>
      <c r="H403" s="3" t="s">
        <v>31</v>
      </c>
      <c r="I403" s="4" t="s">
        <v>40</v>
      </c>
      <c r="J403" s="3">
        <v>3</v>
      </c>
      <c r="K403" s="3" t="s">
        <v>38</v>
      </c>
      <c r="L403" s="3">
        <v>0</v>
      </c>
      <c r="M403" s="3">
        <v>3</v>
      </c>
      <c r="N403" s="3" t="s">
        <v>33</v>
      </c>
    </row>
    <row r="404" spans="1:14" x14ac:dyDescent="0.3">
      <c r="A404" s="7" t="s">
        <v>487</v>
      </c>
      <c r="B404" s="7" t="s">
        <v>20</v>
      </c>
      <c r="C404" s="7">
        <v>2</v>
      </c>
      <c r="D404" s="10">
        <v>12.7</v>
      </c>
      <c r="E404" s="10">
        <v>25.4</v>
      </c>
      <c r="F404" s="9">
        <v>45675</v>
      </c>
      <c r="G404" s="9">
        <v>45677</v>
      </c>
      <c r="H404" s="7" t="s">
        <v>31</v>
      </c>
      <c r="I404" s="8" t="s">
        <v>40</v>
      </c>
      <c r="J404" s="7">
        <v>5</v>
      </c>
      <c r="K404" s="7" t="s">
        <v>38</v>
      </c>
      <c r="L404" s="7">
        <v>2</v>
      </c>
      <c r="M404" s="7">
        <v>3</v>
      </c>
      <c r="N404" s="7" t="s">
        <v>33</v>
      </c>
    </row>
    <row r="405" spans="1:14" x14ac:dyDescent="0.3">
      <c r="A405" s="3" t="s">
        <v>488</v>
      </c>
      <c r="B405" s="3" t="s">
        <v>49</v>
      </c>
      <c r="C405" s="3">
        <v>5</v>
      </c>
      <c r="D405" s="6">
        <v>27.4</v>
      </c>
      <c r="E405" s="6">
        <v>137</v>
      </c>
      <c r="F405" s="5">
        <v>45675</v>
      </c>
      <c r="G405" s="5">
        <v>45677</v>
      </c>
      <c r="H405" s="3" t="s">
        <v>94</v>
      </c>
      <c r="I405" s="4" t="s">
        <v>21</v>
      </c>
      <c r="J405" s="3">
        <v>4</v>
      </c>
      <c r="K405" s="3" t="s">
        <v>38</v>
      </c>
      <c r="L405" s="3">
        <v>2</v>
      </c>
      <c r="M405" s="3">
        <v>3</v>
      </c>
      <c r="N405" s="3" t="s">
        <v>95</v>
      </c>
    </row>
    <row r="406" spans="1:14" x14ac:dyDescent="0.3">
      <c r="A406" s="7" t="s">
        <v>489</v>
      </c>
      <c r="B406" s="7" t="s">
        <v>59</v>
      </c>
      <c r="C406" s="7">
        <v>2</v>
      </c>
      <c r="D406" s="10">
        <v>61.3</v>
      </c>
      <c r="E406" s="10">
        <v>122.6</v>
      </c>
      <c r="F406" s="9">
        <v>45675</v>
      </c>
      <c r="G406" s="9">
        <v>45676</v>
      </c>
      <c r="H406" s="7" t="s">
        <v>31</v>
      </c>
      <c r="I406" s="8" t="s">
        <v>40</v>
      </c>
      <c r="J406" s="7">
        <v>4</v>
      </c>
      <c r="K406" s="7" t="s">
        <v>60</v>
      </c>
      <c r="L406" s="7">
        <v>1</v>
      </c>
      <c r="M406" s="7">
        <v>3</v>
      </c>
      <c r="N406" s="7" t="s">
        <v>33</v>
      </c>
    </row>
    <row r="407" spans="1:14" x14ac:dyDescent="0.3">
      <c r="A407" s="3" t="s">
        <v>490</v>
      </c>
      <c r="B407" s="3" t="s">
        <v>49</v>
      </c>
      <c r="C407" s="3">
        <v>2</v>
      </c>
      <c r="D407" s="6">
        <v>64.7</v>
      </c>
      <c r="E407" s="6">
        <v>129.4</v>
      </c>
      <c r="F407" s="5">
        <v>45675</v>
      </c>
      <c r="G407" s="5">
        <v>45677</v>
      </c>
      <c r="H407" s="3" t="s">
        <v>31</v>
      </c>
      <c r="I407" s="4" t="s">
        <v>56</v>
      </c>
      <c r="J407" s="3">
        <v>5</v>
      </c>
      <c r="K407" s="3" t="s">
        <v>60</v>
      </c>
      <c r="L407" s="3">
        <v>2</v>
      </c>
      <c r="M407" s="3">
        <v>3</v>
      </c>
      <c r="N407" s="3" t="s">
        <v>33</v>
      </c>
    </row>
    <row r="408" spans="1:14" x14ac:dyDescent="0.3">
      <c r="A408" s="7" t="s">
        <v>491</v>
      </c>
      <c r="B408" s="7" t="s">
        <v>47</v>
      </c>
      <c r="C408" s="7">
        <v>4</v>
      </c>
      <c r="D408" s="10">
        <v>91.4</v>
      </c>
      <c r="E408" s="10">
        <v>365.6</v>
      </c>
      <c r="F408" s="9">
        <v>45675</v>
      </c>
      <c r="G408" s="9">
        <v>45677</v>
      </c>
      <c r="H408" s="7" t="s">
        <v>31</v>
      </c>
      <c r="I408" s="8" t="s">
        <v>21</v>
      </c>
      <c r="J408" s="7">
        <v>4</v>
      </c>
      <c r="K408" s="7" t="s">
        <v>67</v>
      </c>
      <c r="L408" s="7">
        <v>2</v>
      </c>
      <c r="M408" s="7">
        <v>3</v>
      </c>
      <c r="N408" s="7" t="s">
        <v>33</v>
      </c>
    </row>
    <row r="409" spans="1:14" x14ac:dyDescent="0.3">
      <c r="A409" s="3" t="s">
        <v>492</v>
      </c>
      <c r="B409" s="3" t="s">
        <v>20</v>
      </c>
      <c r="C409" s="3">
        <v>2</v>
      </c>
      <c r="D409" s="6">
        <v>33.1</v>
      </c>
      <c r="E409" s="6">
        <v>66.2</v>
      </c>
      <c r="F409" s="5">
        <v>45676</v>
      </c>
      <c r="G409" s="5">
        <v>45677</v>
      </c>
      <c r="H409" s="3" t="s">
        <v>26</v>
      </c>
      <c r="I409" s="4" t="s">
        <v>21</v>
      </c>
      <c r="J409" s="3">
        <v>5</v>
      </c>
      <c r="K409" s="3" t="s">
        <v>67</v>
      </c>
      <c r="L409" s="3">
        <v>1</v>
      </c>
      <c r="M409" s="3">
        <v>4</v>
      </c>
      <c r="N409" s="3" t="s">
        <v>28</v>
      </c>
    </row>
    <row r="410" spans="1:14" x14ac:dyDescent="0.3">
      <c r="A410" s="7" t="s">
        <v>493</v>
      </c>
      <c r="B410" s="7" t="s">
        <v>35</v>
      </c>
      <c r="C410" s="7">
        <v>2</v>
      </c>
      <c r="D410" s="10">
        <v>105.6</v>
      </c>
      <c r="E410" s="10">
        <v>211.2</v>
      </c>
      <c r="F410" s="9">
        <v>45676</v>
      </c>
      <c r="G410" s="9">
        <v>45677</v>
      </c>
      <c r="H410" s="7" t="s">
        <v>26</v>
      </c>
      <c r="I410" s="8" t="s">
        <v>45</v>
      </c>
      <c r="J410" s="7">
        <v>3</v>
      </c>
      <c r="K410" s="7" t="s">
        <v>67</v>
      </c>
      <c r="L410" s="7">
        <v>1</v>
      </c>
      <c r="M410" s="7">
        <v>4</v>
      </c>
      <c r="N410" s="7" t="s">
        <v>28</v>
      </c>
    </row>
    <row r="411" spans="1:14" x14ac:dyDescent="0.3">
      <c r="A411" s="3" t="s">
        <v>494</v>
      </c>
      <c r="B411" s="3" t="s">
        <v>59</v>
      </c>
      <c r="C411" s="3">
        <v>3</v>
      </c>
      <c r="D411" s="6">
        <v>46.4</v>
      </c>
      <c r="E411" s="6">
        <v>139.19999999999999</v>
      </c>
      <c r="F411" s="5">
        <v>45676</v>
      </c>
      <c r="G411" s="5">
        <v>45677</v>
      </c>
      <c r="H411" s="3" t="s">
        <v>26</v>
      </c>
      <c r="I411" s="4" t="s">
        <v>45</v>
      </c>
      <c r="J411" s="3">
        <v>4</v>
      </c>
      <c r="K411" s="3" t="s">
        <v>77</v>
      </c>
      <c r="L411" s="3">
        <v>1</v>
      </c>
      <c r="M411" s="3">
        <v>4</v>
      </c>
      <c r="N411" s="3" t="s">
        <v>28</v>
      </c>
    </row>
    <row r="412" spans="1:14" x14ac:dyDescent="0.3">
      <c r="A412" s="7" t="s">
        <v>495</v>
      </c>
      <c r="B412" s="7" t="s">
        <v>51</v>
      </c>
      <c r="C412" s="7">
        <v>14</v>
      </c>
      <c r="D412" s="10">
        <v>35.299999999999997</v>
      </c>
      <c r="E412" s="10">
        <v>494.19999999999987</v>
      </c>
      <c r="F412" s="9">
        <v>45676</v>
      </c>
      <c r="G412" s="9">
        <v>45679</v>
      </c>
      <c r="H412" s="7" t="s">
        <v>31</v>
      </c>
      <c r="I412" s="8" t="s">
        <v>75</v>
      </c>
      <c r="J412" s="7">
        <v>3</v>
      </c>
      <c r="K412" s="7" t="s">
        <v>82</v>
      </c>
      <c r="L412" s="7">
        <v>3</v>
      </c>
      <c r="M412" s="7">
        <v>4</v>
      </c>
      <c r="N412" s="7" t="s">
        <v>33</v>
      </c>
    </row>
    <row r="413" spans="1:14" x14ac:dyDescent="0.3">
      <c r="A413" s="3" t="s">
        <v>496</v>
      </c>
      <c r="B413" s="3" t="s">
        <v>20</v>
      </c>
      <c r="C413" s="3">
        <v>2</v>
      </c>
      <c r="D413" s="6">
        <v>16.100000000000001</v>
      </c>
      <c r="E413" s="6">
        <v>32.200000000000003</v>
      </c>
      <c r="F413" s="5">
        <v>45676</v>
      </c>
      <c r="G413" s="5">
        <v>45678</v>
      </c>
      <c r="H413" s="3" t="s">
        <v>26</v>
      </c>
      <c r="I413" s="4" t="s">
        <v>56</v>
      </c>
      <c r="J413" s="3">
        <v>5</v>
      </c>
      <c r="K413" s="3" t="s">
        <v>315</v>
      </c>
      <c r="L413" s="3">
        <v>2</v>
      </c>
      <c r="M413" s="3">
        <v>4</v>
      </c>
      <c r="N413" s="3" t="s">
        <v>28</v>
      </c>
    </row>
    <row r="414" spans="1:14" x14ac:dyDescent="0.3">
      <c r="A414" s="7" t="s">
        <v>497</v>
      </c>
      <c r="B414" s="7" t="s">
        <v>37</v>
      </c>
      <c r="C414" s="7">
        <v>2</v>
      </c>
      <c r="D414" s="10">
        <v>27.9</v>
      </c>
      <c r="E414" s="10">
        <v>55.8</v>
      </c>
      <c r="F414" s="9">
        <v>45676</v>
      </c>
      <c r="G414" s="9">
        <v>45679</v>
      </c>
      <c r="H414" s="7" t="s">
        <v>26</v>
      </c>
      <c r="I414" s="8" t="s">
        <v>21</v>
      </c>
      <c r="J414" s="7">
        <v>4</v>
      </c>
      <c r="K414" s="7" t="s">
        <v>87</v>
      </c>
      <c r="L414" s="7">
        <v>3</v>
      </c>
      <c r="M414" s="7">
        <v>4</v>
      </c>
      <c r="N414" s="7" t="s">
        <v>28</v>
      </c>
    </row>
    <row r="415" spans="1:14" x14ac:dyDescent="0.3">
      <c r="A415" s="3" t="s">
        <v>498</v>
      </c>
      <c r="B415" s="3" t="s">
        <v>49</v>
      </c>
      <c r="C415" s="3">
        <v>1</v>
      </c>
      <c r="D415" s="6">
        <v>47.1</v>
      </c>
      <c r="E415" s="6">
        <v>47.1</v>
      </c>
      <c r="F415" s="5">
        <v>45676</v>
      </c>
      <c r="G415" s="5">
        <v>45684</v>
      </c>
      <c r="H415" s="3" t="s">
        <v>31</v>
      </c>
      <c r="I415" s="4" t="s">
        <v>40</v>
      </c>
      <c r="J415" s="3">
        <v>4</v>
      </c>
      <c r="K415" s="3" t="s">
        <v>32</v>
      </c>
      <c r="L415" s="3">
        <v>8</v>
      </c>
      <c r="M415" s="3">
        <v>4</v>
      </c>
      <c r="N415" s="3" t="s">
        <v>33</v>
      </c>
    </row>
    <row r="416" spans="1:14" x14ac:dyDescent="0.3">
      <c r="A416" s="7" t="s">
        <v>499</v>
      </c>
      <c r="B416" s="7" t="s">
        <v>44</v>
      </c>
      <c r="C416" s="7">
        <v>2</v>
      </c>
      <c r="D416" s="10">
        <v>85</v>
      </c>
      <c r="E416" s="10">
        <v>170</v>
      </c>
      <c r="F416" s="9">
        <v>45676</v>
      </c>
      <c r="G416" s="9">
        <v>45679</v>
      </c>
      <c r="H416" s="7"/>
      <c r="I416" s="8" t="s">
        <v>45</v>
      </c>
      <c r="J416" s="7">
        <v>5</v>
      </c>
      <c r="K416" s="7" t="s">
        <v>153</v>
      </c>
      <c r="L416" s="7">
        <v>3</v>
      </c>
      <c r="M416" s="7">
        <v>4</v>
      </c>
      <c r="N416" s="7" t="s">
        <v>23</v>
      </c>
    </row>
    <row r="417" spans="1:14" x14ac:dyDescent="0.3">
      <c r="A417" s="3" t="s">
        <v>500</v>
      </c>
      <c r="B417" s="3" t="s">
        <v>152</v>
      </c>
      <c r="C417" s="3">
        <v>2</v>
      </c>
      <c r="D417" s="6">
        <v>89</v>
      </c>
      <c r="E417" s="6">
        <v>178</v>
      </c>
      <c r="F417" s="5">
        <v>45676</v>
      </c>
      <c r="G417" s="5">
        <v>45678</v>
      </c>
      <c r="H417" s="3" t="s">
        <v>31</v>
      </c>
      <c r="I417" s="4" t="s">
        <v>21</v>
      </c>
      <c r="J417" s="3">
        <v>4</v>
      </c>
      <c r="K417" s="3" t="s">
        <v>38</v>
      </c>
      <c r="L417" s="3">
        <v>2</v>
      </c>
      <c r="M417" s="3">
        <v>4</v>
      </c>
      <c r="N417" s="3" t="s">
        <v>33</v>
      </c>
    </row>
    <row r="418" spans="1:14" x14ac:dyDescent="0.3">
      <c r="A418" s="7" t="s">
        <v>501</v>
      </c>
      <c r="B418" s="7" t="s">
        <v>134</v>
      </c>
      <c r="C418" s="7">
        <v>3</v>
      </c>
      <c r="D418" s="10">
        <v>36.6</v>
      </c>
      <c r="E418" s="10">
        <v>109.8</v>
      </c>
      <c r="F418" s="9">
        <v>45676</v>
      </c>
      <c r="G418" s="9">
        <v>45677</v>
      </c>
      <c r="H418" s="7" t="s">
        <v>94</v>
      </c>
      <c r="I418" s="8" t="s">
        <v>56</v>
      </c>
      <c r="J418" s="7">
        <v>5</v>
      </c>
      <c r="K418" s="7" t="s">
        <v>38</v>
      </c>
      <c r="L418" s="7">
        <v>1</v>
      </c>
      <c r="M418" s="7">
        <v>4</v>
      </c>
      <c r="N418" s="7" t="s">
        <v>95</v>
      </c>
    </row>
    <row r="419" spans="1:14" x14ac:dyDescent="0.3">
      <c r="A419" s="3" t="s">
        <v>502</v>
      </c>
      <c r="B419" s="3" t="s">
        <v>44</v>
      </c>
      <c r="C419" s="3">
        <v>7</v>
      </c>
      <c r="D419" s="6">
        <v>43.5</v>
      </c>
      <c r="E419" s="6">
        <v>304.5</v>
      </c>
      <c r="F419" s="5">
        <v>45676</v>
      </c>
      <c r="G419" s="5">
        <v>45677</v>
      </c>
      <c r="H419" s="3" t="s">
        <v>26</v>
      </c>
      <c r="I419" s="4" t="s">
        <v>40</v>
      </c>
      <c r="J419" s="3">
        <v>5</v>
      </c>
      <c r="K419" s="3" t="s">
        <v>38</v>
      </c>
      <c r="L419" s="3">
        <v>1</v>
      </c>
      <c r="M419" s="3">
        <v>4</v>
      </c>
      <c r="N419" s="3" t="s">
        <v>28</v>
      </c>
    </row>
    <row r="420" spans="1:14" x14ac:dyDescent="0.3">
      <c r="A420" s="7" t="s">
        <v>503</v>
      </c>
      <c r="B420" s="7" t="s">
        <v>51</v>
      </c>
      <c r="C420" s="7">
        <v>19</v>
      </c>
      <c r="D420" s="10">
        <v>30.5</v>
      </c>
      <c r="E420" s="10">
        <v>579.5</v>
      </c>
      <c r="F420" s="9">
        <v>45676</v>
      </c>
      <c r="G420" s="9">
        <v>45676</v>
      </c>
      <c r="H420" s="7" t="s">
        <v>31</v>
      </c>
      <c r="I420" s="8" t="s">
        <v>56</v>
      </c>
      <c r="J420" s="7">
        <v>4</v>
      </c>
      <c r="K420" s="7" t="s">
        <v>38</v>
      </c>
      <c r="L420" s="7">
        <v>0</v>
      </c>
      <c r="M420" s="7">
        <v>4</v>
      </c>
      <c r="N420" s="7" t="s">
        <v>33</v>
      </c>
    </row>
    <row r="421" spans="1:14" x14ac:dyDescent="0.3">
      <c r="A421" s="3" t="s">
        <v>504</v>
      </c>
      <c r="B421" s="3" t="s">
        <v>25</v>
      </c>
      <c r="C421" s="3">
        <v>2</v>
      </c>
      <c r="D421" s="6">
        <v>107.7</v>
      </c>
      <c r="E421" s="6">
        <v>215.4</v>
      </c>
      <c r="F421" s="5">
        <v>45676</v>
      </c>
      <c r="G421" s="5">
        <v>45680</v>
      </c>
      <c r="H421" s="3" t="s">
        <v>26</v>
      </c>
      <c r="I421" s="4" t="s">
        <v>56</v>
      </c>
      <c r="J421" s="3">
        <v>2</v>
      </c>
      <c r="K421" s="3" t="s">
        <v>38</v>
      </c>
      <c r="L421" s="3">
        <v>4</v>
      </c>
      <c r="M421" s="3">
        <v>4</v>
      </c>
      <c r="N421" s="3" t="s">
        <v>28</v>
      </c>
    </row>
    <row r="422" spans="1:14" x14ac:dyDescent="0.3">
      <c r="A422" s="7" t="s">
        <v>505</v>
      </c>
      <c r="B422" s="7" t="s">
        <v>141</v>
      </c>
      <c r="C422" s="7">
        <v>26</v>
      </c>
      <c r="D422" s="10">
        <v>57.1</v>
      </c>
      <c r="E422" s="10">
        <v>1484.6</v>
      </c>
      <c r="F422" s="9">
        <v>45676</v>
      </c>
      <c r="G422" s="9">
        <v>45677</v>
      </c>
      <c r="H422" s="7" t="s">
        <v>26</v>
      </c>
      <c r="I422" s="8" t="s">
        <v>40</v>
      </c>
      <c r="J422" s="7">
        <v>4</v>
      </c>
      <c r="K422" s="7" t="s">
        <v>38</v>
      </c>
      <c r="L422" s="7">
        <v>1</v>
      </c>
      <c r="M422" s="7">
        <v>4</v>
      </c>
      <c r="N422" s="7" t="s">
        <v>28</v>
      </c>
    </row>
    <row r="423" spans="1:14" x14ac:dyDescent="0.3">
      <c r="A423" s="3" t="s">
        <v>506</v>
      </c>
      <c r="B423" s="3" t="s">
        <v>30</v>
      </c>
      <c r="C423" s="3">
        <v>10</v>
      </c>
      <c r="D423" s="6">
        <v>111.7</v>
      </c>
      <c r="E423" s="6">
        <v>1117</v>
      </c>
      <c r="F423" s="5">
        <v>45676</v>
      </c>
      <c r="G423" s="5">
        <v>45677</v>
      </c>
      <c r="H423" s="3" t="s">
        <v>31</v>
      </c>
      <c r="I423" s="4" t="s">
        <v>75</v>
      </c>
      <c r="J423" s="3">
        <v>5</v>
      </c>
      <c r="K423" s="3" t="s">
        <v>38</v>
      </c>
      <c r="L423" s="3">
        <v>1</v>
      </c>
      <c r="M423" s="3">
        <v>4</v>
      </c>
      <c r="N423" s="3" t="s">
        <v>33</v>
      </c>
    </row>
    <row r="424" spans="1:14" x14ac:dyDescent="0.3">
      <c r="A424" s="7" t="s">
        <v>507</v>
      </c>
      <c r="B424" s="7" t="s">
        <v>152</v>
      </c>
      <c r="C424" s="7">
        <v>7</v>
      </c>
      <c r="D424" s="10">
        <v>44.3</v>
      </c>
      <c r="E424" s="10">
        <v>310.10000000000002</v>
      </c>
      <c r="F424" s="9">
        <v>45676</v>
      </c>
      <c r="G424" s="9">
        <v>45679</v>
      </c>
      <c r="H424" s="7" t="s">
        <v>26</v>
      </c>
      <c r="I424" s="8" t="s">
        <v>56</v>
      </c>
      <c r="J424" s="7">
        <v>5</v>
      </c>
      <c r="K424" s="7" t="s">
        <v>38</v>
      </c>
      <c r="L424" s="7">
        <v>3</v>
      </c>
      <c r="M424" s="7">
        <v>4</v>
      </c>
      <c r="N424" s="7" t="s">
        <v>28</v>
      </c>
    </row>
    <row r="425" spans="1:14" x14ac:dyDescent="0.3">
      <c r="A425" s="3" t="s">
        <v>508</v>
      </c>
      <c r="B425" s="3" t="s">
        <v>30</v>
      </c>
      <c r="C425" s="3">
        <v>8</v>
      </c>
      <c r="D425" s="6">
        <v>95.8</v>
      </c>
      <c r="E425" s="6">
        <v>766.4</v>
      </c>
      <c r="F425" s="5">
        <v>45676</v>
      </c>
      <c r="G425" s="5">
        <v>45682</v>
      </c>
      <c r="H425" s="3" t="s">
        <v>94</v>
      </c>
      <c r="I425" s="4" t="s">
        <v>21</v>
      </c>
      <c r="J425" s="3">
        <v>4</v>
      </c>
      <c r="K425" s="3" t="s">
        <v>38</v>
      </c>
      <c r="L425" s="3">
        <v>6</v>
      </c>
      <c r="M425" s="3">
        <v>4</v>
      </c>
      <c r="N425" s="3" t="s">
        <v>95</v>
      </c>
    </row>
    <row r="426" spans="1:14" x14ac:dyDescent="0.3">
      <c r="A426" s="7" t="s">
        <v>509</v>
      </c>
      <c r="B426" s="7" t="s">
        <v>59</v>
      </c>
      <c r="C426" s="7">
        <v>7</v>
      </c>
      <c r="D426" s="10">
        <v>22.6</v>
      </c>
      <c r="E426" s="10">
        <v>158.19999999999999</v>
      </c>
      <c r="F426" s="9">
        <v>45676</v>
      </c>
      <c r="G426" s="9">
        <v>45679</v>
      </c>
      <c r="H426" s="7" t="s">
        <v>31</v>
      </c>
      <c r="I426" s="8" t="s">
        <v>56</v>
      </c>
      <c r="J426" s="7">
        <v>3</v>
      </c>
      <c r="K426" s="7" t="s">
        <v>38</v>
      </c>
      <c r="L426" s="7">
        <v>3</v>
      </c>
      <c r="M426" s="7">
        <v>4</v>
      </c>
      <c r="N426" s="7" t="s">
        <v>33</v>
      </c>
    </row>
    <row r="427" spans="1:14" x14ac:dyDescent="0.3">
      <c r="A427" s="3" t="s">
        <v>510</v>
      </c>
      <c r="B427" s="3" t="s">
        <v>49</v>
      </c>
      <c r="C427" s="3">
        <v>8</v>
      </c>
      <c r="D427" s="6">
        <v>25.6</v>
      </c>
      <c r="E427" s="6">
        <v>204.8</v>
      </c>
      <c r="F427" s="5">
        <v>45676</v>
      </c>
      <c r="G427" s="5">
        <v>45678</v>
      </c>
      <c r="H427" s="3" t="s">
        <v>31</v>
      </c>
      <c r="I427" s="4" t="s">
        <v>75</v>
      </c>
      <c r="J427" s="3">
        <v>4</v>
      </c>
      <c r="K427" s="3" t="s">
        <v>38</v>
      </c>
      <c r="L427" s="3">
        <v>2</v>
      </c>
      <c r="M427" s="3">
        <v>4</v>
      </c>
      <c r="N427" s="3" t="s">
        <v>33</v>
      </c>
    </row>
    <row r="428" spans="1:14" x14ac:dyDescent="0.3">
      <c r="A428" s="7" t="s">
        <v>511</v>
      </c>
      <c r="B428" s="7" t="s">
        <v>44</v>
      </c>
      <c r="C428" s="7">
        <v>16</v>
      </c>
      <c r="D428" s="10">
        <v>54.3</v>
      </c>
      <c r="E428" s="10">
        <v>868.8</v>
      </c>
      <c r="F428" s="9">
        <v>45676</v>
      </c>
      <c r="G428" s="9">
        <v>45679</v>
      </c>
      <c r="H428" s="7" t="s">
        <v>31</v>
      </c>
      <c r="I428" s="8" t="s">
        <v>75</v>
      </c>
      <c r="J428" s="7">
        <v>4</v>
      </c>
      <c r="K428" s="7" t="s">
        <v>38</v>
      </c>
      <c r="L428" s="7">
        <v>3</v>
      </c>
      <c r="M428" s="7">
        <v>4</v>
      </c>
      <c r="N428" s="7" t="s">
        <v>33</v>
      </c>
    </row>
    <row r="429" spans="1:14" x14ac:dyDescent="0.3">
      <c r="A429" s="3" t="s">
        <v>512</v>
      </c>
      <c r="B429" s="3" t="s">
        <v>152</v>
      </c>
      <c r="C429" s="3">
        <v>13</v>
      </c>
      <c r="D429" s="6">
        <v>51.3</v>
      </c>
      <c r="E429" s="6">
        <v>666.9</v>
      </c>
      <c r="F429" s="5">
        <v>45676</v>
      </c>
      <c r="G429" s="5">
        <v>45678</v>
      </c>
      <c r="H429" s="3" t="s">
        <v>26</v>
      </c>
      <c r="I429" s="4" t="s">
        <v>21</v>
      </c>
      <c r="J429" s="3">
        <v>5</v>
      </c>
      <c r="K429" s="3" t="s">
        <v>38</v>
      </c>
      <c r="L429" s="3">
        <v>2</v>
      </c>
      <c r="M429" s="3">
        <v>4</v>
      </c>
      <c r="N429" s="3" t="s">
        <v>28</v>
      </c>
    </row>
    <row r="430" spans="1:14" x14ac:dyDescent="0.3">
      <c r="A430" s="7" t="s">
        <v>513</v>
      </c>
      <c r="B430" s="7" t="s">
        <v>20</v>
      </c>
      <c r="C430" s="7">
        <v>8</v>
      </c>
      <c r="D430" s="10">
        <v>25.6</v>
      </c>
      <c r="E430" s="10">
        <v>204.8</v>
      </c>
      <c r="F430" s="9">
        <v>45676</v>
      </c>
      <c r="G430" s="9">
        <v>45677</v>
      </c>
      <c r="H430" s="7" t="s">
        <v>31</v>
      </c>
      <c r="I430" s="8" t="s">
        <v>40</v>
      </c>
      <c r="J430" s="7">
        <v>3</v>
      </c>
      <c r="K430" s="7" t="s">
        <v>38</v>
      </c>
      <c r="L430" s="7">
        <v>1</v>
      </c>
      <c r="M430" s="7">
        <v>4</v>
      </c>
      <c r="N430" s="7" t="s">
        <v>33</v>
      </c>
    </row>
    <row r="431" spans="1:14" x14ac:dyDescent="0.3">
      <c r="A431" s="3" t="s">
        <v>514</v>
      </c>
      <c r="B431" s="3" t="s">
        <v>20</v>
      </c>
      <c r="C431" s="3">
        <v>2</v>
      </c>
      <c r="D431" s="6">
        <v>15.6</v>
      </c>
      <c r="E431" s="6">
        <v>31.2</v>
      </c>
      <c r="F431" s="5">
        <v>45676</v>
      </c>
      <c r="G431" s="5">
        <v>45677</v>
      </c>
      <c r="H431" s="3" t="s">
        <v>31</v>
      </c>
      <c r="I431" s="4" t="s">
        <v>45</v>
      </c>
      <c r="J431" s="3">
        <v>5</v>
      </c>
      <c r="K431" s="3" t="s">
        <v>38</v>
      </c>
      <c r="L431" s="3">
        <v>1</v>
      </c>
      <c r="M431" s="3">
        <v>4</v>
      </c>
      <c r="N431" s="3" t="s">
        <v>33</v>
      </c>
    </row>
    <row r="432" spans="1:14" x14ac:dyDescent="0.3">
      <c r="A432" s="7" t="s">
        <v>515</v>
      </c>
      <c r="B432" s="7" t="s">
        <v>49</v>
      </c>
      <c r="C432" s="7">
        <v>3</v>
      </c>
      <c r="D432" s="10">
        <v>30.3</v>
      </c>
      <c r="E432" s="10">
        <v>90.9</v>
      </c>
      <c r="F432" s="9">
        <v>45676</v>
      </c>
      <c r="G432" s="9">
        <v>45680</v>
      </c>
      <c r="H432" s="7" t="s">
        <v>31</v>
      </c>
      <c r="I432" s="8" t="s">
        <v>21</v>
      </c>
      <c r="J432" s="7">
        <v>3</v>
      </c>
      <c r="K432" s="7" t="s">
        <v>38</v>
      </c>
      <c r="L432" s="7">
        <v>4</v>
      </c>
      <c r="M432" s="7">
        <v>4</v>
      </c>
      <c r="N432" s="7" t="s">
        <v>33</v>
      </c>
    </row>
    <row r="433" spans="1:14" x14ac:dyDescent="0.3">
      <c r="A433" s="3" t="s">
        <v>516</v>
      </c>
      <c r="B433" s="3" t="s">
        <v>74</v>
      </c>
      <c r="C433" s="3">
        <v>2</v>
      </c>
      <c r="D433" s="6">
        <v>30.3</v>
      </c>
      <c r="E433" s="6">
        <v>60.6</v>
      </c>
      <c r="F433" s="5">
        <v>45676</v>
      </c>
      <c r="G433" s="5">
        <v>45681</v>
      </c>
      <c r="H433" s="3" t="s">
        <v>31</v>
      </c>
      <c r="I433" s="4" t="s">
        <v>21</v>
      </c>
      <c r="J433" s="3">
        <v>5</v>
      </c>
      <c r="K433" s="3" t="s">
        <v>79</v>
      </c>
      <c r="L433" s="3">
        <v>5</v>
      </c>
      <c r="M433" s="3">
        <v>4</v>
      </c>
      <c r="N433" s="3" t="s">
        <v>33</v>
      </c>
    </row>
    <row r="434" spans="1:14" x14ac:dyDescent="0.3">
      <c r="A434" s="7" t="s">
        <v>517</v>
      </c>
      <c r="B434" s="7" t="s">
        <v>59</v>
      </c>
      <c r="C434" s="7">
        <v>3</v>
      </c>
      <c r="D434" s="10">
        <v>53</v>
      </c>
      <c r="E434" s="10">
        <v>159</v>
      </c>
      <c r="F434" s="9">
        <v>45676</v>
      </c>
      <c r="G434" s="9">
        <v>45683</v>
      </c>
      <c r="H434" s="7" t="s">
        <v>31</v>
      </c>
      <c r="I434" s="8" t="s">
        <v>45</v>
      </c>
      <c r="J434" s="7">
        <v>4</v>
      </c>
      <c r="K434" s="7" t="s">
        <v>192</v>
      </c>
      <c r="L434" s="7">
        <v>7</v>
      </c>
      <c r="M434" s="7">
        <v>4</v>
      </c>
      <c r="N434" s="7" t="s">
        <v>33</v>
      </c>
    </row>
    <row r="435" spans="1:14" x14ac:dyDescent="0.3">
      <c r="A435" s="3" t="s">
        <v>518</v>
      </c>
      <c r="B435" s="3" t="s">
        <v>42</v>
      </c>
      <c r="C435" s="3">
        <v>18</v>
      </c>
      <c r="D435" s="6">
        <v>59.9</v>
      </c>
      <c r="E435" s="6">
        <v>1078.2</v>
      </c>
      <c r="F435" s="5">
        <v>45676</v>
      </c>
      <c r="G435" s="5">
        <v>45679</v>
      </c>
      <c r="H435" s="3" t="s">
        <v>26</v>
      </c>
      <c r="I435" s="4" t="s">
        <v>45</v>
      </c>
      <c r="J435" s="3">
        <v>2</v>
      </c>
      <c r="K435" s="3" t="s">
        <v>194</v>
      </c>
      <c r="L435" s="3">
        <v>3</v>
      </c>
      <c r="M435" s="3">
        <v>4</v>
      </c>
      <c r="N435" s="3" t="s">
        <v>28</v>
      </c>
    </row>
    <row r="436" spans="1:14" x14ac:dyDescent="0.3">
      <c r="A436" s="7" t="s">
        <v>519</v>
      </c>
      <c r="B436" s="7" t="s">
        <v>51</v>
      </c>
      <c r="C436" s="7">
        <v>2</v>
      </c>
      <c r="D436" s="10">
        <v>45.7</v>
      </c>
      <c r="E436" s="10">
        <v>91.4</v>
      </c>
      <c r="F436" s="9">
        <v>45676</v>
      </c>
      <c r="G436" s="9">
        <v>45677</v>
      </c>
      <c r="H436" s="7" t="s">
        <v>31</v>
      </c>
      <c r="I436" s="8" t="s">
        <v>40</v>
      </c>
      <c r="J436" s="7">
        <v>5</v>
      </c>
      <c r="K436" s="7" t="s">
        <v>60</v>
      </c>
      <c r="L436" s="7">
        <v>1</v>
      </c>
      <c r="M436" s="7">
        <v>4</v>
      </c>
      <c r="N436" s="7" t="s">
        <v>33</v>
      </c>
    </row>
    <row r="437" spans="1:14" x14ac:dyDescent="0.3">
      <c r="A437" s="3" t="s">
        <v>520</v>
      </c>
      <c r="B437" s="3" t="s">
        <v>49</v>
      </c>
      <c r="C437" s="3">
        <v>4</v>
      </c>
      <c r="D437" s="6">
        <v>46.1</v>
      </c>
      <c r="E437" s="6">
        <v>184.4</v>
      </c>
      <c r="F437" s="5">
        <v>45676</v>
      </c>
      <c r="G437" s="5">
        <v>45677</v>
      </c>
      <c r="H437" s="3" t="s">
        <v>26</v>
      </c>
      <c r="I437" s="4" t="s">
        <v>21</v>
      </c>
      <c r="J437" s="3">
        <v>4</v>
      </c>
      <c r="K437" s="3" t="s">
        <v>60</v>
      </c>
      <c r="L437" s="3">
        <v>1</v>
      </c>
      <c r="M437" s="3">
        <v>4</v>
      </c>
      <c r="N437" s="3" t="s">
        <v>28</v>
      </c>
    </row>
    <row r="438" spans="1:14" x14ac:dyDescent="0.3">
      <c r="A438" s="7" t="s">
        <v>521</v>
      </c>
      <c r="B438" s="7" t="s">
        <v>49</v>
      </c>
      <c r="C438" s="7">
        <v>3</v>
      </c>
      <c r="D438" s="10">
        <v>17.5</v>
      </c>
      <c r="E438" s="10">
        <v>52.5</v>
      </c>
      <c r="F438" s="9">
        <v>45676</v>
      </c>
      <c r="G438" s="9">
        <v>45677</v>
      </c>
      <c r="H438" s="7" t="s">
        <v>31</v>
      </c>
      <c r="I438" s="8" t="s">
        <v>21</v>
      </c>
      <c r="J438" s="7">
        <v>5</v>
      </c>
      <c r="K438" s="7" t="s">
        <v>67</v>
      </c>
      <c r="L438" s="7">
        <v>1</v>
      </c>
      <c r="M438" s="7">
        <v>4</v>
      </c>
      <c r="N438" s="7" t="s">
        <v>33</v>
      </c>
    </row>
    <row r="439" spans="1:14" x14ac:dyDescent="0.3">
      <c r="A439" s="3" t="s">
        <v>522</v>
      </c>
      <c r="B439" s="3" t="s">
        <v>59</v>
      </c>
      <c r="C439" s="3">
        <v>3</v>
      </c>
      <c r="D439" s="6">
        <v>36.5</v>
      </c>
      <c r="E439" s="6">
        <v>109.5</v>
      </c>
      <c r="F439" s="5">
        <v>45676</v>
      </c>
      <c r="G439" s="5">
        <v>45687</v>
      </c>
      <c r="H439" s="3" t="s">
        <v>26</v>
      </c>
      <c r="I439" s="4" t="s">
        <v>45</v>
      </c>
      <c r="J439" s="3">
        <v>4</v>
      </c>
      <c r="K439" s="3" t="s">
        <v>67</v>
      </c>
      <c r="L439" s="3">
        <v>11</v>
      </c>
      <c r="M439" s="3">
        <v>4</v>
      </c>
      <c r="N439" s="3" t="s">
        <v>28</v>
      </c>
    </row>
    <row r="440" spans="1:14" x14ac:dyDescent="0.3">
      <c r="A440" s="7" t="s">
        <v>523</v>
      </c>
      <c r="B440" s="7" t="s">
        <v>49</v>
      </c>
      <c r="C440" s="7">
        <v>2</v>
      </c>
      <c r="D440" s="10">
        <v>47.5</v>
      </c>
      <c r="E440" s="10">
        <v>95</v>
      </c>
      <c r="F440" s="9">
        <v>45677</v>
      </c>
      <c r="G440" s="9">
        <v>45679</v>
      </c>
      <c r="H440" s="7" t="s">
        <v>31</v>
      </c>
      <c r="I440" s="8" t="s">
        <v>40</v>
      </c>
      <c r="J440" s="7">
        <v>4</v>
      </c>
      <c r="K440" s="7" t="s">
        <v>67</v>
      </c>
      <c r="L440" s="7">
        <v>2</v>
      </c>
      <c r="M440" s="7">
        <v>4</v>
      </c>
      <c r="N440" s="7" t="s">
        <v>33</v>
      </c>
    </row>
    <row r="441" spans="1:14" x14ac:dyDescent="0.3">
      <c r="A441" s="3" t="s">
        <v>524</v>
      </c>
      <c r="B441" s="3" t="s">
        <v>44</v>
      </c>
      <c r="C441" s="3">
        <v>5</v>
      </c>
      <c r="D441" s="6">
        <v>45.6</v>
      </c>
      <c r="E441" s="6">
        <v>228</v>
      </c>
      <c r="F441" s="5">
        <v>45677</v>
      </c>
      <c r="G441" s="5">
        <v>45679</v>
      </c>
      <c r="H441" s="3" t="s">
        <v>31</v>
      </c>
      <c r="I441" s="4" t="s">
        <v>21</v>
      </c>
      <c r="J441" s="3">
        <v>5</v>
      </c>
      <c r="K441" s="3" t="s">
        <v>67</v>
      </c>
      <c r="L441" s="3">
        <v>2</v>
      </c>
      <c r="M441" s="3">
        <v>4</v>
      </c>
      <c r="N441" s="3" t="s">
        <v>33</v>
      </c>
    </row>
    <row r="442" spans="1:14" x14ac:dyDescent="0.3">
      <c r="A442" s="7" t="s">
        <v>525</v>
      </c>
      <c r="B442" s="7" t="s">
        <v>51</v>
      </c>
      <c r="C442" s="7">
        <v>2</v>
      </c>
      <c r="D442" s="10">
        <v>50.5</v>
      </c>
      <c r="E442" s="10">
        <v>101</v>
      </c>
      <c r="F442" s="9">
        <v>45677</v>
      </c>
      <c r="G442" s="9">
        <v>45679</v>
      </c>
      <c r="H442" s="7" t="s">
        <v>26</v>
      </c>
      <c r="I442" s="8" t="s">
        <v>21</v>
      </c>
      <c r="J442" s="7">
        <v>3</v>
      </c>
      <c r="K442" s="7" t="s">
        <v>109</v>
      </c>
      <c r="L442" s="7">
        <v>2</v>
      </c>
      <c r="M442" s="7">
        <v>4</v>
      </c>
      <c r="N442" s="7" t="s">
        <v>28</v>
      </c>
    </row>
    <row r="443" spans="1:14" x14ac:dyDescent="0.3">
      <c r="A443" s="3" t="s">
        <v>526</v>
      </c>
      <c r="B443" s="3" t="s">
        <v>30</v>
      </c>
      <c r="C443" s="3">
        <v>10</v>
      </c>
      <c r="D443" s="6">
        <v>99.8</v>
      </c>
      <c r="E443" s="6">
        <v>998</v>
      </c>
      <c r="F443" s="5">
        <v>45677</v>
      </c>
      <c r="G443" s="5">
        <v>45680</v>
      </c>
      <c r="H443" s="3" t="s">
        <v>31</v>
      </c>
      <c r="I443" s="4" t="s">
        <v>45</v>
      </c>
      <c r="J443" s="3">
        <v>3</v>
      </c>
      <c r="K443" s="3" t="s">
        <v>109</v>
      </c>
      <c r="L443" s="3">
        <v>3</v>
      </c>
      <c r="M443" s="3">
        <v>4</v>
      </c>
      <c r="N443" s="3" t="s">
        <v>33</v>
      </c>
    </row>
    <row r="444" spans="1:14" x14ac:dyDescent="0.3">
      <c r="A444" s="7" t="s">
        <v>527</v>
      </c>
      <c r="B444" s="7" t="s">
        <v>49</v>
      </c>
      <c r="C444" s="7">
        <v>15</v>
      </c>
      <c r="D444" s="10">
        <v>19.2</v>
      </c>
      <c r="E444" s="10">
        <v>288</v>
      </c>
      <c r="F444" s="9">
        <v>45677</v>
      </c>
      <c r="G444" s="9">
        <v>45679</v>
      </c>
      <c r="H444" s="7" t="s">
        <v>94</v>
      </c>
      <c r="I444" s="8" t="s">
        <v>75</v>
      </c>
      <c r="J444" s="7">
        <v>3</v>
      </c>
      <c r="K444" s="7" t="s">
        <v>207</v>
      </c>
      <c r="L444" s="7">
        <v>2</v>
      </c>
      <c r="M444" s="7">
        <v>4</v>
      </c>
      <c r="N444" s="7" t="s">
        <v>95</v>
      </c>
    </row>
    <row r="445" spans="1:14" x14ac:dyDescent="0.3">
      <c r="A445" s="3" t="s">
        <v>528</v>
      </c>
      <c r="B445" s="3" t="s">
        <v>141</v>
      </c>
      <c r="C445" s="3">
        <v>3</v>
      </c>
      <c r="D445" s="6">
        <v>22.6</v>
      </c>
      <c r="E445" s="6">
        <v>67.800000000000011</v>
      </c>
      <c r="F445" s="5">
        <v>45677</v>
      </c>
      <c r="G445" s="5">
        <v>45678</v>
      </c>
      <c r="H445" s="3" t="s">
        <v>26</v>
      </c>
      <c r="I445" s="4" t="s">
        <v>40</v>
      </c>
      <c r="J445" s="3">
        <v>4</v>
      </c>
      <c r="K445" s="3" t="s">
        <v>82</v>
      </c>
      <c r="L445" s="3">
        <v>1</v>
      </c>
      <c r="M445" s="3">
        <v>4</v>
      </c>
      <c r="N445" s="3" t="s">
        <v>28</v>
      </c>
    </row>
    <row r="446" spans="1:14" x14ac:dyDescent="0.3">
      <c r="A446" s="7" t="s">
        <v>529</v>
      </c>
      <c r="B446" s="7" t="s">
        <v>25</v>
      </c>
      <c r="C446" s="7">
        <v>15</v>
      </c>
      <c r="D446" s="10">
        <v>126.9</v>
      </c>
      <c r="E446" s="10">
        <v>1903.5</v>
      </c>
      <c r="F446" s="9">
        <v>45677</v>
      </c>
      <c r="G446" s="9">
        <v>45679</v>
      </c>
      <c r="H446" s="7" t="s">
        <v>31</v>
      </c>
      <c r="I446" s="8" t="s">
        <v>21</v>
      </c>
      <c r="J446" s="7">
        <v>5</v>
      </c>
      <c r="K446" s="7" t="s">
        <v>82</v>
      </c>
      <c r="L446" s="7">
        <v>2</v>
      </c>
      <c r="M446" s="7">
        <v>4</v>
      </c>
      <c r="N446" s="7" t="s">
        <v>33</v>
      </c>
    </row>
    <row r="447" spans="1:14" x14ac:dyDescent="0.3">
      <c r="A447" s="3" t="s">
        <v>530</v>
      </c>
      <c r="B447" s="3" t="s">
        <v>30</v>
      </c>
      <c r="C447" s="3">
        <v>2</v>
      </c>
      <c r="D447" s="6">
        <v>100.3</v>
      </c>
      <c r="E447" s="6">
        <v>200.6</v>
      </c>
      <c r="F447" s="5">
        <v>45677</v>
      </c>
      <c r="G447" s="5">
        <v>45678</v>
      </c>
      <c r="H447" s="3" t="s">
        <v>31</v>
      </c>
      <c r="I447" s="4" t="s">
        <v>21</v>
      </c>
      <c r="J447" s="3">
        <v>3</v>
      </c>
      <c r="K447" s="3" t="s">
        <v>82</v>
      </c>
      <c r="L447" s="3">
        <v>1</v>
      </c>
      <c r="M447" s="3">
        <v>4</v>
      </c>
      <c r="N447" s="3" t="s">
        <v>33</v>
      </c>
    </row>
    <row r="448" spans="1:14" x14ac:dyDescent="0.3">
      <c r="A448" s="7" t="s">
        <v>531</v>
      </c>
      <c r="B448" s="7" t="s">
        <v>37</v>
      </c>
      <c r="C448" s="7">
        <v>18</v>
      </c>
      <c r="D448" s="10">
        <v>24.6</v>
      </c>
      <c r="E448" s="10">
        <v>442.8</v>
      </c>
      <c r="F448" s="9">
        <v>45677</v>
      </c>
      <c r="G448" s="9">
        <v>45678</v>
      </c>
      <c r="H448" s="7" t="s">
        <v>31</v>
      </c>
      <c r="I448" s="8" t="s">
        <v>75</v>
      </c>
      <c r="J448" s="7">
        <v>4</v>
      </c>
      <c r="K448" s="7" t="s">
        <v>87</v>
      </c>
      <c r="L448" s="7">
        <v>1</v>
      </c>
      <c r="M448" s="7">
        <v>4</v>
      </c>
      <c r="N448" s="7" t="s">
        <v>33</v>
      </c>
    </row>
    <row r="449" spans="1:14" x14ac:dyDescent="0.3">
      <c r="A449" s="3" t="s">
        <v>532</v>
      </c>
      <c r="B449" s="3" t="s">
        <v>44</v>
      </c>
      <c r="C449" s="3">
        <v>2</v>
      </c>
      <c r="D449" s="6">
        <v>47.3</v>
      </c>
      <c r="E449" s="6">
        <v>94.6</v>
      </c>
      <c r="F449" s="5">
        <v>45677</v>
      </c>
      <c r="G449" s="5">
        <v>45678</v>
      </c>
      <c r="H449" s="3" t="s">
        <v>26</v>
      </c>
      <c r="I449" s="4" t="s">
        <v>40</v>
      </c>
      <c r="J449" s="3">
        <v>5</v>
      </c>
      <c r="K449" s="3" t="s">
        <v>87</v>
      </c>
      <c r="L449" s="3">
        <v>1</v>
      </c>
      <c r="M449" s="3">
        <v>4</v>
      </c>
      <c r="N449" s="3" t="s">
        <v>28</v>
      </c>
    </row>
    <row r="450" spans="1:14" x14ac:dyDescent="0.3">
      <c r="A450" s="7" t="s">
        <v>533</v>
      </c>
      <c r="B450" s="7" t="s">
        <v>44</v>
      </c>
      <c r="C450" s="7">
        <v>7</v>
      </c>
      <c r="D450" s="10">
        <v>40.799999999999997</v>
      </c>
      <c r="E450" s="10">
        <v>285.60000000000002</v>
      </c>
      <c r="F450" s="9">
        <v>45677</v>
      </c>
      <c r="G450" s="9">
        <v>45680</v>
      </c>
      <c r="H450" s="7" t="s">
        <v>31</v>
      </c>
      <c r="I450" s="8" t="s">
        <v>45</v>
      </c>
      <c r="J450" s="7">
        <v>5</v>
      </c>
      <c r="K450" s="7" t="s">
        <v>121</v>
      </c>
      <c r="L450" s="7">
        <v>3</v>
      </c>
      <c r="M450" s="7">
        <v>4</v>
      </c>
      <c r="N450" s="7" t="s">
        <v>33</v>
      </c>
    </row>
    <row r="451" spans="1:14" x14ac:dyDescent="0.3">
      <c r="A451" s="3" t="s">
        <v>534</v>
      </c>
      <c r="B451" s="3" t="s">
        <v>49</v>
      </c>
      <c r="C451" s="3">
        <v>8</v>
      </c>
      <c r="D451" s="6">
        <v>49.2</v>
      </c>
      <c r="E451" s="6">
        <v>393.6</v>
      </c>
      <c r="F451" s="5">
        <v>45677</v>
      </c>
      <c r="G451" s="5">
        <v>45679</v>
      </c>
      <c r="H451" s="3" t="s">
        <v>31</v>
      </c>
      <c r="I451" s="4" t="s">
        <v>21</v>
      </c>
      <c r="J451" s="3">
        <v>4</v>
      </c>
      <c r="K451" s="3" t="s">
        <v>27</v>
      </c>
      <c r="L451" s="3">
        <v>2</v>
      </c>
      <c r="M451" s="3">
        <v>4</v>
      </c>
      <c r="N451" s="3" t="s">
        <v>33</v>
      </c>
    </row>
    <row r="452" spans="1:14" x14ac:dyDescent="0.3">
      <c r="A452" s="7" t="s">
        <v>535</v>
      </c>
      <c r="B452" s="7" t="s">
        <v>49</v>
      </c>
      <c r="C452" s="7">
        <v>1</v>
      </c>
      <c r="D452" s="10">
        <v>28.5</v>
      </c>
      <c r="E452" s="10">
        <v>28.5</v>
      </c>
      <c r="F452" s="9">
        <v>45677</v>
      </c>
      <c r="G452" s="9">
        <v>45679</v>
      </c>
      <c r="H452" s="7"/>
      <c r="I452" s="8" t="s">
        <v>45</v>
      </c>
      <c r="J452" s="7">
        <v>3</v>
      </c>
      <c r="K452" s="7" t="s">
        <v>38</v>
      </c>
      <c r="L452" s="7">
        <v>2</v>
      </c>
      <c r="M452" s="7">
        <v>4</v>
      </c>
      <c r="N452" s="7" t="s">
        <v>23</v>
      </c>
    </row>
    <row r="453" spans="1:14" x14ac:dyDescent="0.3">
      <c r="A453" s="3" t="s">
        <v>536</v>
      </c>
      <c r="B453" s="3" t="s">
        <v>152</v>
      </c>
      <c r="C453" s="3">
        <v>2</v>
      </c>
      <c r="D453" s="6">
        <v>36.799999999999997</v>
      </c>
      <c r="E453" s="6">
        <v>73.599999999999994</v>
      </c>
      <c r="F453" s="5">
        <v>45677</v>
      </c>
      <c r="G453" s="5">
        <v>45683</v>
      </c>
      <c r="H453" s="3" t="s">
        <v>31</v>
      </c>
      <c r="I453" s="4" t="s">
        <v>21</v>
      </c>
      <c r="J453" s="3">
        <v>5</v>
      </c>
      <c r="K453" s="3" t="s">
        <v>38</v>
      </c>
      <c r="L453" s="3">
        <v>6</v>
      </c>
      <c r="M453" s="3">
        <v>4</v>
      </c>
      <c r="N453" s="3" t="s">
        <v>33</v>
      </c>
    </row>
    <row r="454" spans="1:14" x14ac:dyDescent="0.3">
      <c r="A454" s="7" t="s">
        <v>537</v>
      </c>
      <c r="B454" s="7" t="s">
        <v>47</v>
      </c>
      <c r="C454" s="7">
        <v>3</v>
      </c>
      <c r="D454" s="10">
        <v>33.5</v>
      </c>
      <c r="E454" s="10">
        <v>100.5</v>
      </c>
      <c r="F454" s="9">
        <v>45677</v>
      </c>
      <c r="G454" s="9">
        <v>45678</v>
      </c>
      <c r="H454" s="7" t="s">
        <v>31</v>
      </c>
      <c r="I454" s="8" t="s">
        <v>21</v>
      </c>
      <c r="J454" s="7">
        <v>3</v>
      </c>
      <c r="K454" s="7" t="s">
        <v>38</v>
      </c>
      <c r="L454" s="7">
        <v>1</v>
      </c>
      <c r="M454" s="7">
        <v>4</v>
      </c>
      <c r="N454" s="7" t="s">
        <v>33</v>
      </c>
    </row>
    <row r="455" spans="1:14" x14ac:dyDescent="0.3">
      <c r="A455" s="3" t="s">
        <v>538</v>
      </c>
      <c r="B455" s="3" t="s">
        <v>44</v>
      </c>
      <c r="C455" s="3">
        <v>6</v>
      </c>
      <c r="D455" s="6">
        <v>62.5</v>
      </c>
      <c r="E455" s="6">
        <v>375</v>
      </c>
      <c r="F455" s="5">
        <v>45677</v>
      </c>
      <c r="G455" s="5">
        <v>45679</v>
      </c>
      <c r="H455" s="3" t="s">
        <v>31</v>
      </c>
      <c r="I455" s="4" t="s">
        <v>21</v>
      </c>
      <c r="J455" s="3">
        <v>4</v>
      </c>
      <c r="K455" s="3" t="s">
        <v>38</v>
      </c>
      <c r="L455" s="3">
        <v>2</v>
      </c>
      <c r="M455" s="3">
        <v>4</v>
      </c>
      <c r="N455" s="3" t="s">
        <v>33</v>
      </c>
    </row>
    <row r="456" spans="1:14" x14ac:dyDescent="0.3">
      <c r="A456" s="7" t="s">
        <v>539</v>
      </c>
      <c r="B456" s="7" t="s">
        <v>49</v>
      </c>
      <c r="C456" s="7">
        <v>40</v>
      </c>
      <c r="D456" s="10">
        <v>47.9</v>
      </c>
      <c r="E456" s="10">
        <v>1916</v>
      </c>
      <c r="F456" s="9">
        <v>45677</v>
      </c>
      <c r="G456" s="9">
        <v>45678</v>
      </c>
      <c r="H456" s="7" t="s">
        <v>31</v>
      </c>
      <c r="I456" s="8" t="s">
        <v>56</v>
      </c>
      <c r="J456" s="7">
        <v>4</v>
      </c>
      <c r="K456" s="7" t="s">
        <v>38</v>
      </c>
      <c r="L456" s="7">
        <v>1</v>
      </c>
      <c r="M456" s="7">
        <v>4</v>
      </c>
      <c r="N456" s="7" t="s">
        <v>33</v>
      </c>
    </row>
    <row r="457" spans="1:14" x14ac:dyDescent="0.3">
      <c r="A457" s="3" t="s">
        <v>540</v>
      </c>
      <c r="B457" s="3" t="s">
        <v>44</v>
      </c>
      <c r="C457" s="3">
        <v>6</v>
      </c>
      <c r="D457" s="6">
        <v>92.9</v>
      </c>
      <c r="E457" s="6">
        <v>557.40000000000009</v>
      </c>
      <c r="F457" s="5">
        <v>45677</v>
      </c>
      <c r="G457" s="5">
        <v>45688</v>
      </c>
      <c r="H457" s="3" t="s">
        <v>31</v>
      </c>
      <c r="I457" s="4" t="s">
        <v>21</v>
      </c>
      <c r="J457" s="3">
        <v>2</v>
      </c>
      <c r="K457" s="3" t="s">
        <v>38</v>
      </c>
      <c r="L457" s="3">
        <v>11</v>
      </c>
      <c r="M457" s="3">
        <v>4</v>
      </c>
      <c r="N457" s="3" t="s">
        <v>33</v>
      </c>
    </row>
    <row r="458" spans="1:14" x14ac:dyDescent="0.3">
      <c r="A458" s="7" t="s">
        <v>541</v>
      </c>
      <c r="B458" s="7" t="s">
        <v>74</v>
      </c>
      <c r="C458" s="7">
        <v>3</v>
      </c>
      <c r="D458" s="10">
        <v>44.1</v>
      </c>
      <c r="E458" s="10">
        <v>132.30000000000001</v>
      </c>
      <c r="F458" s="9">
        <v>45677</v>
      </c>
      <c r="G458" s="9">
        <v>45677</v>
      </c>
      <c r="H458" s="7" t="s">
        <v>31</v>
      </c>
      <c r="I458" s="8" t="s">
        <v>40</v>
      </c>
      <c r="J458" s="7">
        <v>3</v>
      </c>
      <c r="K458" s="7" t="s">
        <v>116</v>
      </c>
      <c r="L458" s="7">
        <v>0</v>
      </c>
      <c r="M458" s="7">
        <v>4</v>
      </c>
      <c r="N458" s="7" t="s">
        <v>33</v>
      </c>
    </row>
    <row r="459" spans="1:14" x14ac:dyDescent="0.3">
      <c r="A459" s="3" t="s">
        <v>542</v>
      </c>
      <c r="B459" s="3" t="s">
        <v>20</v>
      </c>
      <c r="C459" s="3">
        <v>1</v>
      </c>
      <c r="D459" s="6">
        <v>11.4</v>
      </c>
      <c r="E459" s="6">
        <v>11.4</v>
      </c>
      <c r="F459" s="5">
        <v>45678</v>
      </c>
      <c r="G459" s="5">
        <v>45680</v>
      </c>
      <c r="H459" s="3" t="s">
        <v>31</v>
      </c>
      <c r="I459" s="4" t="s">
        <v>45</v>
      </c>
      <c r="J459" s="3">
        <v>4</v>
      </c>
      <c r="K459" s="3" t="s">
        <v>57</v>
      </c>
      <c r="L459" s="3">
        <v>2</v>
      </c>
      <c r="M459" s="3">
        <v>4</v>
      </c>
      <c r="N459" s="3" t="s">
        <v>33</v>
      </c>
    </row>
    <row r="460" spans="1:14" x14ac:dyDescent="0.3">
      <c r="A460" s="7" t="s">
        <v>543</v>
      </c>
      <c r="B460" s="7" t="s">
        <v>44</v>
      </c>
      <c r="C460" s="7">
        <v>1</v>
      </c>
      <c r="D460" s="10">
        <v>83.7</v>
      </c>
      <c r="E460" s="10">
        <v>83.7</v>
      </c>
      <c r="F460" s="9">
        <v>45678</v>
      </c>
      <c r="G460" s="9">
        <v>45680</v>
      </c>
      <c r="H460" s="7" t="s">
        <v>31</v>
      </c>
      <c r="I460" s="8" t="s">
        <v>21</v>
      </c>
      <c r="J460" s="7">
        <v>5</v>
      </c>
      <c r="K460" s="7" t="s">
        <v>60</v>
      </c>
      <c r="L460" s="7">
        <v>2</v>
      </c>
      <c r="M460" s="7">
        <v>4</v>
      </c>
      <c r="N460" s="7" t="s">
        <v>33</v>
      </c>
    </row>
    <row r="461" spans="1:14" x14ac:dyDescent="0.3">
      <c r="A461" s="3" t="s">
        <v>544</v>
      </c>
      <c r="B461" s="3" t="s">
        <v>59</v>
      </c>
      <c r="C461" s="3">
        <v>2</v>
      </c>
      <c r="D461" s="6">
        <v>23.2</v>
      </c>
      <c r="E461" s="6">
        <v>46.4</v>
      </c>
      <c r="F461" s="5">
        <v>45678</v>
      </c>
      <c r="G461" s="5">
        <v>45679</v>
      </c>
      <c r="H461" s="3" t="s">
        <v>26</v>
      </c>
      <c r="I461" s="4" t="s">
        <v>45</v>
      </c>
      <c r="J461" s="3">
        <v>4</v>
      </c>
      <c r="K461" s="3" t="s">
        <v>67</v>
      </c>
      <c r="L461" s="3">
        <v>1</v>
      </c>
      <c r="M461" s="3">
        <v>4</v>
      </c>
      <c r="N461" s="3" t="s">
        <v>28</v>
      </c>
    </row>
    <row r="462" spans="1:14" x14ac:dyDescent="0.3">
      <c r="A462" s="7" t="s">
        <v>545</v>
      </c>
      <c r="B462" s="7" t="s">
        <v>30</v>
      </c>
      <c r="C462" s="7">
        <v>1</v>
      </c>
      <c r="D462" s="10">
        <v>162.1</v>
      </c>
      <c r="E462" s="10">
        <v>162.1</v>
      </c>
      <c r="F462" s="9">
        <v>45678</v>
      </c>
      <c r="G462" s="9">
        <v>45681</v>
      </c>
      <c r="H462" s="7" t="s">
        <v>31</v>
      </c>
      <c r="I462" s="8" t="s">
        <v>21</v>
      </c>
      <c r="J462" s="7">
        <v>5</v>
      </c>
      <c r="K462" s="7" t="s">
        <v>77</v>
      </c>
      <c r="L462" s="7">
        <v>3</v>
      </c>
      <c r="M462" s="7">
        <v>4</v>
      </c>
      <c r="N462" s="7" t="s">
        <v>33</v>
      </c>
    </row>
    <row r="463" spans="1:14" x14ac:dyDescent="0.3">
      <c r="A463" s="3" t="s">
        <v>546</v>
      </c>
      <c r="B463" s="3" t="s">
        <v>44</v>
      </c>
      <c r="C463" s="3">
        <v>4</v>
      </c>
      <c r="D463" s="6">
        <v>49.2</v>
      </c>
      <c r="E463" s="6">
        <v>196.8</v>
      </c>
      <c r="F463" s="5">
        <v>45678</v>
      </c>
      <c r="G463" s="5">
        <v>45682</v>
      </c>
      <c r="H463" s="3" t="s">
        <v>26</v>
      </c>
      <c r="I463" s="4" t="s">
        <v>40</v>
      </c>
      <c r="J463" s="3">
        <v>4</v>
      </c>
      <c r="K463" s="3" t="s">
        <v>77</v>
      </c>
      <c r="L463" s="3">
        <v>4</v>
      </c>
      <c r="M463" s="3">
        <v>4</v>
      </c>
      <c r="N463" s="3" t="s">
        <v>28</v>
      </c>
    </row>
    <row r="464" spans="1:14" x14ac:dyDescent="0.3">
      <c r="A464" s="7" t="s">
        <v>547</v>
      </c>
      <c r="B464" s="7" t="s">
        <v>25</v>
      </c>
      <c r="C464" s="7">
        <v>2</v>
      </c>
      <c r="D464" s="10">
        <v>61</v>
      </c>
      <c r="E464" s="10">
        <v>122</v>
      </c>
      <c r="F464" s="9">
        <v>45678</v>
      </c>
      <c r="G464" s="9">
        <v>45679</v>
      </c>
      <c r="H464" s="7" t="s">
        <v>26</v>
      </c>
      <c r="I464" s="8" t="s">
        <v>56</v>
      </c>
      <c r="J464" s="7">
        <v>4</v>
      </c>
      <c r="K464" s="7" t="s">
        <v>79</v>
      </c>
      <c r="L464" s="7">
        <v>1</v>
      </c>
      <c r="M464" s="7">
        <v>4</v>
      </c>
      <c r="N464" s="7" t="s">
        <v>28</v>
      </c>
    </row>
    <row r="465" spans="1:14" x14ac:dyDescent="0.3">
      <c r="A465" s="3" t="s">
        <v>548</v>
      </c>
      <c r="B465" s="3" t="s">
        <v>30</v>
      </c>
      <c r="C465" s="3">
        <v>10</v>
      </c>
      <c r="D465" s="6">
        <v>53.1</v>
      </c>
      <c r="E465" s="6">
        <v>531</v>
      </c>
      <c r="F465" s="5">
        <v>45678</v>
      </c>
      <c r="G465" s="5">
        <v>45680</v>
      </c>
      <c r="H465" s="3" t="s">
        <v>26</v>
      </c>
      <c r="I465" s="4" t="s">
        <v>21</v>
      </c>
      <c r="J465" s="3">
        <v>4</v>
      </c>
      <c r="K465" s="3" t="s">
        <v>82</v>
      </c>
      <c r="L465" s="3">
        <v>2</v>
      </c>
      <c r="M465" s="3">
        <v>4</v>
      </c>
      <c r="N465" s="3" t="s">
        <v>28</v>
      </c>
    </row>
    <row r="466" spans="1:14" x14ac:dyDescent="0.3">
      <c r="A466" s="7" t="s">
        <v>549</v>
      </c>
      <c r="B466" s="7" t="s">
        <v>37</v>
      </c>
      <c r="C466" s="7">
        <v>2</v>
      </c>
      <c r="D466" s="10">
        <v>22.4</v>
      </c>
      <c r="E466" s="10">
        <v>44.8</v>
      </c>
      <c r="F466" s="9">
        <v>45678</v>
      </c>
      <c r="G466" s="9">
        <v>45680</v>
      </c>
      <c r="H466" s="7"/>
      <c r="I466" s="8" t="s">
        <v>40</v>
      </c>
      <c r="J466" s="7">
        <v>5</v>
      </c>
      <c r="K466" s="7" t="s">
        <v>87</v>
      </c>
      <c r="L466" s="7">
        <v>2</v>
      </c>
      <c r="M466" s="7">
        <v>4</v>
      </c>
      <c r="N466" s="7" t="s">
        <v>23</v>
      </c>
    </row>
    <row r="467" spans="1:14" x14ac:dyDescent="0.3">
      <c r="A467" s="3" t="s">
        <v>550</v>
      </c>
      <c r="B467" s="3" t="s">
        <v>25</v>
      </c>
      <c r="C467" s="3">
        <v>5</v>
      </c>
      <c r="D467" s="6">
        <v>75.3</v>
      </c>
      <c r="E467" s="6">
        <v>376.5</v>
      </c>
      <c r="F467" s="5">
        <v>45678</v>
      </c>
      <c r="G467" s="5">
        <v>45679</v>
      </c>
      <c r="H467" s="3" t="s">
        <v>26</v>
      </c>
      <c r="I467" s="4" t="s">
        <v>21</v>
      </c>
      <c r="J467" s="3">
        <v>4</v>
      </c>
      <c r="K467" s="3" t="s">
        <v>121</v>
      </c>
      <c r="L467" s="3">
        <v>1</v>
      </c>
      <c r="M467" s="3">
        <v>4</v>
      </c>
      <c r="N467" s="3" t="s">
        <v>28</v>
      </c>
    </row>
    <row r="468" spans="1:14" x14ac:dyDescent="0.3">
      <c r="A468" s="7" t="s">
        <v>551</v>
      </c>
      <c r="B468" s="7" t="s">
        <v>44</v>
      </c>
      <c r="C468" s="7">
        <v>1</v>
      </c>
      <c r="D468" s="10">
        <v>48.5</v>
      </c>
      <c r="E468" s="10">
        <v>48.5</v>
      </c>
      <c r="F468" s="9">
        <v>45678</v>
      </c>
      <c r="G468" s="9">
        <v>45679</v>
      </c>
      <c r="H468" s="7" t="s">
        <v>31</v>
      </c>
      <c r="I468" s="8" t="s">
        <v>21</v>
      </c>
      <c r="J468" s="7">
        <v>3</v>
      </c>
      <c r="K468" s="7" t="s">
        <v>121</v>
      </c>
      <c r="L468" s="7">
        <v>1</v>
      </c>
      <c r="M468" s="7">
        <v>4</v>
      </c>
      <c r="N468" s="7" t="s">
        <v>33</v>
      </c>
    </row>
    <row r="469" spans="1:14" x14ac:dyDescent="0.3">
      <c r="A469" s="3" t="s">
        <v>552</v>
      </c>
      <c r="B469" s="3" t="s">
        <v>44</v>
      </c>
      <c r="C469" s="3">
        <v>1</v>
      </c>
      <c r="D469" s="6">
        <v>42.6</v>
      </c>
      <c r="E469" s="6">
        <v>42.6</v>
      </c>
      <c r="F469" s="5">
        <v>45678</v>
      </c>
      <c r="G469" s="5">
        <v>45682</v>
      </c>
      <c r="H469" s="3" t="s">
        <v>31</v>
      </c>
      <c r="I469" s="4" t="s">
        <v>56</v>
      </c>
      <c r="J469" s="3">
        <v>4</v>
      </c>
      <c r="K469" s="3" t="s">
        <v>27</v>
      </c>
      <c r="L469" s="3">
        <v>4</v>
      </c>
      <c r="M469" s="3">
        <v>4</v>
      </c>
      <c r="N469" s="3" t="s">
        <v>33</v>
      </c>
    </row>
    <row r="470" spans="1:14" x14ac:dyDescent="0.3">
      <c r="A470" s="7" t="s">
        <v>553</v>
      </c>
      <c r="B470" s="7" t="s">
        <v>42</v>
      </c>
      <c r="C470" s="7">
        <v>5</v>
      </c>
      <c r="D470" s="10">
        <v>49</v>
      </c>
      <c r="E470" s="10">
        <v>245</v>
      </c>
      <c r="F470" s="9">
        <v>45678</v>
      </c>
      <c r="G470" s="9">
        <v>45679</v>
      </c>
      <c r="H470" s="7" t="s">
        <v>26</v>
      </c>
      <c r="I470" s="8" t="s">
        <v>21</v>
      </c>
      <c r="J470" s="7">
        <v>4</v>
      </c>
      <c r="K470" s="7" t="s">
        <v>153</v>
      </c>
      <c r="L470" s="7">
        <v>1</v>
      </c>
      <c r="M470" s="7">
        <v>4</v>
      </c>
      <c r="N470" s="7" t="s">
        <v>28</v>
      </c>
    </row>
    <row r="471" spans="1:14" x14ac:dyDescent="0.3">
      <c r="A471" s="3" t="s">
        <v>554</v>
      </c>
      <c r="B471" s="3" t="s">
        <v>49</v>
      </c>
      <c r="C471" s="3">
        <v>3</v>
      </c>
      <c r="D471" s="6">
        <v>31.3</v>
      </c>
      <c r="E471" s="6">
        <v>93.9</v>
      </c>
      <c r="F471" s="5">
        <v>45678</v>
      </c>
      <c r="G471" s="5">
        <v>45679</v>
      </c>
      <c r="H471" s="3" t="s">
        <v>26</v>
      </c>
      <c r="I471" s="4" t="s">
        <v>45</v>
      </c>
      <c r="J471" s="3">
        <v>3</v>
      </c>
      <c r="K471" s="3" t="s">
        <v>38</v>
      </c>
      <c r="L471" s="3">
        <v>1</v>
      </c>
      <c r="M471" s="3">
        <v>4</v>
      </c>
      <c r="N471" s="3" t="s">
        <v>28</v>
      </c>
    </row>
    <row r="472" spans="1:14" x14ac:dyDescent="0.3">
      <c r="A472" s="7" t="s">
        <v>555</v>
      </c>
      <c r="B472" s="7" t="s">
        <v>30</v>
      </c>
      <c r="C472" s="7">
        <v>2</v>
      </c>
      <c r="D472" s="10">
        <v>85.4</v>
      </c>
      <c r="E472" s="10">
        <v>170.8</v>
      </c>
      <c r="F472" s="9">
        <v>45678</v>
      </c>
      <c r="G472" s="9">
        <v>45679</v>
      </c>
      <c r="H472" s="7" t="s">
        <v>31</v>
      </c>
      <c r="I472" s="8" t="s">
        <v>45</v>
      </c>
      <c r="J472" s="7">
        <v>4</v>
      </c>
      <c r="K472" s="7" t="s">
        <v>38</v>
      </c>
      <c r="L472" s="7">
        <v>1</v>
      </c>
      <c r="M472" s="7">
        <v>4</v>
      </c>
      <c r="N472" s="7" t="s">
        <v>33</v>
      </c>
    </row>
    <row r="473" spans="1:14" x14ac:dyDescent="0.3">
      <c r="A473" s="3" t="s">
        <v>556</v>
      </c>
      <c r="B473" s="3" t="s">
        <v>49</v>
      </c>
      <c r="C473" s="3">
        <v>4</v>
      </c>
      <c r="D473" s="6">
        <v>40</v>
      </c>
      <c r="E473" s="6">
        <v>160</v>
      </c>
      <c r="F473" s="5">
        <v>45678</v>
      </c>
      <c r="G473" s="5">
        <v>45679</v>
      </c>
      <c r="H473" s="3" t="s">
        <v>94</v>
      </c>
      <c r="I473" s="4" t="s">
        <v>21</v>
      </c>
      <c r="J473" s="3">
        <v>5</v>
      </c>
      <c r="K473" s="3" t="s">
        <v>38</v>
      </c>
      <c r="L473" s="3">
        <v>1</v>
      </c>
      <c r="M473" s="3">
        <v>4</v>
      </c>
      <c r="N473" s="3" t="s">
        <v>95</v>
      </c>
    </row>
    <row r="474" spans="1:14" x14ac:dyDescent="0.3">
      <c r="A474" s="7" t="s">
        <v>557</v>
      </c>
      <c r="B474" s="7" t="s">
        <v>42</v>
      </c>
      <c r="C474" s="7">
        <v>2</v>
      </c>
      <c r="D474" s="10">
        <v>38.5</v>
      </c>
      <c r="E474" s="10">
        <v>77</v>
      </c>
      <c r="F474" s="9">
        <v>45678</v>
      </c>
      <c r="G474" s="9">
        <v>45681</v>
      </c>
      <c r="H474" s="7" t="s">
        <v>26</v>
      </c>
      <c r="I474" s="8" t="s">
        <v>40</v>
      </c>
      <c r="J474" s="7">
        <v>5</v>
      </c>
      <c r="K474" s="7" t="s">
        <v>38</v>
      </c>
      <c r="L474" s="7">
        <v>3</v>
      </c>
      <c r="M474" s="7">
        <v>4</v>
      </c>
      <c r="N474" s="7" t="s">
        <v>28</v>
      </c>
    </row>
    <row r="475" spans="1:14" x14ac:dyDescent="0.3">
      <c r="A475" s="3" t="s">
        <v>558</v>
      </c>
      <c r="B475" s="3" t="s">
        <v>30</v>
      </c>
      <c r="C475" s="3">
        <v>2</v>
      </c>
      <c r="D475" s="6">
        <v>57.8</v>
      </c>
      <c r="E475" s="6">
        <v>115.6</v>
      </c>
      <c r="F475" s="5">
        <v>45678</v>
      </c>
      <c r="G475" s="5">
        <v>45679</v>
      </c>
      <c r="H475" s="3"/>
      <c r="I475" s="4" t="s">
        <v>21</v>
      </c>
      <c r="J475" s="3">
        <v>4</v>
      </c>
      <c r="K475" s="3" t="s">
        <v>38</v>
      </c>
      <c r="L475" s="3">
        <v>1</v>
      </c>
      <c r="M475" s="3">
        <v>4</v>
      </c>
      <c r="N475" s="3" t="s">
        <v>23</v>
      </c>
    </row>
    <row r="476" spans="1:14" x14ac:dyDescent="0.3">
      <c r="A476" s="7" t="s">
        <v>559</v>
      </c>
      <c r="B476" s="7" t="s">
        <v>49</v>
      </c>
      <c r="C476" s="7">
        <v>1</v>
      </c>
      <c r="D476" s="10">
        <v>19.2</v>
      </c>
      <c r="E476" s="10">
        <v>19.2</v>
      </c>
      <c r="F476" s="9">
        <v>45678</v>
      </c>
      <c r="G476" s="9">
        <v>45679</v>
      </c>
      <c r="H476" s="7" t="s">
        <v>31</v>
      </c>
      <c r="I476" s="8" t="s">
        <v>21</v>
      </c>
      <c r="J476" s="7">
        <v>2</v>
      </c>
      <c r="K476" s="7" t="s">
        <v>38</v>
      </c>
      <c r="L476" s="7">
        <v>1</v>
      </c>
      <c r="M476" s="7">
        <v>4</v>
      </c>
      <c r="N476" s="7" t="s">
        <v>33</v>
      </c>
    </row>
    <row r="477" spans="1:14" x14ac:dyDescent="0.3">
      <c r="A477" s="3" t="s">
        <v>560</v>
      </c>
      <c r="B477" s="3" t="s">
        <v>44</v>
      </c>
      <c r="C477" s="3">
        <v>6</v>
      </c>
      <c r="D477" s="6">
        <v>114.8</v>
      </c>
      <c r="E477" s="6">
        <v>688.8</v>
      </c>
      <c r="F477" s="5">
        <v>45678</v>
      </c>
      <c r="G477" s="5">
        <v>45681</v>
      </c>
      <c r="H477" s="3" t="s">
        <v>26</v>
      </c>
      <c r="I477" s="4" t="s">
        <v>40</v>
      </c>
      <c r="J477" s="3">
        <v>3</v>
      </c>
      <c r="K477" s="3" t="s">
        <v>38</v>
      </c>
      <c r="L477" s="3">
        <v>3</v>
      </c>
      <c r="M477" s="3">
        <v>4</v>
      </c>
      <c r="N477" s="3" t="s">
        <v>28</v>
      </c>
    </row>
    <row r="478" spans="1:14" x14ac:dyDescent="0.3">
      <c r="A478" s="7" t="s">
        <v>561</v>
      </c>
      <c r="B478" s="7" t="s">
        <v>59</v>
      </c>
      <c r="C478" s="7">
        <v>7</v>
      </c>
      <c r="D478" s="10">
        <v>48.4</v>
      </c>
      <c r="E478" s="10">
        <v>338.8</v>
      </c>
      <c r="F478" s="9">
        <v>45678</v>
      </c>
      <c r="G478" s="9">
        <v>45681</v>
      </c>
      <c r="H478" s="7" t="s">
        <v>31</v>
      </c>
      <c r="I478" s="8" t="s">
        <v>56</v>
      </c>
      <c r="J478" s="7">
        <v>3</v>
      </c>
      <c r="K478" s="7" t="s">
        <v>38</v>
      </c>
      <c r="L478" s="7">
        <v>3</v>
      </c>
      <c r="M478" s="7">
        <v>4</v>
      </c>
      <c r="N478" s="7" t="s">
        <v>33</v>
      </c>
    </row>
    <row r="479" spans="1:14" x14ac:dyDescent="0.3">
      <c r="A479" s="3" t="s">
        <v>562</v>
      </c>
      <c r="B479" s="3" t="s">
        <v>51</v>
      </c>
      <c r="C479" s="3">
        <v>5</v>
      </c>
      <c r="D479" s="6">
        <v>73.2</v>
      </c>
      <c r="E479" s="6">
        <v>366</v>
      </c>
      <c r="F479" s="5">
        <v>45678</v>
      </c>
      <c r="G479" s="5">
        <v>45679</v>
      </c>
      <c r="H479" s="3" t="s">
        <v>31</v>
      </c>
      <c r="I479" s="4" t="s">
        <v>40</v>
      </c>
      <c r="J479" s="3">
        <v>2</v>
      </c>
      <c r="K479" s="3" t="s">
        <v>38</v>
      </c>
      <c r="L479" s="3">
        <v>1</v>
      </c>
      <c r="M479" s="3">
        <v>4</v>
      </c>
      <c r="N479" s="3" t="s">
        <v>33</v>
      </c>
    </row>
    <row r="480" spans="1:14" x14ac:dyDescent="0.3">
      <c r="A480" s="7" t="s">
        <v>563</v>
      </c>
      <c r="B480" s="7" t="s">
        <v>129</v>
      </c>
      <c r="C480" s="7">
        <v>2</v>
      </c>
      <c r="D480" s="10">
        <v>48.6</v>
      </c>
      <c r="E480" s="10">
        <v>97.2</v>
      </c>
      <c r="F480" s="9">
        <v>45678</v>
      </c>
      <c r="G480" s="9">
        <v>45682</v>
      </c>
      <c r="H480" s="7" t="s">
        <v>31</v>
      </c>
      <c r="I480" s="8" t="s">
        <v>56</v>
      </c>
      <c r="J480" s="7">
        <v>4</v>
      </c>
      <c r="K480" s="7" t="s">
        <v>38</v>
      </c>
      <c r="L480" s="7">
        <v>4</v>
      </c>
      <c r="M480" s="7">
        <v>4</v>
      </c>
      <c r="N480" s="7" t="s">
        <v>33</v>
      </c>
    </row>
    <row r="481" spans="1:14" x14ac:dyDescent="0.3">
      <c r="A481" s="3" t="s">
        <v>564</v>
      </c>
      <c r="B481" s="3" t="s">
        <v>20</v>
      </c>
      <c r="C481" s="3">
        <v>6</v>
      </c>
      <c r="D481" s="6">
        <v>48.7</v>
      </c>
      <c r="E481" s="6">
        <v>292.2</v>
      </c>
      <c r="F481" s="5">
        <v>45678</v>
      </c>
      <c r="G481" s="5">
        <v>45679</v>
      </c>
      <c r="H481" s="3" t="s">
        <v>26</v>
      </c>
      <c r="I481" s="4" t="s">
        <v>21</v>
      </c>
      <c r="J481" s="3">
        <v>4</v>
      </c>
      <c r="K481" s="3" t="s">
        <v>38</v>
      </c>
      <c r="L481" s="3">
        <v>1</v>
      </c>
      <c r="M481" s="3">
        <v>4</v>
      </c>
      <c r="N481" s="3" t="s">
        <v>28</v>
      </c>
    </row>
    <row r="482" spans="1:14" x14ac:dyDescent="0.3">
      <c r="A482" s="7" t="s">
        <v>565</v>
      </c>
      <c r="B482" s="7" t="s">
        <v>37</v>
      </c>
      <c r="C482" s="7">
        <v>2</v>
      </c>
      <c r="D482" s="10">
        <v>32.200000000000003</v>
      </c>
      <c r="E482" s="10">
        <v>64.400000000000006</v>
      </c>
      <c r="F482" s="9">
        <v>45678</v>
      </c>
      <c r="G482" s="9">
        <v>45681</v>
      </c>
      <c r="H482" s="7" t="s">
        <v>26</v>
      </c>
      <c r="I482" s="8" t="s">
        <v>45</v>
      </c>
      <c r="J482" s="7">
        <v>5</v>
      </c>
      <c r="K482" s="7" t="s">
        <v>38</v>
      </c>
      <c r="L482" s="7">
        <v>3</v>
      </c>
      <c r="M482" s="7">
        <v>4</v>
      </c>
      <c r="N482" s="7" t="s">
        <v>28</v>
      </c>
    </row>
    <row r="483" spans="1:14" x14ac:dyDescent="0.3">
      <c r="A483" s="3" t="s">
        <v>566</v>
      </c>
      <c r="B483" s="3" t="s">
        <v>129</v>
      </c>
      <c r="C483" s="3">
        <v>8</v>
      </c>
      <c r="D483" s="6">
        <v>25.8</v>
      </c>
      <c r="E483" s="6">
        <v>206.4</v>
      </c>
      <c r="F483" s="5">
        <v>45678</v>
      </c>
      <c r="G483" s="5">
        <v>45679</v>
      </c>
      <c r="H483" s="3" t="s">
        <v>26</v>
      </c>
      <c r="I483" s="4" t="s">
        <v>21</v>
      </c>
      <c r="J483" s="3">
        <v>4</v>
      </c>
      <c r="K483" s="3" t="s">
        <v>79</v>
      </c>
      <c r="L483" s="3">
        <v>1</v>
      </c>
      <c r="M483" s="3">
        <v>4</v>
      </c>
      <c r="N483" s="3" t="s">
        <v>28</v>
      </c>
    </row>
    <row r="484" spans="1:14" x14ac:dyDescent="0.3">
      <c r="A484" s="7" t="s">
        <v>567</v>
      </c>
      <c r="B484" s="7" t="s">
        <v>44</v>
      </c>
      <c r="C484" s="7">
        <v>2</v>
      </c>
      <c r="D484" s="10">
        <v>94.8</v>
      </c>
      <c r="E484" s="10">
        <v>189.6</v>
      </c>
      <c r="F484" s="9">
        <v>45679</v>
      </c>
      <c r="G484" s="9">
        <v>45682</v>
      </c>
      <c r="H484" s="7" t="s">
        <v>31</v>
      </c>
      <c r="I484" s="8" t="s">
        <v>40</v>
      </c>
      <c r="J484" s="7">
        <v>3</v>
      </c>
      <c r="K484" s="7" t="s">
        <v>194</v>
      </c>
      <c r="L484" s="7">
        <v>3</v>
      </c>
      <c r="M484" s="7">
        <v>4</v>
      </c>
      <c r="N484" s="7" t="s">
        <v>33</v>
      </c>
    </row>
    <row r="485" spans="1:14" x14ac:dyDescent="0.3">
      <c r="A485" s="3" t="s">
        <v>568</v>
      </c>
      <c r="B485" s="3" t="s">
        <v>129</v>
      </c>
      <c r="C485" s="3">
        <v>25</v>
      </c>
      <c r="D485" s="6">
        <v>56.8</v>
      </c>
      <c r="E485" s="6">
        <v>1420</v>
      </c>
      <c r="F485" s="5">
        <v>45679</v>
      </c>
      <c r="G485" s="5">
        <v>45682</v>
      </c>
      <c r="H485" s="3" t="s">
        <v>26</v>
      </c>
      <c r="I485" s="4" t="s">
        <v>21</v>
      </c>
      <c r="J485" s="3">
        <v>4</v>
      </c>
      <c r="K485" s="3" t="s">
        <v>194</v>
      </c>
      <c r="L485" s="3">
        <v>3</v>
      </c>
      <c r="M485" s="3">
        <v>4</v>
      </c>
      <c r="N485" s="3" t="s">
        <v>28</v>
      </c>
    </row>
    <row r="486" spans="1:14" x14ac:dyDescent="0.3">
      <c r="A486" s="7" t="s">
        <v>569</v>
      </c>
      <c r="B486" s="7" t="s">
        <v>49</v>
      </c>
      <c r="C486" s="7">
        <v>16</v>
      </c>
      <c r="D486" s="10">
        <v>18.3</v>
      </c>
      <c r="E486" s="10">
        <v>292.8</v>
      </c>
      <c r="F486" s="9">
        <v>45679</v>
      </c>
      <c r="G486" s="9">
        <v>45686</v>
      </c>
      <c r="H486" s="7" t="s">
        <v>31</v>
      </c>
      <c r="I486" s="8" t="s">
        <v>45</v>
      </c>
      <c r="J486" s="7">
        <v>5</v>
      </c>
      <c r="K486" s="7" t="s">
        <v>164</v>
      </c>
      <c r="L486" s="7">
        <v>7</v>
      </c>
      <c r="M486" s="7">
        <v>4</v>
      </c>
      <c r="N486" s="7" t="s">
        <v>33</v>
      </c>
    </row>
    <row r="487" spans="1:14" x14ac:dyDescent="0.3">
      <c r="A487" s="3" t="s">
        <v>570</v>
      </c>
      <c r="B487" s="3" t="s">
        <v>20</v>
      </c>
      <c r="C487" s="3">
        <v>3</v>
      </c>
      <c r="D487" s="6">
        <v>16.8</v>
      </c>
      <c r="E487" s="6">
        <v>50.400000000000013</v>
      </c>
      <c r="F487" s="5">
        <v>45679</v>
      </c>
      <c r="G487" s="5">
        <v>45684</v>
      </c>
      <c r="H487" s="3" t="s">
        <v>31</v>
      </c>
      <c r="I487" s="4" t="s">
        <v>45</v>
      </c>
      <c r="J487" s="3">
        <v>5</v>
      </c>
      <c r="K487" s="3" t="s">
        <v>67</v>
      </c>
      <c r="L487" s="3">
        <v>5</v>
      </c>
      <c r="M487" s="3">
        <v>4</v>
      </c>
      <c r="N487" s="3" t="s">
        <v>33</v>
      </c>
    </row>
    <row r="488" spans="1:14" x14ac:dyDescent="0.3">
      <c r="A488" s="7" t="s">
        <v>571</v>
      </c>
      <c r="B488" s="7" t="s">
        <v>42</v>
      </c>
      <c r="C488" s="7">
        <v>11</v>
      </c>
      <c r="D488" s="10">
        <v>35.799999999999997</v>
      </c>
      <c r="E488" s="10">
        <v>393.8</v>
      </c>
      <c r="F488" s="9">
        <v>45679</v>
      </c>
      <c r="G488" s="9">
        <v>45680</v>
      </c>
      <c r="H488" s="7" t="s">
        <v>26</v>
      </c>
      <c r="I488" s="8" t="s">
        <v>40</v>
      </c>
      <c r="J488" s="7">
        <v>4</v>
      </c>
      <c r="K488" s="7" t="s">
        <v>109</v>
      </c>
      <c r="L488" s="7">
        <v>1</v>
      </c>
      <c r="M488" s="7">
        <v>4</v>
      </c>
      <c r="N488" s="7" t="s">
        <v>28</v>
      </c>
    </row>
    <row r="489" spans="1:14" x14ac:dyDescent="0.3">
      <c r="A489" s="3" t="s">
        <v>572</v>
      </c>
      <c r="B489" s="3" t="s">
        <v>152</v>
      </c>
      <c r="C489" s="3">
        <v>1</v>
      </c>
      <c r="D489" s="6">
        <v>64.900000000000006</v>
      </c>
      <c r="E489" s="6">
        <v>64.900000000000006</v>
      </c>
      <c r="F489" s="5">
        <v>45679</v>
      </c>
      <c r="G489" s="5">
        <v>45680</v>
      </c>
      <c r="H489" s="3" t="s">
        <v>26</v>
      </c>
      <c r="I489" s="4" t="s">
        <v>21</v>
      </c>
      <c r="J489" s="3">
        <v>3</v>
      </c>
      <c r="K489" s="3" t="s">
        <v>109</v>
      </c>
      <c r="L489" s="3">
        <v>1</v>
      </c>
      <c r="M489" s="3">
        <v>4</v>
      </c>
      <c r="N489" s="3" t="s">
        <v>28</v>
      </c>
    </row>
    <row r="490" spans="1:14" x14ac:dyDescent="0.3">
      <c r="A490" s="7" t="s">
        <v>573</v>
      </c>
      <c r="B490" s="7" t="s">
        <v>152</v>
      </c>
      <c r="C490" s="7">
        <v>1</v>
      </c>
      <c r="D490" s="10">
        <v>28.5</v>
      </c>
      <c r="E490" s="10">
        <v>28.5</v>
      </c>
      <c r="F490" s="9">
        <v>45679</v>
      </c>
      <c r="G490" s="9">
        <v>45681</v>
      </c>
      <c r="H490" s="7"/>
      <c r="I490" s="8" t="s">
        <v>40</v>
      </c>
      <c r="J490" s="7">
        <v>4</v>
      </c>
      <c r="K490" s="7" t="s">
        <v>77</v>
      </c>
      <c r="L490" s="7">
        <v>2</v>
      </c>
      <c r="M490" s="7">
        <v>4</v>
      </c>
      <c r="N490" s="7" t="s">
        <v>23</v>
      </c>
    </row>
    <row r="491" spans="1:14" x14ac:dyDescent="0.3">
      <c r="A491" s="3" t="s">
        <v>574</v>
      </c>
      <c r="B491" s="3" t="s">
        <v>152</v>
      </c>
      <c r="C491" s="3">
        <v>2</v>
      </c>
      <c r="D491" s="6">
        <v>103.5</v>
      </c>
      <c r="E491" s="6">
        <v>207</v>
      </c>
      <c r="F491" s="5">
        <v>45679</v>
      </c>
      <c r="G491" s="5">
        <v>45681</v>
      </c>
      <c r="H491" s="3" t="s">
        <v>31</v>
      </c>
      <c r="I491" s="4" t="s">
        <v>40</v>
      </c>
      <c r="J491" s="3">
        <v>4</v>
      </c>
      <c r="K491" s="3" t="s">
        <v>79</v>
      </c>
      <c r="L491" s="3">
        <v>2</v>
      </c>
      <c r="M491" s="3">
        <v>4</v>
      </c>
      <c r="N491" s="3" t="s">
        <v>33</v>
      </c>
    </row>
    <row r="492" spans="1:14" x14ac:dyDescent="0.3">
      <c r="A492" s="7" t="s">
        <v>575</v>
      </c>
      <c r="B492" s="7" t="s">
        <v>37</v>
      </c>
      <c r="C492" s="7">
        <v>2</v>
      </c>
      <c r="D492" s="10">
        <v>41.2</v>
      </c>
      <c r="E492" s="10">
        <v>82.4</v>
      </c>
      <c r="F492" s="9">
        <v>45679</v>
      </c>
      <c r="G492" s="9">
        <v>45680</v>
      </c>
      <c r="H492" s="7" t="s">
        <v>31</v>
      </c>
      <c r="I492" s="8" t="s">
        <v>40</v>
      </c>
      <c r="J492" s="7">
        <v>4</v>
      </c>
      <c r="K492" s="7" t="s">
        <v>79</v>
      </c>
      <c r="L492" s="7">
        <v>1</v>
      </c>
      <c r="M492" s="7">
        <v>4</v>
      </c>
      <c r="N492" s="7" t="s">
        <v>33</v>
      </c>
    </row>
    <row r="493" spans="1:14" x14ac:dyDescent="0.3">
      <c r="A493" s="3" t="s">
        <v>576</v>
      </c>
      <c r="B493" s="3" t="s">
        <v>51</v>
      </c>
      <c r="C493" s="3">
        <v>1</v>
      </c>
      <c r="D493" s="6">
        <v>37.799999999999997</v>
      </c>
      <c r="E493" s="6">
        <v>37.799999999999997</v>
      </c>
      <c r="F493" s="5">
        <v>45679</v>
      </c>
      <c r="G493" s="5">
        <v>45681</v>
      </c>
      <c r="H493" s="3" t="s">
        <v>31</v>
      </c>
      <c r="I493" s="4" t="s">
        <v>56</v>
      </c>
      <c r="J493" s="3">
        <v>1</v>
      </c>
      <c r="K493" s="3" t="s">
        <v>82</v>
      </c>
      <c r="L493" s="3">
        <v>2</v>
      </c>
      <c r="M493" s="3">
        <v>4</v>
      </c>
      <c r="N493" s="3" t="s">
        <v>33</v>
      </c>
    </row>
    <row r="494" spans="1:14" x14ac:dyDescent="0.3">
      <c r="A494" s="7" t="s">
        <v>577</v>
      </c>
      <c r="B494" s="7" t="s">
        <v>49</v>
      </c>
      <c r="C494" s="7">
        <v>2</v>
      </c>
      <c r="D494" s="10">
        <v>42.6</v>
      </c>
      <c r="E494" s="10">
        <v>85.2</v>
      </c>
      <c r="F494" s="9">
        <v>45679</v>
      </c>
      <c r="G494" s="9">
        <v>45681</v>
      </c>
      <c r="H494" s="7" t="s">
        <v>31</v>
      </c>
      <c r="I494" s="8" t="s">
        <v>75</v>
      </c>
      <c r="J494" s="7">
        <v>4</v>
      </c>
      <c r="K494" s="7" t="s">
        <v>82</v>
      </c>
      <c r="L494" s="7">
        <v>2</v>
      </c>
      <c r="M494" s="7">
        <v>4</v>
      </c>
      <c r="N494" s="7" t="s">
        <v>33</v>
      </c>
    </row>
    <row r="495" spans="1:14" x14ac:dyDescent="0.3">
      <c r="A495" s="3" t="s">
        <v>578</v>
      </c>
      <c r="B495" s="3" t="s">
        <v>49</v>
      </c>
      <c r="C495" s="3">
        <v>10</v>
      </c>
      <c r="D495" s="6">
        <v>15.2</v>
      </c>
      <c r="E495" s="6">
        <v>152</v>
      </c>
      <c r="F495" s="5">
        <v>45679</v>
      </c>
      <c r="G495" s="5">
        <v>45681</v>
      </c>
      <c r="H495" s="3" t="s">
        <v>31</v>
      </c>
      <c r="I495" s="4" t="s">
        <v>45</v>
      </c>
      <c r="J495" s="3">
        <v>4</v>
      </c>
      <c r="K495" s="3" t="s">
        <v>82</v>
      </c>
      <c r="L495" s="3">
        <v>2</v>
      </c>
      <c r="M495" s="3">
        <v>4</v>
      </c>
      <c r="N495" s="3" t="s">
        <v>33</v>
      </c>
    </row>
    <row r="496" spans="1:14" x14ac:dyDescent="0.3">
      <c r="A496" s="7" t="s">
        <v>579</v>
      </c>
      <c r="B496" s="7" t="s">
        <v>47</v>
      </c>
      <c r="C496" s="7">
        <v>4</v>
      </c>
      <c r="D496" s="10">
        <v>83.4</v>
      </c>
      <c r="E496" s="10">
        <v>333.6</v>
      </c>
      <c r="F496" s="9">
        <v>45679</v>
      </c>
      <c r="G496" s="9">
        <v>45680</v>
      </c>
      <c r="H496" s="7" t="s">
        <v>31</v>
      </c>
      <c r="I496" s="8" t="s">
        <v>45</v>
      </c>
      <c r="J496" s="7">
        <v>3</v>
      </c>
      <c r="K496" s="7" t="s">
        <v>114</v>
      </c>
      <c r="L496" s="7">
        <v>1</v>
      </c>
      <c r="M496" s="7">
        <v>4</v>
      </c>
      <c r="N496" s="7" t="s">
        <v>33</v>
      </c>
    </row>
    <row r="497" spans="1:14" x14ac:dyDescent="0.3">
      <c r="A497" s="3" t="s">
        <v>580</v>
      </c>
      <c r="B497" s="3" t="s">
        <v>177</v>
      </c>
      <c r="C497" s="3">
        <v>2</v>
      </c>
      <c r="D497" s="6">
        <v>27.7</v>
      </c>
      <c r="E497" s="6">
        <v>55.4</v>
      </c>
      <c r="F497" s="5">
        <v>45679</v>
      </c>
      <c r="G497" s="5">
        <v>45680</v>
      </c>
      <c r="H497" s="3" t="s">
        <v>31</v>
      </c>
      <c r="I497" s="4" t="s">
        <v>21</v>
      </c>
      <c r="J497" s="3">
        <v>3</v>
      </c>
      <c r="K497" s="3" t="s">
        <v>87</v>
      </c>
      <c r="L497" s="3">
        <v>1</v>
      </c>
      <c r="M497" s="3">
        <v>4</v>
      </c>
      <c r="N497" s="3" t="s">
        <v>33</v>
      </c>
    </row>
    <row r="498" spans="1:14" x14ac:dyDescent="0.3">
      <c r="A498" s="7" t="s">
        <v>581</v>
      </c>
      <c r="B498" s="7" t="s">
        <v>59</v>
      </c>
      <c r="C498" s="7">
        <v>12</v>
      </c>
      <c r="D498" s="10">
        <v>20.8</v>
      </c>
      <c r="E498" s="10">
        <v>249.6</v>
      </c>
      <c r="F498" s="9">
        <v>45679</v>
      </c>
      <c r="G498" s="9">
        <v>45680</v>
      </c>
      <c r="H498" s="7" t="s">
        <v>26</v>
      </c>
      <c r="I498" s="8" t="s">
        <v>56</v>
      </c>
      <c r="J498" s="7">
        <v>4</v>
      </c>
      <c r="K498" s="7" t="s">
        <v>87</v>
      </c>
      <c r="L498" s="7">
        <v>1</v>
      </c>
      <c r="M498" s="7">
        <v>4</v>
      </c>
      <c r="N498" s="7" t="s">
        <v>28</v>
      </c>
    </row>
    <row r="499" spans="1:14" x14ac:dyDescent="0.3">
      <c r="A499" s="3" t="s">
        <v>582</v>
      </c>
      <c r="B499" s="3" t="s">
        <v>72</v>
      </c>
      <c r="C499" s="3">
        <v>2</v>
      </c>
      <c r="D499" s="6">
        <v>72.7</v>
      </c>
      <c r="E499" s="6">
        <v>145.4</v>
      </c>
      <c r="F499" s="5">
        <v>45679</v>
      </c>
      <c r="G499" s="5">
        <v>45683</v>
      </c>
      <c r="H499" s="3" t="s">
        <v>31</v>
      </c>
      <c r="I499" s="4" t="s">
        <v>75</v>
      </c>
      <c r="J499" s="3">
        <v>5</v>
      </c>
      <c r="K499" s="3" t="s">
        <v>119</v>
      </c>
      <c r="L499" s="3">
        <v>4</v>
      </c>
      <c r="M499" s="3">
        <v>4</v>
      </c>
      <c r="N499" s="3" t="s">
        <v>33</v>
      </c>
    </row>
    <row r="500" spans="1:14" x14ac:dyDescent="0.3">
      <c r="A500" s="7" t="s">
        <v>583</v>
      </c>
      <c r="B500" s="7" t="s">
        <v>59</v>
      </c>
      <c r="C500" s="7">
        <v>4</v>
      </c>
      <c r="D500" s="10">
        <v>38.6</v>
      </c>
      <c r="E500" s="10">
        <v>154.4</v>
      </c>
      <c r="F500" s="9">
        <v>45679</v>
      </c>
      <c r="G500" s="9">
        <v>45680</v>
      </c>
      <c r="H500" s="7" t="s">
        <v>26</v>
      </c>
      <c r="I500" s="8" t="s">
        <v>21</v>
      </c>
      <c r="J500" s="7">
        <v>5</v>
      </c>
      <c r="K500" s="7" t="s">
        <v>153</v>
      </c>
      <c r="L500" s="7">
        <v>1</v>
      </c>
      <c r="M500" s="7">
        <v>4</v>
      </c>
      <c r="N500" s="7" t="s">
        <v>28</v>
      </c>
    </row>
    <row r="501" spans="1:14" x14ac:dyDescent="0.3">
      <c r="A501" s="3" t="s">
        <v>584</v>
      </c>
      <c r="B501" s="3" t="s">
        <v>49</v>
      </c>
      <c r="C501" s="3">
        <v>7</v>
      </c>
      <c r="D501" s="6">
        <v>33.1</v>
      </c>
      <c r="E501" s="6">
        <v>231.7</v>
      </c>
      <c r="F501" s="5">
        <v>45679</v>
      </c>
      <c r="G501" s="5">
        <v>45680</v>
      </c>
      <c r="H501" s="3" t="s">
        <v>94</v>
      </c>
      <c r="I501" s="4" t="s">
        <v>75</v>
      </c>
      <c r="J501" s="3">
        <v>1</v>
      </c>
      <c r="K501" s="3" t="s">
        <v>38</v>
      </c>
      <c r="L501" s="3">
        <v>1</v>
      </c>
      <c r="M501" s="3">
        <v>4</v>
      </c>
      <c r="N501" s="3" t="s">
        <v>95</v>
      </c>
    </row>
    <row r="502" spans="1:14" x14ac:dyDescent="0.3">
      <c r="A502" s="7" t="s">
        <v>585</v>
      </c>
      <c r="B502" s="7" t="s">
        <v>59</v>
      </c>
      <c r="C502" s="7">
        <v>2</v>
      </c>
      <c r="D502" s="10">
        <v>30.5</v>
      </c>
      <c r="E502" s="10">
        <v>61</v>
      </c>
      <c r="F502" s="9">
        <v>45679</v>
      </c>
      <c r="G502" s="9">
        <v>45679</v>
      </c>
      <c r="H502" s="7"/>
      <c r="I502" s="8" t="s">
        <v>40</v>
      </c>
      <c r="J502" s="7">
        <v>3</v>
      </c>
      <c r="K502" s="7" t="s">
        <v>38</v>
      </c>
      <c r="L502" s="7">
        <v>0</v>
      </c>
      <c r="M502" s="7">
        <v>4</v>
      </c>
      <c r="N502" s="7" t="s">
        <v>23</v>
      </c>
    </row>
    <row r="503" spans="1:14" x14ac:dyDescent="0.3">
      <c r="A503" s="3" t="s">
        <v>586</v>
      </c>
      <c r="B503" s="3" t="s">
        <v>51</v>
      </c>
      <c r="C503" s="3">
        <v>2</v>
      </c>
      <c r="D503" s="6">
        <v>69.599999999999994</v>
      </c>
      <c r="E503" s="6">
        <v>139.19999999999999</v>
      </c>
      <c r="F503" s="5">
        <v>45679</v>
      </c>
      <c r="G503" s="5">
        <v>45680</v>
      </c>
      <c r="H503" s="3" t="s">
        <v>26</v>
      </c>
      <c r="I503" s="4" t="s">
        <v>21</v>
      </c>
      <c r="J503" s="3">
        <v>3</v>
      </c>
      <c r="K503" s="3" t="s">
        <v>38</v>
      </c>
      <c r="L503" s="3">
        <v>1</v>
      </c>
      <c r="M503" s="3">
        <v>4</v>
      </c>
      <c r="N503" s="3" t="s">
        <v>28</v>
      </c>
    </row>
    <row r="504" spans="1:14" x14ac:dyDescent="0.3">
      <c r="A504" s="7" t="s">
        <v>587</v>
      </c>
      <c r="B504" s="7" t="s">
        <v>72</v>
      </c>
      <c r="C504" s="7">
        <v>1</v>
      </c>
      <c r="D504" s="10">
        <v>42.4</v>
      </c>
      <c r="E504" s="10">
        <v>42.4</v>
      </c>
      <c r="F504" s="9">
        <v>45679</v>
      </c>
      <c r="G504" s="9">
        <v>45683</v>
      </c>
      <c r="H504" s="7" t="s">
        <v>31</v>
      </c>
      <c r="I504" s="8" t="s">
        <v>40</v>
      </c>
      <c r="J504" s="7">
        <v>4</v>
      </c>
      <c r="K504" s="7" t="s">
        <v>38</v>
      </c>
      <c r="L504" s="7">
        <v>4</v>
      </c>
      <c r="M504" s="7">
        <v>4</v>
      </c>
      <c r="N504" s="7" t="s">
        <v>33</v>
      </c>
    </row>
    <row r="505" spans="1:14" x14ac:dyDescent="0.3">
      <c r="A505" s="3" t="s">
        <v>588</v>
      </c>
      <c r="B505" s="3" t="s">
        <v>141</v>
      </c>
      <c r="C505" s="3">
        <v>1</v>
      </c>
      <c r="D505" s="6">
        <v>32.200000000000003</v>
      </c>
      <c r="E505" s="6">
        <v>32.200000000000003</v>
      </c>
      <c r="F505" s="5">
        <v>45679</v>
      </c>
      <c r="G505" s="5">
        <v>45682</v>
      </c>
      <c r="H505" s="3" t="s">
        <v>31</v>
      </c>
      <c r="I505" s="4" t="s">
        <v>45</v>
      </c>
      <c r="J505" s="3">
        <v>3</v>
      </c>
      <c r="K505" s="3" t="s">
        <v>38</v>
      </c>
      <c r="L505" s="3">
        <v>3</v>
      </c>
      <c r="M505" s="3">
        <v>4</v>
      </c>
      <c r="N505" s="3" t="s">
        <v>33</v>
      </c>
    </row>
    <row r="506" spans="1:14" x14ac:dyDescent="0.3">
      <c r="A506" s="7" t="s">
        <v>589</v>
      </c>
      <c r="B506" s="7" t="s">
        <v>44</v>
      </c>
      <c r="C506" s="7">
        <v>2</v>
      </c>
      <c r="D506" s="10">
        <v>41.5</v>
      </c>
      <c r="E506" s="10">
        <v>83</v>
      </c>
      <c r="F506" s="9">
        <v>45679</v>
      </c>
      <c r="G506" s="9">
        <v>45682</v>
      </c>
      <c r="H506" s="7" t="s">
        <v>31</v>
      </c>
      <c r="I506" s="8" t="s">
        <v>21</v>
      </c>
      <c r="J506" s="7">
        <v>5</v>
      </c>
      <c r="K506" s="7" t="s">
        <v>38</v>
      </c>
      <c r="L506" s="7">
        <v>3</v>
      </c>
      <c r="M506" s="7">
        <v>4</v>
      </c>
      <c r="N506" s="7" t="s">
        <v>33</v>
      </c>
    </row>
    <row r="507" spans="1:14" x14ac:dyDescent="0.3">
      <c r="A507" s="3" t="s">
        <v>590</v>
      </c>
      <c r="B507" s="3" t="s">
        <v>134</v>
      </c>
      <c r="C507" s="3">
        <v>9</v>
      </c>
      <c r="D507" s="6">
        <v>58.9</v>
      </c>
      <c r="E507" s="6">
        <v>530.1</v>
      </c>
      <c r="F507" s="5">
        <v>45679</v>
      </c>
      <c r="G507" s="5">
        <v>45683</v>
      </c>
      <c r="H507" s="3" t="s">
        <v>31</v>
      </c>
      <c r="I507" s="4" t="s">
        <v>56</v>
      </c>
      <c r="J507" s="3">
        <v>4</v>
      </c>
      <c r="K507" s="3" t="s">
        <v>38</v>
      </c>
      <c r="L507" s="3">
        <v>4</v>
      </c>
      <c r="M507" s="3">
        <v>4</v>
      </c>
      <c r="N507" s="3" t="s">
        <v>33</v>
      </c>
    </row>
    <row r="508" spans="1:14" x14ac:dyDescent="0.3">
      <c r="A508" s="7" t="s">
        <v>591</v>
      </c>
      <c r="B508" s="7" t="s">
        <v>30</v>
      </c>
      <c r="C508" s="7">
        <v>1</v>
      </c>
      <c r="D508" s="10">
        <v>57.1</v>
      </c>
      <c r="E508" s="10">
        <v>57.1</v>
      </c>
      <c r="F508" s="9">
        <v>45679</v>
      </c>
      <c r="G508" s="9">
        <v>45682</v>
      </c>
      <c r="H508" s="7" t="s">
        <v>31</v>
      </c>
      <c r="I508" s="8" t="s">
        <v>40</v>
      </c>
      <c r="J508" s="7">
        <v>4</v>
      </c>
      <c r="K508" s="7" t="s">
        <v>38</v>
      </c>
      <c r="L508" s="7">
        <v>3</v>
      </c>
      <c r="M508" s="7">
        <v>4</v>
      </c>
      <c r="N508" s="7" t="s">
        <v>33</v>
      </c>
    </row>
    <row r="509" spans="1:14" x14ac:dyDescent="0.3">
      <c r="A509" s="3" t="s">
        <v>592</v>
      </c>
      <c r="B509" s="3" t="s">
        <v>44</v>
      </c>
      <c r="C509" s="3">
        <v>1</v>
      </c>
      <c r="D509" s="6">
        <v>57.2</v>
      </c>
      <c r="E509" s="6">
        <v>57.2</v>
      </c>
      <c r="F509" s="5">
        <v>45679</v>
      </c>
      <c r="G509" s="5">
        <v>45681</v>
      </c>
      <c r="H509" s="3" t="s">
        <v>26</v>
      </c>
      <c r="I509" s="4" t="s">
        <v>40</v>
      </c>
      <c r="J509" s="3">
        <v>4</v>
      </c>
      <c r="K509" s="3" t="s">
        <v>38</v>
      </c>
      <c r="L509" s="3">
        <v>2</v>
      </c>
      <c r="M509" s="3">
        <v>4</v>
      </c>
      <c r="N509" s="3" t="s">
        <v>28</v>
      </c>
    </row>
    <row r="510" spans="1:14" x14ac:dyDescent="0.3">
      <c r="A510" s="7" t="s">
        <v>593</v>
      </c>
      <c r="B510" s="7" t="s">
        <v>49</v>
      </c>
      <c r="C510" s="7">
        <v>2</v>
      </c>
      <c r="D510" s="10">
        <v>35.1</v>
      </c>
      <c r="E510" s="10">
        <v>70.2</v>
      </c>
      <c r="F510" s="9">
        <v>45679</v>
      </c>
      <c r="G510" s="9">
        <v>45680</v>
      </c>
      <c r="H510" s="7" t="s">
        <v>26</v>
      </c>
      <c r="I510" s="8" t="s">
        <v>40</v>
      </c>
      <c r="J510" s="7">
        <v>4</v>
      </c>
      <c r="K510" s="7" t="s">
        <v>60</v>
      </c>
      <c r="L510" s="7">
        <v>1</v>
      </c>
      <c r="M510" s="7">
        <v>4</v>
      </c>
      <c r="N510" s="7" t="s">
        <v>28</v>
      </c>
    </row>
    <row r="511" spans="1:14" x14ac:dyDescent="0.3">
      <c r="A511" s="3" t="s">
        <v>594</v>
      </c>
      <c r="B511" s="3" t="s">
        <v>25</v>
      </c>
      <c r="C511" s="3">
        <v>1</v>
      </c>
      <c r="D511" s="6">
        <v>52.1</v>
      </c>
      <c r="E511" s="6">
        <v>52.1</v>
      </c>
      <c r="F511" s="5">
        <v>45679</v>
      </c>
      <c r="G511" s="5">
        <v>45681</v>
      </c>
      <c r="H511" s="3" t="s">
        <v>31</v>
      </c>
      <c r="I511" s="4" t="s">
        <v>75</v>
      </c>
      <c r="J511" s="3">
        <v>3</v>
      </c>
      <c r="K511" s="3" t="s">
        <v>67</v>
      </c>
      <c r="L511" s="3">
        <v>2</v>
      </c>
      <c r="M511" s="3">
        <v>4</v>
      </c>
      <c r="N511" s="3" t="s">
        <v>33</v>
      </c>
    </row>
    <row r="512" spans="1:14" x14ac:dyDescent="0.3">
      <c r="A512" s="7" t="s">
        <v>595</v>
      </c>
      <c r="B512" s="7" t="s">
        <v>81</v>
      </c>
      <c r="C512" s="7">
        <v>3</v>
      </c>
      <c r="D512" s="10">
        <v>59.8</v>
      </c>
      <c r="E512" s="10">
        <v>179.4</v>
      </c>
      <c r="F512" s="9">
        <v>45679</v>
      </c>
      <c r="G512" s="9">
        <v>45681</v>
      </c>
      <c r="H512" s="7" t="s">
        <v>31</v>
      </c>
      <c r="I512" s="8" t="s">
        <v>75</v>
      </c>
      <c r="J512" s="7">
        <v>3</v>
      </c>
      <c r="K512" s="7" t="s">
        <v>67</v>
      </c>
      <c r="L512" s="7">
        <v>2</v>
      </c>
      <c r="M512" s="7">
        <v>4</v>
      </c>
      <c r="N512" s="7" t="s">
        <v>33</v>
      </c>
    </row>
    <row r="513" spans="1:14" x14ac:dyDescent="0.3">
      <c r="A513" s="3" t="s">
        <v>596</v>
      </c>
      <c r="B513" s="3" t="s">
        <v>35</v>
      </c>
      <c r="C513" s="3">
        <v>4</v>
      </c>
      <c r="D513" s="6">
        <v>83.3</v>
      </c>
      <c r="E513" s="6">
        <v>333.2</v>
      </c>
      <c r="F513" s="5">
        <v>45679</v>
      </c>
      <c r="G513" s="5">
        <v>45679</v>
      </c>
      <c r="H513" s="3"/>
      <c r="I513" s="4" t="s">
        <v>45</v>
      </c>
      <c r="J513" s="3">
        <v>4</v>
      </c>
      <c r="K513" s="3" t="s">
        <v>67</v>
      </c>
      <c r="L513" s="3">
        <v>0</v>
      </c>
      <c r="M513" s="3">
        <v>4</v>
      </c>
      <c r="N513" s="3" t="s">
        <v>23</v>
      </c>
    </row>
    <row r="514" spans="1:14" x14ac:dyDescent="0.3">
      <c r="A514" s="7" t="s">
        <v>597</v>
      </c>
      <c r="B514" s="7" t="s">
        <v>129</v>
      </c>
      <c r="C514" s="7">
        <v>12</v>
      </c>
      <c r="D514" s="10">
        <v>41.3</v>
      </c>
      <c r="E514" s="10">
        <v>495.6</v>
      </c>
      <c r="F514" s="9">
        <v>45679</v>
      </c>
      <c r="G514" s="9">
        <v>45680</v>
      </c>
      <c r="H514" s="7" t="s">
        <v>31</v>
      </c>
      <c r="I514" s="8" t="s">
        <v>40</v>
      </c>
      <c r="J514" s="7">
        <v>4</v>
      </c>
      <c r="K514" s="7" t="s">
        <v>67</v>
      </c>
      <c r="L514" s="7">
        <v>1</v>
      </c>
      <c r="M514" s="7">
        <v>4</v>
      </c>
      <c r="N514" s="7" t="s">
        <v>33</v>
      </c>
    </row>
    <row r="515" spans="1:14" x14ac:dyDescent="0.3">
      <c r="A515" s="3" t="s">
        <v>598</v>
      </c>
      <c r="B515" s="3" t="s">
        <v>49</v>
      </c>
      <c r="C515" s="3">
        <v>5</v>
      </c>
      <c r="D515" s="6">
        <v>16</v>
      </c>
      <c r="E515" s="6">
        <v>80</v>
      </c>
      <c r="F515" s="5">
        <v>45679</v>
      </c>
      <c r="G515" s="5">
        <v>45681</v>
      </c>
      <c r="H515" s="3" t="s">
        <v>26</v>
      </c>
      <c r="I515" s="4" t="s">
        <v>75</v>
      </c>
      <c r="J515" s="3">
        <v>3</v>
      </c>
      <c r="K515" s="3" t="s">
        <v>77</v>
      </c>
      <c r="L515" s="3">
        <v>2</v>
      </c>
      <c r="M515" s="3">
        <v>4</v>
      </c>
      <c r="N515" s="3" t="s">
        <v>28</v>
      </c>
    </row>
    <row r="516" spans="1:14" x14ac:dyDescent="0.3">
      <c r="A516" s="7" t="s">
        <v>599</v>
      </c>
      <c r="B516" s="7" t="s">
        <v>59</v>
      </c>
      <c r="C516" s="7">
        <v>2</v>
      </c>
      <c r="D516" s="10">
        <v>20.8</v>
      </c>
      <c r="E516" s="10">
        <v>41.6</v>
      </c>
      <c r="F516" s="9">
        <v>45680</v>
      </c>
      <c r="G516" s="9">
        <v>45682</v>
      </c>
      <c r="H516" s="7" t="s">
        <v>26</v>
      </c>
      <c r="I516" s="8" t="s">
        <v>21</v>
      </c>
      <c r="J516" s="7">
        <v>5</v>
      </c>
      <c r="K516" s="7" t="s">
        <v>82</v>
      </c>
      <c r="L516" s="7">
        <v>2</v>
      </c>
      <c r="M516" s="7">
        <v>4</v>
      </c>
      <c r="N516" s="7" t="s">
        <v>28</v>
      </c>
    </row>
    <row r="517" spans="1:14" x14ac:dyDescent="0.3">
      <c r="A517" s="3" t="s">
        <v>600</v>
      </c>
      <c r="B517" s="3" t="s">
        <v>49</v>
      </c>
      <c r="C517" s="3">
        <v>28</v>
      </c>
      <c r="D517" s="6">
        <v>27.1</v>
      </c>
      <c r="E517" s="6">
        <v>758.80000000000007</v>
      </c>
      <c r="F517" s="5">
        <v>45680</v>
      </c>
      <c r="G517" s="5">
        <v>45681</v>
      </c>
      <c r="H517" s="3"/>
      <c r="I517" s="4" t="s">
        <v>56</v>
      </c>
      <c r="J517" s="3">
        <v>5</v>
      </c>
      <c r="K517" s="3" t="s">
        <v>82</v>
      </c>
      <c r="L517" s="3">
        <v>1</v>
      </c>
      <c r="M517" s="3">
        <v>4</v>
      </c>
      <c r="N517" s="3" t="s">
        <v>23</v>
      </c>
    </row>
    <row r="518" spans="1:14" x14ac:dyDescent="0.3">
      <c r="A518" s="7" t="s">
        <v>601</v>
      </c>
      <c r="B518" s="7" t="s">
        <v>59</v>
      </c>
      <c r="C518" s="7">
        <v>2</v>
      </c>
      <c r="D518" s="10">
        <v>38.9</v>
      </c>
      <c r="E518" s="10">
        <v>77.8</v>
      </c>
      <c r="F518" s="9">
        <v>45680</v>
      </c>
      <c r="G518" s="9">
        <v>45682</v>
      </c>
      <c r="H518" s="7" t="s">
        <v>31</v>
      </c>
      <c r="I518" s="8" t="s">
        <v>21</v>
      </c>
      <c r="J518" s="7">
        <v>4</v>
      </c>
      <c r="K518" s="7" t="s">
        <v>114</v>
      </c>
      <c r="L518" s="7">
        <v>2</v>
      </c>
      <c r="M518" s="7">
        <v>4</v>
      </c>
      <c r="N518" s="7" t="s">
        <v>33</v>
      </c>
    </row>
    <row r="519" spans="1:14" x14ac:dyDescent="0.3">
      <c r="A519" s="3" t="s">
        <v>602</v>
      </c>
      <c r="B519" s="3" t="s">
        <v>20</v>
      </c>
      <c r="C519" s="3">
        <v>2</v>
      </c>
      <c r="D519" s="6">
        <v>10.8</v>
      </c>
      <c r="E519" s="6">
        <v>21.6</v>
      </c>
      <c r="F519" s="5">
        <v>45680</v>
      </c>
      <c r="G519" s="5">
        <v>45683</v>
      </c>
      <c r="H519" s="3" t="s">
        <v>31</v>
      </c>
      <c r="I519" s="4" t="s">
        <v>40</v>
      </c>
      <c r="J519" s="3">
        <v>5</v>
      </c>
      <c r="K519" s="3" t="s">
        <v>121</v>
      </c>
      <c r="L519" s="3">
        <v>3</v>
      </c>
      <c r="M519" s="3">
        <v>4</v>
      </c>
      <c r="N519" s="3" t="s">
        <v>33</v>
      </c>
    </row>
    <row r="520" spans="1:14" x14ac:dyDescent="0.3">
      <c r="A520" s="7" t="s">
        <v>603</v>
      </c>
      <c r="B520" s="7" t="s">
        <v>37</v>
      </c>
      <c r="C520" s="7">
        <v>13</v>
      </c>
      <c r="D520" s="10">
        <v>48.4</v>
      </c>
      <c r="E520" s="10">
        <v>629.19999999999993</v>
      </c>
      <c r="F520" s="9">
        <v>45680</v>
      </c>
      <c r="G520" s="9">
        <v>45684</v>
      </c>
      <c r="H520" s="7" t="s">
        <v>31</v>
      </c>
      <c r="I520" s="8" t="s">
        <v>21</v>
      </c>
      <c r="J520" s="7">
        <v>4</v>
      </c>
      <c r="K520" s="7" t="s">
        <v>121</v>
      </c>
      <c r="L520" s="7">
        <v>4</v>
      </c>
      <c r="M520" s="7">
        <v>4</v>
      </c>
      <c r="N520" s="7" t="s">
        <v>33</v>
      </c>
    </row>
    <row r="521" spans="1:14" x14ac:dyDescent="0.3">
      <c r="A521" s="3" t="s">
        <v>604</v>
      </c>
      <c r="B521" s="3" t="s">
        <v>37</v>
      </c>
      <c r="C521" s="3">
        <v>3</v>
      </c>
      <c r="D521" s="6">
        <v>29.2</v>
      </c>
      <c r="E521" s="6">
        <v>87.6</v>
      </c>
      <c r="F521" s="5">
        <v>45680</v>
      </c>
      <c r="G521" s="5">
        <v>45683</v>
      </c>
      <c r="H521" s="3" t="s">
        <v>31</v>
      </c>
      <c r="I521" s="4" t="s">
        <v>40</v>
      </c>
      <c r="J521" s="3">
        <v>3</v>
      </c>
      <c r="K521" s="3" t="s">
        <v>32</v>
      </c>
      <c r="L521" s="3">
        <v>3</v>
      </c>
      <c r="M521" s="3">
        <v>4</v>
      </c>
      <c r="N521" s="3" t="s">
        <v>33</v>
      </c>
    </row>
    <row r="522" spans="1:14" x14ac:dyDescent="0.3">
      <c r="A522" s="7" t="s">
        <v>605</v>
      </c>
      <c r="B522" s="7" t="s">
        <v>37</v>
      </c>
      <c r="C522" s="7">
        <v>2</v>
      </c>
      <c r="D522" s="10">
        <v>25.1</v>
      </c>
      <c r="E522" s="10">
        <v>50.2</v>
      </c>
      <c r="F522" s="9">
        <v>45680</v>
      </c>
      <c r="G522" s="9">
        <v>45681</v>
      </c>
      <c r="H522" s="7" t="s">
        <v>26</v>
      </c>
      <c r="I522" s="8" t="s">
        <v>21</v>
      </c>
      <c r="J522" s="7">
        <v>3</v>
      </c>
      <c r="K522" s="7" t="s">
        <v>32</v>
      </c>
      <c r="L522" s="7">
        <v>1</v>
      </c>
      <c r="M522" s="7">
        <v>4</v>
      </c>
      <c r="N522" s="7" t="s">
        <v>28</v>
      </c>
    </row>
    <row r="523" spans="1:14" x14ac:dyDescent="0.3">
      <c r="A523" s="3" t="s">
        <v>606</v>
      </c>
      <c r="B523" s="3" t="s">
        <v>47</v>
      </c>
      <c r="C523" s="3">
        <v>3</v>
      </c>
      <c r="D523" s="6">
        <v>65.599999999999994</v>
      </c>
      <c r="E523" s="6">
        <v>196.8</v>
      </c>
      <c r="F523" s="5">
        <v>45680</v>
      </c>
      <c r="G523" s="5">
        <v>45680</v>
      </c>
      <c r="H523" s="3" t="s">
        <v>31</v>
      </c>
      <c r="I523" s="4" t="s">
        <v>45</v>
      </c>
      <c r="J523" s="3">
        <v>3</v>
      </c>
      <c r="K523" s="3" t="s">
        <v>38</v>
      </c>
      <c r="L523" s="3">
        <v>0</v>
      </c>
      <c r="M523" s="3">
        <v>4</v>
      </c>
      <c r="N523" s="3" t="s">
        <v>33</v>
      </c>
    </row>
    <row r="524" spans="1:14" x14ac:dyDescent="0.3">
      <c r="A524" s="7" t="s">
        <v>607</v>
      </c>
      <c r="B524" s="7" t="s">
        <v>30</v>
      </c>
      <c r="C524" s="7">
        <v>2</v>
      </c>
      <c r="D524" s="10">
        <v>57.3</v>
      </c>
      <c r="E524" s="10">
        <v>114.6</v>
      </c>
      <c r="F524" s="9">
        <v>45680</v>
      </c>
      <c r="G524" s="9">
        <v>45680</v>
      </c>
      <c r="H524" s="7"/>
      <c r="I524" s="8" t="s">
        <v>21</v>
      </c>
      <c r="J524" s="7">
        <v>4</v>
      </c>
      <c r="K524" s="7" t="s">
        <v>38</v>
      </c>
      <c r="L524" s="7">
        <v>0</v>
      </c>
      <c r="M524" s="7">
        <v>4</v>
      </c>
      <c r="N524" s="7" t="s">
        <v>23</v>
      </c>
    </row>
    <row r="525" spans="1:14" x14ac:dyDescent="0.3">
      <c r="A525" s="3" t="s">
        <v>608</v>
      </c>
      <c r="B525" s="3" t="s">
        <v>51</v>
      </c>
      <c r="C525" s="3">
        <v>4</v>
      </c>
      <c r="D525" s="6">
        <v>22.4</v>
      </c>
      <c r="E525" s="6">
        <v>89.6</v>
      </c>
      <c r="F525" s="5">
        <v>45680</v>
      </c>
      <c r="G525" s="5">
        <v>45681</v>
      </c>
      <c r="H525" s="3" t="s">
        <v>31</v>
      </c>
      <c r="I525" s="4" t="s">
        <v>45</v>
      </c>
      <c r="J525" s="3">
        <v>5</v>
      </c>
      <c r="K525" s="3" t="s">
        <v>38</v>
      </c>
      <c r="L525" s="3">
        <v>1</v>
      </c>
      <c r="M525" s="3">
        <v>4</v>
      </c>
      <c r="N525" s="3" t="s">
        <v>33</v>
      </c>
    </row>
    <row r="526" spans="1:14" x14ac:dyDescent="0.3">
      <c r="A526" s="7" t="s">
        <v>609</v>
      </c>
      <c r="B526" s="7" t="s">
        <v>74</v>
      </c>
      <c r="C526" s="7">
        <v>9</v>
      </c>
      <c r="D526" s="10">
        <v>45.7</v>
      </c>
      <c r="E526" s="10">
        <v>411.3</v>
      </c>
      <c r="F526" s="9">
        <v>45680</v>
      </c>
      <c r="G526" s="9">
        <v>45681</v>
      </c>
      <c r="H526" s="7" t="s">
        <v>31</v>
      </c>
      <c r="I526" s="8" t="s">
        <v>21</v>
      </c>
      <c r="J526" s="7">
        <v>4</v>
      </c>
      <c r="K526" s="7" t="s">
        <v>38</v>
      </c>
      <c r="L526" s="7">
        <v>1</v>
      </c>
      <c r="M526" s="7">
        <v>4</v>
      </c>
      <c r="N526" s="7" t="s">
        <v>33</v>
      </c>
    </row>
    <row r="527" spans="1:14" x14ac:dyDescent="0.3">
      <c r="A527" s="3" t="s">
        <v>610</v>
      </c>
      <c r="B527" s="3" t="s">
        <v>49</v>
      </c>
      <c r="C527" s="3">
        <v>2</v>
      </c>
      <c r="D527" s="6">
        <v>29.3</v>
      </c>
      <c r="E527" s="6">
        <v>58.6</v>
      </c>
      <c r="F527" s="5">
        <v>45680</v>
      </c>
      <c r="G527" s="5">
        <v>45681</v>
      </c>
      <c r="H527" s="3" t="s">
        <v>26</v>
      </c>
      <c r="I527" s="4" t="s">
        <v>40</v>
      </c>
      <c r="J527" s="3">
        <v>4</v>
      </c>
      <c r="K527" s="3" t="s">
        <v>38</v>
      </c>
      <c r="L527" s="3">
        <v>1</v>
      </c>
      <c r="M527" s="3">
        <v>4</v>
      </c>
      <c r="N527" s="3" t="s">
        <v>28</v>
      </c>
    </row>
    <row r="528" spans="1:14" x14ac:dyDescent="0.3">
      <c r="A528" s="7" t="s">
        <v>611</v>
      </c>
      <c r="B528" s="7" t="s">
        <v>152</v>
      </c>
      <c r="C528" s="7">
        <v>22</v>
      </c>
      <c r="D528" s="10">
        <v>74</v>
      </c>
      <c r="E528" s="10">
        <v>1628</v>
      </c>
      <c r="F528" s="9">
        <v>45680</v>
      </c>
      <c r="G528" s="9">
        <v>45681</v>
      </c>
      <c r="H528" s="7" t="s">
        <v>26</v>
      </c>
      <c r="I528" s="8" t="s">
        <v>21</v>
      </c>
      <c r="J528" s="7">
        <v>5</v>
      </c>
      <c r="K528" s="7" t="s">
        <v>38</v>
      </c>
      <c r="L528" s="7">
        <v>1</v>
      </c>
      <c r="M528" s="7">
        <v>4</v>
      </c>
      <c r="N528" s="7" t="s">
        <v>28</v>
      </c>
    </row>
    <row r="529" spans="1:14" x14ac:dyDescent="0.3">
      <c r="A529" s="3" t="s">
        <v>612</v>
      </c>
      <c r="B529" s="3" t="s">
        <v>86</v>
      </c>
      <c r="C529" s="3">
        <v>2</v>
      </c>
      <c r="D529" s="6">
        <v>39.200000000000003</v>
      </c>
      <c r="E529" s="6">
        <v>78.400000000000006</v>
      </c>
      <c r="F529" s="5">
        <v>45680</v>
      </c>
      <c r="G529" s="5">
        <v>45682</v>
      </c>
      <c r="H529" s="3" t="s">
        <v>31</v>
      </c>
      <c r="I529" s="4" t="s">
        <v>40</v>
      </c>
      <c r="J529" s="3">
        <v>4</v>
      </c>
      <c r="K529" s="3" t="s">
        <v>38</v>
      </c>
      <c r="L529" s="3">
        <v>2</v>
      </c>
      <c r="M529" s="3">
        <v>4</v>
      </c>
      <c r="N529" s="3" t="s">
        <v>33</v>
      </c>
    </row>
    <row r="530" spans="1:14" x14ac:dyDescent="0.3">
      <c r="A530" s="7" t="s">
        <v>613</v>
      </c>
      <c r="B530" s="7" t="s">
        <v>37</v>
      </c>
      <c r="C530" s="7">
        <v>17</v>
      </c>
      <c r="D530" s="10">
        <v>62.7</v>
      </c>
      <c r="E530" s="10">
        <v>1065.9000000000001</v>
      </c>
      <c r="F530" s="9">
        <v>45680</v>
      </c>
      <c r="G530" s="9">
        <v>45681</v>
      </c>
      <c r="H530" s="7" t="s">
        <v>31</v>
      </c>
      <c r="I530" s="8" t="s">
        <v>45</v>
      </c>
      <c r="J530" s="7">
        <v>3</v>
      </c>
      <c r="K530" s="7" t="s">
        <v>38</v>
      </c>
      <c r="L530" s="7">
        <v>1</v>
      </c>
      <c r="M530" s="7">
        <v>4</v>
      </c>
      <c r="N530" s="7" t="s">
        <v>33</v>
      </c>
    </row>
    <row r="531" spans="1:14" x14ac:dyDescent="0.3">
      <c r="A531" s="3" t="s">
        <v>614</v>
      </c>
      <c r="B531" s="3" t="s">
        <v>59</v>
      </c>
      <c r="C531" s="3">
        <v>2</v>
      </c>
      <c r="D531" s="6">
        <v>60.1</v>
      </c>
      <c r="E531" s="6">
        <v>120.2</v>
      </c>
      <c r="F531" s="5">
        <v>45680</v>
      </c>
      <c r="G531" s="5">
        <v>45681</v>
      </c>
      <c r="H531" s="3" t="s">
        <v>31</v>
      </c>
      <c r="I531" s="4" t="s">
        <v>56</v>
      </c>
      <c r="J531" s="3">
        <v>4</v>
      </c>
      <c r="K531" s="3" t="s">
        <v>38</v>
      </c>
      <c r="L531" s="3">
        <v>1</v>
      </c>
      <c r="M531" s="3">
        <v>4</v>
      </c>
      <c r="N531" s="3" t="s">
        <v>33</v>
      </c>
    </row>
    <row r="532" spans="1:14" x14ac:dyDescent="0.3">
      <c r="A532" s="7" t="s">
        <v>615</v>
      </c>
      <c r="B532" s="7" t="s">
        <v>20</v>
      </c>
      <c r="C532" s="7">
        <v>4</v>
      </c>
      <c r="D532" s="10">
        <v>11.2</v>
      </c>
      <c r="E532" s="10">
        <v>44.8</v>
      </c>
      <c r="F532" s="9">
        <v>45680</v>
      </c>
      <c r="G532" s="9">
        <v>45681</v>
      </c>
      <c r="H532" s="7" t="s">
        <v>31</v>
      </c>
      <c r="I532" s="8" t="s">
        <v>56</v>
      </c>
      <c r="J532" s="7">
        <v>3</v>
      </c>
      <c r="K532" s="7" t="s">
        <v>38</v>
      </c>
      <c r="L532" s="7">
        <v>1</v>
      </c>
      <c r="M532" s="7">
        <v>4</v>
      </c>
      <c r="N532" s="7" t="s">
        <v>33</v>
      </c>
    </row>
    <row r="533" spans="1:14" x14ac:dyDescent="0.3">
      <c r="A533" s="3" t="s">
        <v>616</v>
      </c>
      <c r="B533" s="3" t="s">
        <v>49</v>
      </c>
      <c r="C533" s="3">
        <v>2</v>
      </c>
      <c r="D533" s="6">
        <v>22.9</v>
      </c>
      <c r="E533" s="6">
        <v>45.8</v>
      </c>
      <c r="F533" s="5">
        <v>45680</v>
      </c>
      <c r="G533" s="5">
        <v>45681</v>
      </c>
      <c r="H533" s="3" t="s">
        <v>31</v>
      </c>
      <c r="I533" s="4" t="s">
        <v>21</v>
      </c>
      <c r="J533" s="3">
        <v>4</v>
      </c>
      <c r="K533" s="3" t="s">
        <v>60</v>
      </c>
      <c r="L533" s="3">
        <v>1</v>
      </c>
      <c r="M533" s="3">
        <v>4</v>
      </c>
      <c r="N533" s="3" t="s">
        <v>33</v>
      </c>
    </row>
    <row r="534" spans="1:14" x14ac:dyDescent="0.3">
      <c r="A534" s="7" t="s">
        <v>617</v>
      </c>
      <c r="B534" s="7" t="s">
        <v>25</v>
      </c>
      <c r="C534" s="7">
        <v>2</v>
      </c>
      <c r="D534" s="10">
        <v>37.6</v>
      </c>
      <c r="E534" s="10">
        <v>75.2</v>
      </c>
      <c r="F534" s="9">
        <v>45680</v>
      </c>
      <c r="G534" s="9">
        <v>45683</v>
      </c>
      <c r="H534" s="7" t="s">
        <v>31</v>
      </c>
      <c r="I534" s="8" t="s">
        <v>21</v>
      </c>
      <c r="J534" s="7">
        <v>4</v>
      </c>
      <c r="K534" s="7" t="s">
        <v>60</v>
      </c>
      <c r="L534" s="7">
        <v>3</v>
      </c>
      <c r="M534" s="7">
        <v>4</v>
      </c>
      <c r="N534" s="7" t="s">
        <v>33</v>
      </c>
    </row>
    <row r="535" spans="1:14" x14ac:dyDescent="0.3">
      <c r="A535" s="3" t="s">
        <v>618</v>
      </c>
      <c r="B535" s="3" t="s">
        <v>44</v>
      </c>
      <c r="C535" s="3">
        <v>1</v>
      </c>
      <c r="D535" s="6">
        <v>42.4</v>
      </c>
      <c r="E535" s="6">
        <v>42.4</v>
      </c>
      <c r="F535" s="5">
        <v>45680</v>
      </c>
      <c r="G535" s="5">
        <v>45681</v>
      </c>
      <c r="H535" s="3" t="s">
        <v>31</v>
      </c>
      <c r="I535" s="4" t="s">
        <v>56</v>
      </c>
      <c r="J535" s="3">
        <v>5</v>
      </c>
      <c r="K535" s="3" t="s">
        <v>60</v>
      </c>
      <c r="L535" s="3">
        <v>1</v>
      </c>
      <c r="M535" s="3">
        <v>4</v>
      </c>
      <c r="N535" s="3" t="s">
        <v>33</v>
      </c>
    </row>
    <row r="536" spans="1:14" x14ac:dyDescent="0.3">
      <c r="A536" s="7" t="s">
        <v>619</v>
      </c>
      <c r="B536" s="7" t="s">
        <v>49</v>
      </c>
      <c r="C536" s="7">
        <v>2</v>
      </c>
      <c r="D536" s="10">
        <v>19.600000000000001</v>
      </c>
      <c r="E536" s="10">
        <v>39.200000000000003</v>
      </c>
      <c r="F536" s="9">
        <v>45680</v>
      </c>
      <c r="G536" s="9">
        <v>45684</v>
      </c>
      <c r="H536" s="7" t="s">
        <v>31</v>
      </c>
      <c r="I536" s="8" t="s">
        <v>45</v>
      </c>
      <c r="J536" s="7">
        <v>4</v>
      </c>
      <c r="K536" s="7" t="s">
        <v>64</v>
      </c>
      <c r="L536" s="7">
        <v>4</v>
      </c>
      <c r="M536" s="7">
        <v>4</v>
      </c>
      <c r="N536" s="7" t="s">
        <v>33</v>
      </c>
    </row>
    <row r="537" spans="1:14" x14ac:dyDescent="0.3">
      <c r="A537" s="3" t="s">
        <v>620</v>
      </c>
      <c r="B537" s="3" t="s">
        <v>51</v>
      </c>
      <c r="C537" s="3">
        <v>1</v>
      </c>
      <c r="D537" s="6">
        <v>90.5</v>
      </c>
      <c r="E537" s="6">
        <v>90.5</v>
      </c>
      <c r="F537" s="5">
        <v>45680</v>
      </c>
      <c r="G537" s="5">
        <v>45683</v>
      </c>
      <c r="H537" s="3" t="s">
        <v>31</v>
      </c>
      <c r="I537" s="4" t="s">
        <v>45</v>
      </c>
      <c r="J537" s="3">
        <v>4</v>
      </c>
      <c r="K537" s="3" t="s">
        <v>64</v>
      </c>
      <c r="L537" s="3">
        <v>3</v>
      </c>
      <c r="M537" s="3">
        <v>4</v>
      </c>
      <c r="N537" s="3" t="s">
        <v>33</v>
      </c>
    </row>
    <row r="538" spans="1:14" x14ac:dyDescent="0.3">
      <c r="A538" s="7" t="s">
        <v>621</v>
      </c>
      <c r="B538" s="7" t="s">
        <v>134</v>
      </c>
      <c r="C538" s="7">
        <v>11</v>
      </c>
      <c r="D538" s="10">
        <v>33.9</v>
      </c>
      <c r="E538" s="10">
        <v>372.9</v>
      </c>
      <c r="F538" s="9">
        <v>45680</v>
      </c>
      <c r="G538" s="9">
        <v>45681</v>
      </c>
      <c r="H538" s="7" t="s">
        <v>26</v>
      </c>
      <c r="I538" s="8" t="s">
        <v>45</v>
      </c>
      <c r="J538" s="7">
        <v>3</v>
      </c>
      <c r="K538" s="7" t="s">
        <v>64</v>
      </c>
      <c r="L538" s="7">
        <v>1</v>
      </c>
      <c r="M538" s="7">
        <v>4</v>
      </c>
      <c r="N538" s="7" t="s">
        <v>28</v>
      </c>
    </row>
    <row r="539" spans="1:14" x14ac:dyDescent="0.3">
      <c r="A539" s="3" t="s">
        <v>622</v>
      </c>
      <c r="B539" s="3" t="s">
        <v>20</v>
      </c>
      <c r="C539" s="3">
        <v>2</v>
      </c>
      <c r="D539" s="6">
        <v>32.799999999999997</v>
      </c>
      <c r="E539" s="6">
        <v>65.599999999999994</v>
      </c>
      <c r="F539" s="5">
        <v>45680</v>
      </c>
      <c r="G539" s="5">
        <v>45682</v>
      </c>
      <c r="H539" s="3" t="s">
        <v>31</v>
      </c>
      <c r="I539" s="4" t="s">
        <v>75</v>
      </c>
      <c r="J539" s="3">
        <v>2</v>
      </c>
      <c r="K539" s="3" t="s">
        <v>67</v>
      </c>
      <c r="L539" s="3">
        <v>2</v>
      </c>
      <c r="M539" s="3">
        <v>4</v>
      </c>
      <c r="N539" s="3" t="s">
        <v>33</v>
      </c>
    </row>
    <row r="540" spans="1:14" x14ac:dyDescent="0.3">
      <c r="A540" s="7" t="s">
        <v>623</v>
      </c>
      <c r="B540" s="7" t="s">
        <v>129</v>
      </c>
      <c r="C540" s="7">
        <v>1</v>
      </c>
      <c r="D540" s="10">
        <v>49.9</v>
      </c>
      <c r="E540" s="10">
        <v>49.9</v>
      </c>
      <c r="F540" s="9">
        <v>45680</v>
      </c>
      <c r="G540" s="9">
        <v>45681</v>
      </c>
      <c r="H540" s="7" t="s">
        <v>26</v>
      </c>
      <c r="I540" s="8" t="s">
        <v>56</v>
      </c>
      <c r="J540" s="7">
        <v>3</v>
      </c>
      <c r="K540" s="7" t="s">
        <v>67</v>
      </c>
      <c r="L540" s="7">
        <v>1</v>
      </c>
      <c r="M540" s="7">
        <v>4</v>
      </c>
      <c r="N540" s="7" t="s">
        <v>28</v>
      </c>
    </row>
    <row r="541" spans="1:14" x14ac:dyDescent="0.3">
      <c r="A541" s="3" t="s">
        <v>624</v>
      </c>
      <c r="B541" s="3" t="s">
        <v>47</v>
      </c>
      <c r="C541" s="3">
        <v>5</v>
      </c>
      <c r="D541" s="6">
        <v>79.2</v>
      </c>
      <c r="E541" s="6">
        <v>396</v>
      </c>
      <c r="F541" s="5">
        <v>45680</v>
      </c>
      <c r="G541" s="5">
        <v>45681</v>
      </c>
      <c r="H541" s="3" t="s">
        <v>31</v>
      </c>
      <c r="I541" s="4" t="s">
        <v>75</v>
      </c>
      <c r="J541" s="3">
        <v>4</v>
      </c>
      <c r="K541" s="3" t="s">
        <v>67</v>
      </c>
      <c r="L541" s="3">
        <v>1</v>
      </c>
      <c r="M541" s="3">
        <v>4</v>
      </c>
      <c r="N541" s="3" t="s">
        <v>33</v>
      </c>
    </row>
    <row r="542" spans="1:14" x14ac:dyDescent="0.3">
      <c r="A542" s="7" t="s">
        <v>625</v>
      </c>
      <c r="B542" s="7" t="s">
        <v>49</v>
      </c>
      <c r="C542" s="7">
        <v>16</v>
      </c>
      <c r="D542" s="10">
        <v>19.5</v>
      </c>
      <c r="E542" s="10">
        <v>312</v>
      </c>
      <c r="F542" s="9">
        <v>45680</v>
      </c>
      <c r="G542" s="9">
        <v>45682</v>
      </c>
      <c r="H542" s="7" t="s">
        <v>26</v>
      </c>
      <c r="I542" s="8" t="s">
        <v>56</v>
      </c>
      <c r="J542" s="7">
        <v>5</v>
      </c>
      <c r="K542" s="7" t="s">
        <v>67</v>
      </c>
      <c r="L542" s="7">
        <v>2</v>
      </c>
      <c r="M542" s="7">
        <v>4</v>
      </c>
      <c r="N542" s="7" t="s">
        <v>28</v>
      </c>
    </row>
    <row r="543" spans="1:14" x14ac:dyDescent="0.3">
      <c r="A543" s="3" t="s">
        <v>626</v>
      </c>
      <c r="B543" s="3" t="s">
        <v>49</v>
      </c>
      <c r="C543" s="3">
        <v>4</v>
      </c>
      <c r="D543" s="6">
        <v>18</v>
      </c>
      <c r="E543" s="6">
        <v>72</v>
      </c>
      <c r="F543" s="5">
        <v>45680</v>
      </c>
      <c r="G543" s="5">
        <v>45681</v>
      </c>
      <c r="H543" s="3" t="s">
        <v>26</v>
      </c>
      <c r="I543" s="4" t="s">
        <v>40</v>
      </c>
      <c r="J543" s="3">
        <v>4</v>
      </c>
      <c r="K543" s="3" t="s">
        <v>79</v>
      </c>
      <c r="L543" s="3">
        <v>1</v>
      </c>
      <c r="M543" s="3">
        <v>4</v>
      </c>
      <c r="N543" s="3" t="s">
        <v>28</v>
      </c>
    </row>
    <row r="544" spans="1:14" x14ac:dyDescent="0.3">
      <c r="A544" s="7" t="s">
        <v>627</v>
      </c>
      <c r="B544" s="7" t="s">
        <v>51</v>
      </c>
      <c r="C544" s="7">
        <v>3</v>
      </c>
      <c r="D544" s="10">
        <v>45.9</v>
      </c>
      <c r="E544" s="10">
        <v>137.69999999999999</v>
      </c>
      <c r="F544" s="9">
        <v>45680</v>
      </c>
      <c r="G544" s="9">
        <v>45682</v>
      </c>
      <c r="H544" s="7" t="s">
        <v>31</v>
      </c>
      <c r="I544" s="8" t="s">
        <v>40</v>
      </c>
      <c r="J544" s="7">
        <v>3</v>
      </c>
      <c r="K544" s="7" t="s">
        <v>79</v>
      </c>
      <c r="L544" s="7">
        <v>2</v>
      </c>
      <c r="M544" s="7">
        <v>4</v>
      </c>
      <c r="N544" s="7" t="s">
        <v>33</v>
      </c>
    </row>
    <row r="545" spans="1:14" x14ac:dyDescent="0.3">
      <c r="A545" s="3" t="s">
        <v>628</v>
      </c>
      <c r="B545" s="3" t="s">
        <v>72</v>
      </c>
      <c r="C545" s="3">
        <v>1</v>
      </c>
      <c r="D545" s="6">
        <v>41.2</v>
      </c>
      <c r="E545" s="6">
        <v>41.2</v>
      </c>
      <c r="F545" s="5">
        <v>45680</v>
      </c>
      <c r="G545" s="5">
        <v>45682</v>
      </c>
      <c r="H545" s="3" t="s">
        <v>31</v>
      </c>
      <c r="I545" s="4" t="s">
        <v>40</v>
      </c>
      <c r="J545" s="3">
        <v>5</v>
      </c>
      <c r="K545" s="3" t="s">
        <v>82</v>
      </c>
      <c r="L545" s="3">
        <v>2</v>
      </c>
      <c r="M545" s="3">
        <v>4</v>
      </c>
      <c r="N545" s="3" t="s">
        <v>33</v>
      </c>
    </row>
    <row r="546" spans="1:14" x14ac:dyDescent="0.3">
      <c r="A546" s="7" t="s">
        <v>629</v>
      </c>
      <c r="B546" s="7" t="s">
        <v>30</v>
      </c>
      <c r="C546" s="7">
        <v>10</v>
      </c>
      <c r="D546" s="10">
        <v>167.2</v>
      </c>
      <c r="E546" s="10">
        <v>1672</v>
      </c>
      <c r="F546" s="9">
        <v>45680</v>
      </c>
      <c r="G546" s="9">
        <v>45682</v>
      </c>
      <c r="H546" s="7" t="s">
        <v>31</v>
      </c>
      <c r="I546" s="8" t="s">
        <v>45</v>
      </c>
      <c r="J546" s="7">
        <v>5</v>
      </c>
      <c r="K546" s="7" t="s">
        <v>315</v>
      </c>
      <c r="L546" s="7">
        <v>2</v>
      </c>
      <c r="M546" s="7">
        <v>4</v>
      </c>
      <c r="N546" s="7" t="s">
        <v>33</v>
      </c>
    </row>
    <row r="547" spans="1:14" x14ac:dyDescent="0.3">
      <c r="A547" s="3" t="s">
        <v>630</v>
      </c>
      <c r="B547" s="3" t="s">
        <v>44</v>
      </c>
      <c r="C547" s="3">
        <v>30</v>
      </c>
      <c r="D547" s="6">
        <v>74.5</v>
      </c>
      <c r="E547" s="6">
        <v>2235</v>
      </c>
      <c r="F547" s="5">
        <v>45681</v>
      </c>
      <c r="G547" s="5">
        <v>45684</v>
      </c>
      <c r="H547" s="3" t="s">
        <v>31</v>
      </c>
      <c r="I547" s="4" t="s">
        <v>40</v>
      </c>
      <c r="J547" s="3">
        <v>5</v>
      </c>
      <c r="K547" s="3" t="s">
        <v>84</v>
      </c>
      <c r="L547" s="3">
        <v>3</v>
      </c>
      <c r="M547" s="3">
        <v>4</v>
      </c>
      <c r="N547" s="3" t="s">
        <v>33</v>
      </c>
    </row>
    <row r="548" spans="1:14" x14ac:dyDescent="0.3">
      <c r="A548" s="7" t="s">
        <v>631</v>
      </c>
      <c r="B548" s="7" t="s">
        <v>47</v>
      </c>
      <c r="C548" s="7">
        <v>4</v>
      </c>
      <c r="D548" s="10">
        <v>39.299999999999997</v>
      </c>
      <c r="E548" s="10">
        <v>157.19999999999999</v>
      </c>
      <c r="F548" s="9">
        <v>45681</v>
      </c>
      <c r="G548" s="9">
        <v>45682</v>
      </c>
      <c r="H548" s="7"/>
      <c r="I548" s="8" t="s">
        <v>45</v>
      </c>
      <c r="J548" s="7">
        <v>4</v>
      </c>
      <c r="K548" s="7" t="s">
        <v>116</v>
      </c>
      <c r="L548" s="7">
        <v>1</v>
      </c>
      <c r="M548" s="7">
        <v>4</v>
      </c>
      <c r="N548" s="7" t="s">
        <v>23</v>
      </c>
    </row>
    <row r="549" spans="1:14" x14ac:dyDescent="0.3">
      <c r="A549" s="3" t="s">
        <v>632</v>
      </c>
      <c r="B549" s="3" t="s">
        <v>51</v>
      </c>
      <c r="C549" s="3">
        <v>1</v>
      </c>
      <c r="D549" s="6">
        <v>68.5</v>
      </c>
      <c r="E549" s="6">
        <v>68.5</v>
      </c>
      <c r="F549" s="5">
        <v>45681</v>
      </c>
      <c r="G549" s="5">
        <v>45684</v>
      </c>
      <c r="H549" s="3" t="s">
        <v>26</v>
      </c>
      <c r="I549" s="4" t="s">
        <v>40</v>
      </c>
      <c r="J549" s="3">
        <v>5</v>
      </c>
      <c r="K549" s="3" t="s">
        <v>84</v>
      </c>
      <c r="L549" s="3">
        <v>3</v>
      </c>
      <c r="M549" s="3">
        <v>4</v>
      </c>
      <c r="N549" s="3" t="s">
        <v>28</v>
      </c>
    </row>
    <row r="550" spans="1:14" x14ac:dyDescent="0.3">
      <c r="A550" s="7" t="s">
        <v>633</v>
      </c>
      <c r="B550" s="7" t="s">
        <v>20</v>
      </c>
      <c r="C550" s="7">
        <v>3</v>
      </c>
      <c r="D550" s="10">
        <v>22.5</v>
      </c>
      <c r="E550" s="10">
        <v>67.5</v>
      </c>
      <c r="F550" s="9">
        <v>45681</v>
      </c>
      <c r="G550" s="9">
        <v>45681</v>
      </c>
      <c r="H550" s="7" t="s">
        <v>31</v>
      </c>
      <c r="I550" s="8" t="s">
        <v>75</v>
      </c>
      <c r="J550" s="7">
        <v>4</v>
      </c>
      <c r="K550" s="7" t="s">
        <v>87</v>
      </c>
      <c r="L550" s="7">
        <v>0</v>
      </c>
      <c r="M550" s="7">
        <v>4</v>
      </c>
      <c r="N550" s="7" t="s">
        <v>33</v>
      </c>
    </row>
    <row r="551" spans="1:14" x14ac:dyDescent="0.3">
      <c r="A551" s="3" t="s">
        <v>634</v>
      </c>
      <c r="B551" s="3" t="s">
        <v>25</v>
      </c>
      <c r="C551" s="3">
        <v>1</v>
      </c>
      <c r="D551" s="6">
        <v>48</v>
      </c>
      <c r="E551" s="6">
        <v>48</v>
      </c>
      <c r="F551" s="5">
        <v>45681</v>
      </c>
      <c r="G551" s="5">
        <v>45682</v>
      </c>
      <c r="H551" s="3" t="s">
        <v>94</v>
      </c>
      <c r="I551" s="4" t="s">
        <v>75</v>
      </c>
      <c r="J551" s="3">
        <v>3</v>
      </c>
      <c r="K551" s="3" t="s">
        <v>153</v>
      </c>
      <c r="L551" s="3">
        <v>1</v>
      </c>
      <c r="M551" s="3">
        <v>4</v>
      </c>
      <c r="N551" s="3" t="s">
        <v>95</v>
      </c>
    </row>
    <row r="552" spans="1:14" x14ac:dyDescent="0.3">
      <c r="A552" s="7" t="s">
        <v>635</v>
      </c>
      <c r="B552" s="7" t="s">
        <v>44</v>
      </c>
      <c r="C552" s="7">
        <v>1</v>
      </c>
      <c r="D552" s="10">
        <v>94</v>
      </c>
      <c r="E552" s="10">
        <v>94</v>
      </c>
      <c r="F552" s="9">
        <v>45681</v>
      </c>
      <c r="G552" s="9">
        <v>45682</v>
      </c>
      <c r="H552" s="7" t="s">
        <v>26</v>
      </c>
      <c r="I552" s="8" t="s">
        <v>56</v>
      </c>
      <c r="J552" s="7">
        <v>3</v>
      </c>
      <c r="K552" s="7" t="s">
        <v>27</v>
      </c>
      <c r="L552" s="7">
        <v>1</v>
      </c>
      <c r="M552" s="7">
        <v>4</v>
      </c>
      <c r="N552" s="7" t="s">
        <v>28</v>
      </c>
    </row>
    <row r="553" spans="1:14" x14ac:dyDescent="0.3">
      <c r="A553" s="3" t="s">
        <v>636</v>
      </c>
      <c r="B553" s="3" t="s">
        <v>49</v>
      </c>
      <c r="C553" s="3">
        <v>3</v>
      </c>
      <c r="D553" s="6">
        <v>21.9</v>
      </c>
      <c r="E553" s="6">
        <v>65.699999999999989</v>
      </c>
      <c r="F553" s="5">
        <v>45681</v>
      </c>
      <c r="G553" s="5">
        <v>45682</v>
      </c>
      <c r="H553" s="3" t="s">
        <v>31</v>
      </c>
      <c r="I553" s="4" t="s">
        <v>21</v>
      </c>
      <c r="J553" s="3">
        <v>4</v>
      </c>
      <c r="K553" s="3" t="s">
        <v>119</v>
      </c>
      <c r="L553" s="3">
        <v>1</v>
      </c>
      <c r="M553" s="3">
        <v>4</v>
      </c>
      <c r="N553" s="3" t="s">
        <v>33</v>
      </c>
    </row>
    <row r="554" spans="1:14" x14ac:dyDescent="0.3">
      <c r="A554" s="7" t="s">
        <v>637</v>
      </c>
      <c r="B554" s="7" t="s">
        <v>44</v>
      </c>
      <c r="C554" s="7">
        <v>7</v>
      </c>
      <c r="D554" s="10">
        <v>64.900000000000006</v>
      </c>
      <c r="E554" s="10">
        <v>454.30000000000013</v>
      </c>
      <c r="F554" s="9">
        <v>45681</v>
      </c>
      <c r="G554" s="9">
        <v>45682</v>
      </c>
      <c r="H554" s="7" t="s">
        <v>31</v>
      </c>
      <c r="I554" s="8" t="s">
        <v>21</v>
      </c>
      <c r="J554" s="7">
        <v>4</v>
      </c>
      <c r="K554" s="7" t="s">
        <v>38</v>
      </c>
      <c r="L554" s="7">
        <v>1</v>
      </c>
      <c r="M554" s="7">
        <v>4</v>
      </c>
      <c r="N554" s="7" t="s">
        <v>33</v>
      </c>
    </row>
    <row r="555" spans="1:14" x14ac:dyDescent="0.3">
      <c r="A555" s="3" t="s">
        <v>638</v>
      </c>
      <c r="B555" s="3" t="s">
        <v>74</v>
      </c>
      <c r="C555" s="3">
        <v>1</v>
      </c>
      <c r="D555" s="6">
        <v>52.9</v>
      </c>
      <c r="E555" s="6">
        <v>52.9</v>
      </c>
      <c r="F555" s="5">
        <v>45681</v>
      </c>
      <c r="G555" s="5">
        <v>45681</v>
      </c>
      <c r="H555" s="3" t="s">
        <v>31</v>
      </c>
      <c r="I555" s="4" t="s">
        <v>40</v>
      </c>
      <c r="J555" s="3">
        <v>3</v>
      </c>
      <c r="K555" s="3" t="s">
        <v>38</v>
      </c>
      <c r="L555" s="3">
        <v>0</v>
      </c>
      <c r="M555" s="3">
        <v>4</v>
      </c>
      <c r="N555" s="3" t="s">
        <v>33</v>
      </c>
    </row>
    <row r="556" spans="1:14" x14ac:dyDescent="0.3">
      <c r="A556" s="7" t="s">
        <v>639</v>
      </c>
      <c r="B556" s="7" t="s">
        <v>49</v>
      </c>
      <c r="C556" s="7">
        <v>3</v>
      </c>
      <c r="D556" s="10">
        <v>25.5</v>
      </c>
      <c r="E556" s="10">
        <v>76.5</v>
      </c>
      <c r="F556" s="9">
        <v>45681</v>
      </c>
      <c r="G556" s="9">
        <v>45682</v>
      </c>
      <c r="H556" s="7" t="s">
        <v>31</v>
      </c>
      <c r="I556" s="8" t="s">
        <v>40</v>
      </c>
      <c r="J556" s="7">
        <v>5</v>
      </c>
      <c r="K556" s="7" t="s">
        <v>38</v>
      </c>
      <c r="L556" s="7">
        <v>1</v>
      </c>
      <c r="M556" s="7">
        <v>4</v>
      </c>
      <c r="N556" s="7" t="s">
        <v>33</v>
      </c>
    </row>
    <row r="557" spans="1:14" x14ac:dyDescent="0.3">
      <c r="A557" s="3" t="s">
        <v>640</v>
      </c>
      <c r="B557" s="3" t="s">
        <v>44</v>
      </c>
      <c r="C557" s="3">
        <v>3</v>
      </c>
      <c r="D557" s="6">
        <v>51.9</v>
      </c>
      <c r="E557" s="6">
        <v>155.69999999999999</v>
      </c>
      <c r="F557" s="5">
        <v>45681</v>
      </c>
      <c r="G557" s="5">
        <v>45682</v>
      </c>
      <c r="H557" s="3" t="s">
        <v>31</v>
      </c>
      <c r="I557" s="4" t="s">
        <v>56</v>
      </c>
      <c r="J557" s="3">
        <v>4</v>
      </c>
      <c r="K557" s="3" t="s">
        <v>38</v>
      </c>
      <c r="L557" s="3">
        <v>1</v>
      </c>
      <c r="M557" s="3">
        <v>4</v>
      </c>
      <c r="N557" s="3" t="s">
        <v>33</v>
      </c>
    </row>
    <row r="558" spans="1:14" x14ac:dyDescent="0.3">
      <c r="A558" s="7" t="s">
        <v>641</v>
      </c>
      <c r="B558" s="7" t="s">
        <v>42</v>
      </c>
      <c r="C558" s="7">
        <v>1</v>
      </c>
      <c r="D558" s="10">
        <v>46.3</v>
      </c>
      <c r="E558" s="10">
        <v>46.3</v>
      </c>
      <c r="F558" s="9">
        <v>45681</v>
      </c>
      <c r="G558" s="9">
        <v>45684</v>
      </c>
      <c r="H558" s="7" t="s">
        <v>31</v>
      </c>
      <c r="I558" s="8" t="s">
        <v>75</v>
      </c>
      <c r="J558" s="7">
        <v>4</v>
      </c>
      <c r="K558" s="7" t="s">
        <v>38</v>
      </c>
      <c r="L558" s="7">
        <v>3</v>
      </c>
      <c r="M558" s="7">
        <v>4</v>
      </c>
      <c r="N558" s="7" t="s">
        <v>33</v>
      </c>
    </row>
    <row r="559" spans="1:14" x14ac:dyDescent="0.3">
      <c r="A559" s="3" t="s">
        <v>642</v>
      </c>
      <c r="B559" s="3" t="s">
        <v>44</v>
      </c>
      <c r="C559" s="3">
        <v>2</v>
      </c>
      <c r="D559" s="6">
        <v>68.2</v>
      </c>
      <c r="E559" s="6">
        <v>136.4</v>
      </c>
      <c r="F559" s="5">
        <v>45681</v>
      </c>
      <c r="G559" s="5">
        <v>45683</v>
      </c>
      <c r="H559" s="3" t="s">
        <v>31</v>
      </c>
      <c r="I559" s="4" t="s">
        <v>56</v>
      </c>
      <c r="J559" s="3">
        <v>4</v>
      </c>
      <c r="K559" s="3" t="s">
        <v>38</v>
      </c>
      <c r="L559" s="3">
        <v>2</v>
      </c>
      <c r="M559" s="3">
        <v>4</v>
      </c>
      <c r="N559" s="3" t="s">
        <v>33</v>
      </c>
    </row>
    <row r="560" spans="1:14" x14ac:dyDescent="0.3">
      <c r="A560" s="7" t="s">
        <v>643</v>
      </c>
      <c r="B560" s="7" t="s">
        <v>25</v>
      </c>
      <c r="C560" s="7">
        <v>1</v>
      </c>
      <c r="D560" s="10">
        <v>40.299999999999997</v>
      </c>
      <c r="E560" s="10">
        <v>40.299999999999997</v>
      </c>
      <c r="F560" s="9">
        <v>45681</v>
      </c>
      <c r="G560" s="9">
        <v>45682</v>
      </c>
      <c r="H560" s="7" t="s">
        <v>26</v>
      </c>
      <c r="I560" s="8" t="s">
        <v>21</v>
      </c>
      <c r="J560" s="7">
        <v>3</v>
      </c>
      <c r="K560" s="7" t="s">
        <v>38</v>
      </c>
      <c r="L560" s="7">
        <v>1</v>
      </c>
      <c r="M560" s="7">
        <v>4</v>
      </c>
      <c r="N560" s="7" t="s">
        <v>28</v>
      </c>
    </row>
    <row r="561" spans="1:14" x14ac:dyDescent="0.3">
      <c r="A561" s="3" t="s">
        <v>644</v>
      </c>
      <c r="B561" s="3" t="s">
        <v>30</v>
      </c>
      <c r="C561" s="3">
        <v>3</v>
      </c>
      <c r="D561" s="6">
        <v>91.3</v>
      </c>
      <c r="E561" s="6">
        <v>273.89999999999998</v>
      </c>
      <c r="F561" s="5">
        <v>45681</v>
      </c>
      <c r="G561" s="5">
        <v>45686</v>
      </c>
      <c r="H561" s="3" t="s">
        <v>26</v>
      </c>
      <c r="I561" s="4" t="s">
        <v>21</v>
      </c>
      <c r="J561" s="3">
        <v>5</v>
      </c>
      <c r="K561" s="3" t="s">
        <v>60</v>
      </c>
      <c r="L561" s="3">
        <v>5</v>
      </c>
      <c r="M561" s="3">
        <v>4</v>
      </c>
      <c r="N561" s="3" t="s">
        <v>28</v>
      </c>
    </row>
    <row r="562" spans="1:14" x14ac:dyDescent="0.3">
      <c r="A562" s="7" t="s">
        <v>645</v>
      </c>
      <c r="B562" s="7" t="s">
        <v>20</v>
      </c>
      <c r="C562" s="7">
        <v>3</v>
      </c>
      <c r="D562" s="10">
        <v>11.9</v>
      </c>
      <c r="E562" s="10">
        <v>35.700000000000003</v>
      </c>
      <c r="F562" s="9">
        <v>45681</v>
      </c>
      <c r="G562" s="9">
        <v>45682</v>
      </c>
      <c r="H562" s="7" t="s">
        <v>31</v>
      </c>
      <c r="I562" s="8" t="s">
        <v>21</v>
      </c>
      <c r="J562" s="7">
        <v>3</v>
      </c>
      <c r="K562" s="7" t="s">
        <v>60</v>
      </c>
      <c r="L562" s="7">
        <v>1</v>
      </c>
      <c r="M562" s="7">
        <v>4</v>
      </c>
      <c r="N562" s="7" t="s">
        <v>33</v>
      </c>
    </row>
    <row r="563" spans="1:14" x14ac:dyDescent="0.3">
      <c r="A563" s="3" t="s">
        <v>646</v>
      </c>
      <c r="B563" s="3" t="s">
        <v>30</v>
      </c>
      <c r="C563" s="3">
        <v>2</v>
      </c>
      <c r="D563" s="6">
        <v>63.5</v>
      </c>
      <c r="E563" s="6">
        <v>127</v>
      </c>
      <c r="F563" s="5">
        <v>45681</v>
      </c>
      <c r="G563" s="5">
        <v>45683</v>
      </c>
      <c r="H563" s="3" t="s">
        <v>26</v>
      </c>
      <c r="I563" s="4" t="s">
        <v>40</v>
      </c>
      <c r="J563" s="3">
        <v>4</v>
      </c>
      <c r="K563" s="3" t="s">
        <v>60</v>
      </c>
      <c r="L563" s="3">
        <v>2</v>
      </c>
      <c r="M563" s="3">
        <v>4</v>
      </c>
      <c r="N563" s="3" t="s">
        <v>28</v>
      </c>
    </row>
    <row r="564" spans="1:14" x14ac:dyDescent="0.3">
      <c r="A564" s="7" t="s">
        <v>647</v>
      </c>
      <c r="B564" s="7" t="s">
        <v>37</v>
      </c>
      <c r="C564" s="7">
        <v>2</v>
      </c>
      <c r="D564" s="10">
        <v>27.1</v>
      </c>
      <c r="E564" s="10">
        <v>54.2</v>
      </c>
      <c r="F564" s="9">
        <v>45681</v>
      </c>
      <c r="G564" s="9">
        <v>45684</v>
      </c>
      <c r="H564" s="7" t="s">
        <v>26</v>
      </c>
      <c r="I564" s="8" t="s">
        <v>45</v>
      </c>
      <c r="J564" s="7">
        <v>5</v>
      </c>
      <c r="K564" s="7" t="s">
        <v>60</v>
      </c>
      <c r="L564" s="7">
        <v>3</v>
      </c>
      <c r="M564" s="7">
        <v>4</v>
      </c>
      <c r="N564" s="7" t="s">
        <v>28</v>
      </c>
    </row>
    <row r="565" spans="1:14" x14ac:dyDescent="0.3">
      <c r="A565" s="3" t="s">
        <v>648</v>
      </c>
      <c r="B565" s="3" t="s">
        <v>25</v>
      </c>
      <c r="C565" s="3">
        <v>2</v>
      </c>
      <c r="D565" s="6">
        <v>82.1</v>
      </c>
      <c r="E565" s="6">
        <v>164.2</v>
      </c>
      <c r="F565" s="5">
        <v>45682</v>
      </c>
      <c r="G565" s="5">
        <v>45685</v>
      </c>
      <c r="H565" s="3" t="s">
        <v>26</v>
      </c>
      <c r="I565" s="4" t="s">
        <v>40</v>
      </c>
      <c r="J565" s="3">
        <v>3</v>
      </c>
      <c r="K565" s="3" t="s">
        <v>64</v>
      </c>
      <c r="L565" s="3">
        <v>3</v>
      </c>
      <c r="M565" s="3">
        <v>4</v>
      </c>
      <c r="N565" s="3" t="s">
        <v>28</v>
      </c>
    </row>
    <row r="566" spans="1:14" x14ac:dyDescent="0.3">
      <c r="A566" s="7" t="s">
        <v>649</v>
      </c>
      <c r="B566" s="7" t="s">
        <v>35</v>
      </c>
      <c r="C566" s="7">
        <v>5</v>
      </c>
      <c r="D566" s="10">
        <v>42.9</v>
      </c>
      <c r="E566" s="10">
        <v>214.5</v>
      </c>
      <c r="F566" s="9">
        <v>45682</v>
      </c>
      <c r="G566" s="9">
        <v>45684</v>
      </c>
      <c r="H566" s="7" t="s">
        <v>31</v>
      </c>
      <c r="I566" s="8" t="s">
        <v>40</v>
      </c>
      <c r="J566" s="7">
        <v>4</v>
      </c>
      <c r="K566" s="7" t="s">
        <v>67</v>
      </c>
      <c r="L566" s="7">
        <v>2</v>
      </c>
      <c r="M566" s="7">
        <v>4</v>
      </c>
      <c r="N566" s="7" t="s">
        <v>33</v>
      </c>
    </row>
    <row r="567" spans="1:14" x14ac:dyDescent="0.3">
      <c r="A567" s="3" t="s">
        <v>650</v>
      </c>
      <c r="B567" s="3" t="s">
        <v>49</v>
      </c>
      <c r="C567" s="3">
        <v>11</v>
      </c>
      <c r="D567" s="6">
        <v>37.9</v>
      </c>
      <c r="E567" s="6">
        <v>416.9</v>
      </c>
      <c r="F567" s="5">
        <v>45682</v>
      </c>
      <c r="G567" s="5">
        <v>45689</v>
      </c>
      <c r="H567" s="3" t="s">
        <v>26</v>
      </c>
      <c r="I567" s="4" t="s">
        <v>21</v>
      </c>
      <c r="J567" s="3">
        <v>4</v>
      </c>
      <c r="K567" s="3" t="s">
        <v>67</v>
      </c>
      <c r="L567" s="3">
        <v>7</v>
      </c>
      <c r="M567" s="3">
        <v>4</v>
      </c>
      <c r="N567" s="3" t="s">
        <v>28</v>
      </c>
    </row>
    <row r="568" spans="1:14" x14ac:dyDescent="0.3">
      <c r="A568" s="7" t="s">
        <v>651</v>
      </c>
      <c r="B568" s="7" t="s">
        <v>20</v>
      </c>
      <c r="C568" s="7">
        <v>1</v>
      </c>
      <c r="D568" s="10">
        <v>22.4</v>
      </c>
      <c r="E568" s="10">
        <v>22.4</v>
      </c>
      <c r="F568" s="9">
        <v>45682</v>
      </c>
      <c r="G568" s="9">
        <v>45683</v>
      </c>
      <c r="H568" s="7" t="s">
        <v>31</v>
      </c>
      <c r="I568" s="8" t="s">
        <v>21</v>
      </c>
      <c r="J568" s="7">
        <v>3</v>
      </c>
      <c r="K568" s="7" t="s">
        <v>109</v>
      </c>
      <c r="L568" s="7">
        <v>1</v>
      </c>
      <c r="M568" s="7">
        <v>4</v>
      </c>
      <c r="N568" s="7" t="s">
        <v>33</v>
      </c>
    </row>
    <row r="569" spans="1:14" x14ac:dyDescent="0.3">
      <c r="A569" s="3" t="s">
        <v>652</v>
      </c>
      <c r="B569" s="3" t="s">
        <v>30</v>
      </c>
      <c r="C569" s="3">
        <v>13</v>
      </c>
      <c r="D569" s="6">
        <v>79.900000000000006</v>
      </c>
      <c r="E569" s="6">
        <v>1038.7</v>
      </c>
      <c r="F569" s="5">
        <v>45682</v>
      </c>
      <c r="G569" s="5">
        <v>45695</v>
      </c>
      <c r="H569" s="3" t="s">
        <v>31</v>
      </c>
      <c r="I569" s="4" t="s">
        <v>56</v>
      </c>
      <c r="J569" s="3">
        <v>3</v>
      </c>
      <c r="K569" s="3" t="s">
        <v>82</v>
      </c>
      <c r="L569" s="3">
        <v>13</v>
      </c>
      <c r="M569" s="3">
        <v>4</v>
      </c>
      <c r="N569" s="3" t="s">
        <v>33</v>
      </c>
    </row>
    <row r="570" spans="1:14" x14ac:dyDescent="0.3">
      <c r="A570" s="7" t="s">
        <v>653</v>
      </c>
      <c r="B570" s="7" t="s">
        <v>25</v>
      </c>
      <c r="C570" s="7">
        <v>1</v>
      </c>
      <c r="D570" s="10">
        <v>70.599999999999994</v>
      </c>
      <c r="E570" s="10">
        <v>70.599999999999994</v>
      </c>
      <c r="F570" s="9">
        <v>45682</v>
      </c>
      <c r="G570" s="9">
        <v>45685</v>
      </c>
      <c r="H570" s="7" t="s">
        <v>31</v>
      </c>
      <c r="I570" s="8" t="s">
        <v>21</v>
      </c>
      <c r="J570" s="7">
        <v>3</v>
      </c>
      <c r="K570" s="7" t="s">
        <v>82</v>
      </c>
      <c r="L570" s="7">
        <v>3</v>
      </c>
      <c r="M570" s="7">
        <v>4</v>
      </c>
      <c r="N570" s="7" t="s">
        <v>33</v>
      </c>
    </row>
    <row r="571" spans="1:14" x14ac:dyDescent="0.3">
      <c r="A571" s="3" t="s">
        <v>654</v>
      </c>
      <c r="B571" s="3" t="s">
        <v>44</v>
      </c>
      <c r="C571" s="3">
        <v>1</v>
      </c>
      <c r="D571" s="6">
        <v>49.5</v>
      </c>
      <c r="E571" s="6">
        <v>49.5</v>
      </c>
      <c r="F571" s="5">
        <v>45682</v>
      </c>
      <c r="G571" s="5">
        <v>45684</v>
      </c>
      <c r="H571" s="3" t="s">
        <v>26</v>
      </c>
      <c r="I571" s="4" t="s">
        <v>21</v>
      </c>
      <c r="J571" s="3">
        <v>4</v>
      </c>
      <c r="K571" s="3" t="s">
        <v>87</v>
      </c>
      <c r="L571" s="3">
        <v>2</v>
      </c>
      <c r="M571" s="3">
        <v>4</v>
      </c>
      <c r="N571" s="3" t="s">
        <v>28</v>
      </c>
    </row>
    <row r="572" spans="1:14" x14ac:dyDescent="0.3">
      <c r="A572" s="7" t="s">
        <v>655</v>
      </c>
      <c r="B572" s="7" t="s">
        <v>30</v>
      </c>
      <c r="C572" s="7">
        <v>2</v>
      </c>
      <c r="D572" s="10">
        <v>96.6</v>
      </c>
      <c r="E572" s="10">
        <v>193.2</v>
      </c>
      <c r="F572" s="9">
        <v>45682</v>
      </c>
      <c r="G572" s="9">
        <v>45684</v>
      </c>
      <c r="H572" s="7" t="s">
        <v>26</v>
      </c>
      <c r="I572" s="8" t="s">
        <v>21</v>
      </c>
      <c r="J572" s="7">
        <v>4</v>
      </c>
      <c r="K572" s="7" t="s">
        <v>121</v>
      </c>
      <c r="L572" s="7">
        <v>2</v>
      </c>
      <c r="M572" s="7">
        <v>4</v>
      </c>
      <c r="N572" s="7" t="s">
        <v>28</v>
      </c>
    </row>
    <row r="573" spans="1:14" x14ac:dyDescent="0.3">
      <c r="A573" s="3" t="s">
        <v>656</v>
      </c>
      <c r="B573" s="3" t="s">
        <v>44</v>
      </c>
      <c r="C573" s="3">
        <v>2</v>
      </c>
      <c r="D573" s="6">
        <v>52.8</v>
      </c>
      <c r="E573" s="6">
        <v>105.6</v>
      </c>
      <c r="F573" s="5">
        <v>45682</v>
      </c>
      <c r="G573" s="5">
        <v>45683</v>
      </c>
      <c r="H573" s="3" t="s">
        <v>31</v>
      </c>
      <c r="I573" s="4" t="s">
        <v>40</v>
      </c>
      <c r="J573" s="3">
        <v>3</v>
      </c>
      <c r="K573" s="3" t="s">
        <v>121</v>
      </c>
      <c r="L573" s="3">
        <v>1</v>
      </c>
      <c r="M573" s="3">
        <v>4</v>
      </c>
      <c r="N573" s="3" t="s">
        <v>33</v>
      </c>
    </row>
    <row r="574" spans="1:14" x14ac:dyDescent="0.3">
      <c r="A574" s="7" t="s">
        <v>657</v>
      </c>
      <c r="B574" s="7" t="s">
        <v>30</v>
      </c>
      <c r="C574" s="7">
        <v>1</v>
      </c>
      <c r="D574" s="10">
        <v>101.7</v>
      </c>
      <c r="E574" s="10">
        <v>101.7</v>
      </c>
      <c r="F574" s="9">
        <v>45682</v>
      </c>
      <c r="G574" s="9">
        <v>45683</v>
      </c>
      <c r="H574" s="7" t="s">
        <v>26</v>
      </c>
      <c r="I574" s="8" t="s">
        <v>21</v>
      </c>
      <c r="J574" s="7">
        <v>4</v>
      </c>
      <c r="K574" s="7" t="s">
        <v>27</v>
      </c>
      <c r="L574" s="7">
        <v>1</v>
      </c>
      <c r="M574" s="7">
        <v>4</v>
      </c>
      <c r="N574" s="7" t="s">
        <v>28</v>
      </c>
    </row>
    <row r="575" spans="1:14" x14ac:dyDescent="0.3">
      <c r="A575" s="3" t="s">
        <v>658</v>
      </c>
      <c r="B575" s="3" t="s">
        <v>37</v>
      </c>
      <c r="C575" s="3">
        <v>5</v>
      </c>
      <c r="D575" s="6">
        <v>26.9</v>
      </c>
      <c r="E575" s="6">
        <v>134.5</v>
      </c>
      <c r="F575" s="5">
        <v>45682</v>
      </c>
      <c r="G575" s="5">
        <v>45687</v>
      </c>
      <c r="H575" s="3" t="s">
        <v>31</v>
      </c>
      <c r="I575" s="4" t="s">
        <v>40</v>
      </c>
      <c r="J575" s="3">
        <v>3</v>
      </c>
      <c r="K575" s="3" t="s">
        <v>153</v>
      </c>
      <c r="L575" s="3">
        <v>5</v>
      </c>
      <c r="M575" s="3">
        <v>4</v>
      </c>
      <c r="N575" s="3" t="s">
        <v>33</v>
      </c>
    </row>
    <row r="576" spans="1:14" x14ac:dyDescent="0.3">
      <c r="A576" s="7" t="s">
        <v>659</v>
      </c>
      <c r="B576" s="7" t="s">
        <v>30</v>
      </c>
      <c r="C576" s="7">
        <v>4</v>
      </c>
      <c r="D576" s="10">
        <v>211</v>
      </c>
      <c r="E576" s="10">
        <v>844</v>
      </c>
      <c r="F576" s="9">
        <v>45682</v>
      </c>
      <c r="G576" s="9">
        <v>45682</v>
      </c>
      <c r="H576" s="7" t="s">
        <v>31</v>
      </c>
      <c r="I576" s="8" t="s">
        <v>40</v>
      </c>
      <c r="J576" s="7">
        <v>3</v>
      </c>
      <c r="K576" s="7" t="s">
        <v>38</v>
      </c>
      <c r="L576" s="7">
        <v>0</v>
      </c>
      <c r="M576" s="7">
        <v>4</v>
      </c>
      <c r="N576" s="7" t="s">
        <v>33</v>
      </c>
    </row>
    <row r="577" spans="1:14" x14ac:dyDescent="0.3">
      <c r="A577" s="3" t="s">
        <v>660</v>
      </c>
      <c r="B577" s="3" t="s">
        <v>20</v>
      </c>
      <c r="C577" s="3">
        <v>4</v>
      </c>
      <c r="D577" s="6">
        <v>21.1</v>
      </c>
      <c r="E577" s="6">
        <v>84.4</v>
      </c>
      <c r="F577" s="5">
        <v>45682</v>
      </c>
      <c r="G577" s="5">
        <v>45685</v>
      </c>
      <c r="H577" s="3" t="s">
        <v>26</v>
      </c>
      <c r="I577" s="4" t="s">
        <v>75</v>
      </c>
      <c r="J577" s="3">
        <v>4</v>
      </c>
      <c r="K577" s="3" t="s">
        <v>38</v>
      </c>
      <c r="L577" s="3">
        <v>3</v>
      </c>
      <c r="M577" s="3">
        <v>4</v>
      </c>
      <c r="N577" s="3" t="s">
        <v>28</v>
      </c>
    </row>
    <row r="578" spans="1:14" x14ac:dyDescent="0.3">
      <c r="A578" s="7" t="s">
        <v>661</v>
      </c>
      <c r="B578" s="7" t="s">
        <v>59</v>
      </c>
      <c r="C578" s="7">
        <v>1</v>
      </c>
      <c r="D578" s="10">
        <v>26.6</v>
      </c>
      <c r="E578" s="10">
        <v>26.6</v>
      </c>
      <c r="F578" s="9">
        <v>45682</v>
      </c>
      <c r="G578" s="9">
        <v>45684</v>
      </c>
      <c r="H578" s="7" t="s">
        <v>26</v>
      </c>
      <c r="I578" s="8" t="s">
        <v>21</v>
      </c>
      <c r="J578" s="7">
        <v>2</v>
      </c>
      <c r="K578" s="7" t="s">
        <v>38</v>
      </c>
      <c r="L578" s="7">
        <v>2</v>
      </c>
      <c r="M578" s="7">
        <v>4</v>
      </c>
      <c r="N578" s="7" t="s">
        <v>28</v>
      </c>
    </row>
    <row r="579" spans="1:14" x14ac:dyDescent="0.3">
      <c r="A579" s="3" t="s">
        <v>662</v>
      </c>
      <c r="B579" s="3" t="s">
        <v>74</v>
      </c>
      <c r="C579" s="3">
        <v>4</v>
      </c>
      <c r="D579" s="6">
        <v>51.2</v>
      </c>
      <c r="E579" s="6">
        <v>204.8</v>
      </c>
      <c r="F579" s="5">
        <v>45682</v>
      </c>
      <c r="G579" s="5">
        <v>45683</v>
      </c>
      <c r="H579" s="3" t="s">
        <v>31</v>
      </c>
      <c r="I579" s="4" t="s">
        <v>56</v>
      </c>
      <c r="J579" s="3">
        <v>4</v>
      </c>
      <c r="K579" s="3" t="s">
        <v>164</v>
      </c>
      <c r="L579" s="3">
        <v>1</v>
      </c>
      <c r="M579" s="3">
        <v>4</v>
      </c>
      <c r="N579" s="3" t="s">
        <v>33</v>
      </c>
    </row>
    <row r="580" spans="1:14" x14ac:dyDescent="0.3">
      <c r="A580" s="7" t="s">
        <v>663</v>
      </c>
      <c r="B580" s="7" t="s">
        <v>20</v>
      </c>
      <c r="C580" s="7">
        <v>5</v>
      </c>
      <c r="D580" s="10">
        <v>10.6</v>
      </c>
      <c r="E580" s="10">
        <v>53</v>
      </c>
      <c r="F580" s="9">
        <v>45682</v>
      </c>
      <c r="G580" s="9">
        <v>45686</v>
      </c>
      <c r="H580" s="7" t="s">
        <v>31</v>
      </c>
      <c r="I580" s="8" t="s">
        <v>21</v>
      </c>
      <c r="J580" s="7">
        <v>4</v>
      </c>
      <c r="K580" s="7" t="s">
        <v>67</v>
      </c>
      <c r="L580" s="7">
        <v>4</v>
      </c>
      <c r="M580" s="7">
        <v>4</v>
      </c>
      <c r="N580" s="7" t="s">
        <v>33</v>
      </c>
    </row>
    <row r="581" spans="1:14" x14ac:dyDescent="0.3">
      <c r="A581" s="3" t="s">
        <v>664</v>
      </c>
      <c r="B581" s="3" t="s">
        <v>44</v>
      </c>
      <c r="C581" s="3">
        <v>3</v>
      </c>
      <c r="D581" s="6">
        <v>43.4</v>
      </c>
      <c r="E581" s="6">
        <v>130.19999999999999</v>
      </c>
      <c r="F581" s="5">
        <v>45682</v>
      </c>
      <c r="G581" s="5">
        <v>45685</v>
      </c>
      <c r="H581" s="3" t="s">
        <v>31</v>
      </c>
      <c r="I581" s="4" t="s">
        <v>75</v>
      </c>
      <c r="J581" s="3">
        <v>4</v>
      </c>
      <c r="K581" s="3" t="s">
        <v>67</v>
      </c>
      <c r="L581" s="3">
        <v>3</v>
      </c>
      <c r="M581" s="3">
        <v>4</v>
      </c>
      <c r="N581" s="3" t="s">
        <v>33</v>
      </c>
    </row>
    <row r="582" spans="1:14" x14ac:dyDescent="0.3">
      <c r="A582" s="7" t="s">
        <v>665</v>
      </c>
      <c r="B582" s="7" t="s">
        <v>74</v>
      </c>
      <c r="C582" s="7">
        <v>1</v>
      </c>
      <c r="D582" s="10">
        <v>80</v>
      </c>
      <c r="E582" s="10">
        <v>80</v>
      </c>
      <c r="F582" s="9">
        <v>45682</v>
      </c>
      <c r="G582" s="9">
        <v>45682</v>
      </c>
      <c r="H582" s="7" t="s">
        <v>31</v>
      </c>
      <c r="I582" s="8" t="s">
        <v>21</v>
      </c>
      <c r="J582" s="7">
        <v>5</v>
      </c>
      <c r="K582" s="7" t="s">
        <v>67</v>
      </c>
      <c r="L582" s="7">
        <v>0</v>
      </c>
      <c r="M582" s="7">
        <v>4</v>
      </c>
      <c r="N582" s="7" t="s">
        <v>33</v>
      </c>
    </row>
    <row r="583" spans="1:14" x14ac:dyDescent="0.3">
      <c r="A583" s="3" t="s">
        <v>666</v>
      </c>
      <c r="B583" s="3" t="s">
        <v>59</v>
      </c>
      <c r="C583" s="3">
        <v>4</v>
      </c>
      <c r="D583" s="6">
        <v>64.7</v>
      </c>
      <c r="E583" s="6">
        <v>258.8</v>
      </c>
      <c r="F583" s="5">
        <v>45682</v>
      </c>
      <c r="G583" s="5">
        <v>45684</v>
      </c>
      <c r="H583" s="3" t="s">
        <v>31</v>
      </c>
      <c r="I583" s="4" t="s">
        <v>40</v>
      </c>
      <c r="J583" s="3">
        <v>2</v>
      </c>
      <c r="K583" s="3" t="s">
        <v>67</v>
      </c>
      <c r="L583" s="3">
        <v>2</v>
      </c>
      <c r="M583" s="3">
        <v>4</v>
      </c>
      <c r="N583" s="3" t="s">
        <v>33</v>
      </c>
    </row>
    <row r="584" spans="1:14" x14ac:dyDescent="0.3">
      <c r="A584" s="7" t="s">
        <v>667</v>
      </c>
      <c r="B584" s="7" t="s">
        <v>49</v>
      </c>
      <c r="C584" s="7">
        <v>11</v>
      </c>
      <c r="D584" s="10">
        <v>26.3</v>
      </c>
      <c r="E584" s="10">
        <v>289.3</v>
      </c>
      <c r="F584" s="9">
        <v>45683</v>
      </c>
      <c r="G584" s="9">
        <v>45683</v>
      </c>
      <c r="H584" s="7" t="s">
        <v>31</v>
      </c>
      <c r="I584" s="8" t="s">
        <v>75</v>
      </c>
      <c r="J584" s="7">
        <v>3</v>
      </c>
      <c r="K584" s="7" t="s">
        <v>207</v>
      </c>
      <c r="L584" s="7">
        <v>0</v>
      </c>
      <c r="M584" s="7">
        <v>5</v>
      </c>
      <c r="N584" s="7" t="s">
        <v>33</v>
      </c>
    </row>
    <row r="585" spans="1:14" x14ac:dyDescent="0.3">
      <c r="A585" s="3" t="s">
        <v>668</v>
      </c>
      <c r="B585" s="3" t="s">
        <v>59</v>
      </c>
      <c r="C585" s="3">
        <v>1</v>
      </c>
      <c r="D585" s="6">
        <v>28.5</v>
      </c>
      <c r="E585" s="6">
        <v>28.5</v>
      </c>
      <c r="F585" s="5">
        <v>45683</v>
      </c>
      <c r="G585" s="5">
        <v>45683</v>
      </c>
      <c r="H585" s="3" t="s">
        <v>26</v>
      </c>
      <c r="I585" s="4" t="s">
        <v>21</v>
      </c>
      <c r="J585" s="3">
        <v>3</v>
      </c>
      <c r="K585" s="3" t="s">
        <v>77</v>
      </c>
      <c r="L585" s="3">
        <v>0</v>
      </c>
      <c r="M585" s="3">
        <v>5</v>
      </c>
      <c r="N585" s="3" t="s">
        <v>28</v>
      </c>
    </row>
    <row r="586" spans="1:14" x14ac:dyDescent="0.3">
      <c r="A586" s="7" t="s">
        <v>669</v>
      </c>
      <c r="B586" s="7" t="s">
        <v>141</v>
      </c>
      <c r="C586" s="7">
        <v>1</v>
      </c>
      <c r="D586" s="10">
        <v>47.8</v>
      </c>
      <c r="E586" s="10">
        <v>47.8</v>
      </c>
      <c r="F586" s="9">
        <v>45683</v>
      </c>
      <c r="G586" s="9">
        <v>45685</v>
      </c>
      <c r="H586" s="7" t="s">
        <v>31</v>
      </c>
      <c r="I586" s="8" t="s">
        <v>21</v>
      </c>
      <c r="J586" s="7">
        <v>3</v>
      </c>
      <c r="K586" s="7" t="s">
        <v>77</v>
      </c>
      <c r="L586" s="7">
        <v>2</v>
      </c>
      <c r="M586" s="7">
        <v>5</v>
      </c>
      <c r="N586" s="7" t="s">
        <v>33</v>
      </c>
    </row>
    <row r="587" spans="1:14" x14ac:dyDescent="0.3">
      <c r="A587" s="3" t="s">
        <v>670</v>
      </c>
      <c r="B587" s="3" t="s">
        <v>59</v>
      </c>
      <c r="C587" s="3">
        <v>3</v>
      </c>
      <c r="D587" s="6">
        <v>42.8</v>
      </c>
      <c r="E587" s="6">
        <v>128.4</v>
      </c>
      <c r="F587" s="5">
        <v>45683</v>
      </c>
      <c r="G587" s="5">
        <v>45686</v>
      </c>
      <c r="H587" s="3" t="s">
        <v>31</v>
      </c>
      <c r="I587" s="4" t="s">
        <v>75</v>
      </c>
      <c r="J587" s="3">
        <v>3</v>
      </c>
      <c r="K587" s="3" t="s">
        <v>82</v>
      </c>
      <c r="L587" s="3">
        <v>3</v>
      </c>
      <c r="M587" s="3">
        <v>5</v>
      </c>
      <c r="N587" s="3" t="s">
        <v>33</v>
      </c>
    </row>
    <row r="588" spans="1:14" x14ac:dyDescent="0.3">
      <c r="A588" s="7" t="s">
        <v>671</v>
      </c>
      <c r="B588" s="7" t="s">
        <v>44</v>
      </c>
      <c r="C588" s="7">
        <v>5</v>
      </c>
      <c r="D588" s="10">
        <v>46.8</v>
      </c>
      <c r="E588" s="10">
        <v>234</v>
      </c>
      <c r="F588" s="9">
        <v>45683</v>
      </c>
      <c r="G588" s="9">
        <v>45688</v>
      </c>
      <c r="H588" s="7" t="s">
        <v>31</v>
      </c>
      <c r="I588" s="8" t="s">
        <v>40</v>
      </c>
      <c r="J588" s="7">
        <v>5</v>
      </c>
      <c r="K588" s="7" t="s">
        <v>82</v>
      </c>
      <c r="L588" s="7">
        <v>5</v>
      </c>
      <c r="M588" s="7">
        <v>5</v>
      </c>
      <c r="N588" s="7" t="s">
        <v>33</v>
      </c>
    </row>
    <row r="589" spans="1:14" x14ac:dyDescent="0.3">
      <c r="A589" s="3" t="s">
        <v>672</v>
      </c>
      <c r="B589" s="3" t="s">
        <v>25</v>
      </c>
      <c r="C589" s="3">
        <v>10</v>
      </c>
      <c r="D589" s="6">
        <v>64.099999999999994</v>
      </c>
      <c r="E589" s="6">
        <v>641</v>
      </c>
      <c r="F589" s="5">
        <v>45683</v>
      </c>
      <c r="G589" s="5">
        <v>45684</v>
      </c>
      <c r="H589" s="3" t="s">
        <v>26</v>
      </c>
      <c r="I589" s="4" t="s">
        <v>40</v>
      </c>
      <c r="J589" s="3">
        <v>4</v>
      </c>
      <c r="K589" s="3" t="s">
        <v>82</v>
      </c>
      <c r="L589" s="3">
        <v>1</v>
      </c>
      <c r="M589" s="3">
        <v>5</v>
      </c>
      <c r="N589" s="3" t="s">
        <v>28</v>
      </c>
    </row>
    <row r="590" spans="1:14" x14ac:dyDescent="0.3">
      <c r="A590" s="7" t="s">
        <v>673</v>
      </c>
      <c r="B590" s="7" t="s">
        <v>30</v>
      </c>
      <c r="C590" s="7">
        <v>1</v>
      </c>
      <c r="D590" s="10">
        <v>89.1</v>
      </c>
      <c r="E590" s="10">
        <v>89.1</v>
      </c>
      <c r="F590" s="9">
        <v>45683</v>
      </c>
      <c r="G590" s="9">
        <v>45684</v>
      </c>
      <c r="H590" s="7" t="s">
        <v>31</v>
      </c>
      <c r="I590" s="8" t="s">
        <v>21</v>
      </c>
      <c r="J590" s="7">
        <v>3</v>
      </c>
      <c r="K590" s="7" t="s">
        <v>119</v>
      </c>
      <c r="L590" s="7">
        <v>1</v>
      </c>
      <c r="M590" s="7">
        <v>5</v>
      </c>
      <c r="N590" s="7" t="s">
        <v>33</v>
      </c>
    </row>
    <row r="591" spans="1:14" x14ac:dyDescent="0.3">
      <c r="A591" s="3" t="s">
        <v>674</v>
      </c>
      <c r="B591" s="3" t="s">
        <v>30</v>
      </c>
      <c r="C591" s="3">
        <v>3</v>
      </c>
      <c r="D591" s="6">
        <v>83.1</v>
      </c>
      <c r="E591" s="6">
        <v>249.3</v>
      </c>
      <c r="F591" s="5">
        <v>45683</v>
      </c>
      <c r="G591" s="5">
        <v>45684</v>
      </c>
      <c r="H591" s="3" t="s">
        <v>31</v>
      </c>
      <c r="I591" s="4" t="s">
        <v>45</v>
      </c>
      <c r="J591" s="3">
        <v>3</v>
      </c>
      <c r="K591" s="3" t="s">
        <v>87</v>
      </c>
      <c r="L591" s="3">
        <v>1</v>
      </c>
      <c r="M591" s="3">
        <v>5</v>
      </c>
      <c r="N591" s="3" t="s">
        <v>33</v>
      </c>
    </row>
    <row r="592" spans="1:14" x14ac:dyDescent="0.3">
      <c r="A592" s="7" t="s">
        <v>675</v>
      </c>
      <c r="B592" s="7" t="s">
        <v>49</v>
      </c>
      <c r="C592" s="7">
        <v>3</v>
      </c>
      <c r="D592" s="10">
        <v>40.9</v>
      </c>
      <c r="E592" s="10">
        <v>122.7</v>
      </c>
      <c r="F592" s="9">
        <v>45683</v>
      </c>
      <c r="G592" s="9">
        <v>45684</v>
      </c>
      <c r="H592" s="7" t="s">
        <v>26</v>
      </c>
      <c r="I592" s="8" t="s">
        <v>21</v>
      </c>
      <c r="J592" s="7">
        <v>4</v>
      </c>
      <c r="K592" s="7" t="s">
        <v>27</v>
      </c>
      <c r="L592" s="7">
        <v>1</v>
      </c>
      <c r="M592" s="7">
        <v>5</v>
      </c>
      <c r="N592" s="7" t="s">
        <v>28</v>
      </c>
    </row>
    <row r="593" spans="1:14" x14ac:dyDescent="0.3">
      <c r="A593" s="3" t="s">
        <v>676</v>
      </c>
      <c r="B593" s="3" t="s">
        <v>30</v>
      </c>
      <c r="C593" s="3">
        <v>2</v>
      </c>
      <c r="D593" s="6">
        <v>125.7</v>
      </c>
      <c r="E593" s="6">
        <v>251.4</v>
      </c>
      <c r="F593" s="5">
        <v>45683</v>
      </c>
      <c r="G593" s="5">
        <v>45684</v>
      </c>
      <c r="H593" s="3" t="s">
        <v>31</v>
      </c>
      <c r="I593" s="4" t="s">
        <v>56</v>
      </c>
      <c r="J593" s="3">
        <v>4</v>
      </c>
      <c r="K593" s="3" t="s">
        <v>32</v>
      </c>
      <c r="L593" s="3">
        <v>1</v>
      </c>
      <c r="M593" s="3">
        <v>5</v>
      </c>
      <c r="N593" s="3" t="s">
        <v>33</v>
      </c>
    </row>
    <row r="594" spans="1:14" x14ac:dyDescent="0.3">
      <c r="A594" s="7" t="s">
        <v>677</v>
      </c>
      <c r="B594" s="7" t="s">
        <v>35</v>
      </c>
      <c r="C594" s="7">
        <v>2</v>
      </c>
      <c r="D594" s="10">
        <v>30.9</v>
      </c>
      <c r="E594" s="10">
        <v>61.8</v>
      </c>
      <c r="F594" s="9">
        <v>45683</v>
      </c>
      <c r="G594" s="9">
        <v>45683</v>
      </c>
      <c r="H594" s="7" t="s">
        <v>31</v>
      </c>
      <c r="I594" s="8" t="s">
        <v>45</v>
      </c>
      <c r="J594" s="7">
        <v>5</v>
      </c>
      <c r="K594" s="7" t="s">
        <v>153</v>
      </c>
      <c r="L594" s="7">
        <v>0</v>
      </c>
      <c r="M594" s="7">
        <v>5</v>
      </c>
      <c r="N594" s="7" t="s">
        <v>33</v>
      </c>
    </row>
    <row r="595" spans="1:14" x14ac:dyDescent="0.3">
      <c r="A595" s="3" t="s">
        <v>678</v>
      </c>
      <c r="B595" s="3" t="s">
        <v>49</v>
      </c>
      <c r="C595" s="3">
        <v>2</v>
      </c>
      <c r="D595" s="6">
        <v>18.3</v>
      </c>
      <c r="E595" s="6">
        <v>36.6</v>
      </c>
      <c r="F595" s="5">
        <v>45683</v>
      </c>
      <c r="G595" s="5">
        <v>45684</v>
      </c>
      <c r="H595" s="3" t="s">
        <v>31</v>
      </c>
      <c r="I595" s="4" t="s">
        <v>40</v>
      </c>
      <c r="J595" s="3">
        <v>4</v>
      </c>
      <c r="K595" s="3" t="s">
        <v>38</v>
      </c>
      <c r="L595" s="3">
        <v>1</v>
      </c>
      <c r="M595" s="3">
        <v>5</v>
      </c>
      <c r="N595" s="3" t="s">
        <v>33</v>
      </c>
    </row>
    <row r="596" spans="1:14" x14ac:dyDescent="0.3">
      <c r="A596" s="7" t="s">
        <v>679</v>
      </c>
      <c r="B596" s="7" t="s">
        <v>37</v>
      </c>
      <c r="C596" s="7">
        <v>2</v>
      </c>
      <c r="D596" s="10">
        <v>56.5</v>
      </c>
      <c r="E596" s="10">
        <v>113</v>
      </c>
      <c r="F596" s="9">
        <v>45683</v>
      </c>
      <c r="G596" s="9">
        <v>45687</v>
      </c>
      <c r="H596" s="7" t="s">
        <v>26</v>
      </c>
      <c r="I596" s="8" t="s">
        <v>45</v>
      </c>
      <c r="J596" s="7">
        <v>5</v>
      </c>
      <c r="K596" s="7" t="s">
        <v>38</v>
      </c>
      <c r="L596" s="7">
        <v>4</v>
      </c>
      <c r="M596" s="7">
        <v>5</v>
      </c>
      <c r="N596" s="7" t="s">
        <v>28</v>
      </c>
    </row>
    <row r="597" spans="1:14" x14ac:dyDescent="0.3">
      <c r="A597" s="3" t="s">
        <v>680</v>
      </c>
      <c r="B597" s="3" t="s">
        <v>59</v>
      </c>
      <c r="C597" s="3">
        <v>7</v>
      </c>
      <c r="D597" s="6">
        <v>29.9</v>
      </c>
      <c r="E597" s="6">
        <v>209.3</v>
      </c>
      <c r="F597" s="5">
        <v>45683</v>
      </c>
      <c r="G597" s="5">
        <v>45685</v>
      </c>
      <c r="H597" s="3" t="s">
        <v>26</v>
      </c>
      <c r="I597" s="4" t="s">
        <v>75</v>
      </c>
      <c r="J597" s="3">
        <v>5</v>
      </c>
      <c r="K597" s="3" t="s">
        <v>38</v>
      </c>
      <c r="L597" s="3">
        <v>2</v>
      </c>
      <c r="M597" s="3">
        <v>5</v>
      </c>
      <c r="N597" s="3" t="s">
        <v>28</v>
      </c>
    </row>
    <row r="598" spans="1:14" x14ac:dyDescent="0.3">
      <c r="A598" s="7" t="s">
        <v>681</v>
      </c>
      <c r="B598" s="7" t="s">
        <v>42</v>
      </c>
      <c r="C598" s="7">
        <v>2</v>
      </c>
      <c r="D598" s="10">
        <v>50.4</v>
      </c>
      <c r="E598" s="10">
        <v>100.8</v>
      </c>
      <c r="F598" s="9">
        <v>45683</v>
      </c>
      <c r="G598" s="9">
        <v>45684</v>
      </c>
      <c r="H598" s="7" t="s">
        <v>31</v>
      </c>
      <c r="I598" s="8" t="s">
        <v>45</v>
      </c>
      <c r="J598" s="7">
        <v>4</v>
      </c>
      <c r="K598" s="7" t="s">
        <v>38</v>
      </c>
      <c r="L598" s="7">
        <v>1</v>
      </c>
      <c r="M598" s="7">
        <v>5</v>
      </c>
      <c r="N598" s="7" t="s">
        <v>33</v>
      </c>
    </row>
    <row r="599" spans="1:14" x14ac:dyDescent="0.3">
      <c r="A599" s="3" t="s">
        <v>682</v>
      </c>
      <c r="B599" s="3" t="s">
        <v>30</v>
      </c>
      <c r="C599" s="3">
        <v>1</v>
      </c>
      <c r="D599" s="6">
        <v>85.8</v>
      </c>
      <c r="E599" s="6">
        <v>85.8</v>
      </c>
      <c r="F599" s="5">
        <v>45683</v>
      </c>
      <c r="G599" s="5">
        <v>45683</v>
      </c>
      <c r="H599" s="3" t="s">
        <v>31</v>
      </c>
      <c r="I599" s="4" t="s">
        <v>45</v>
      </c>
      <c r="J599" s="3">
        <v>5</v>
      </c>
      <c r="K599" s="3" t="s">
        <v>38</v>
      </c>
      <c r="L599" s="3">
        <v>0</v>
      </c>
      <c r="M599" s="3">
        <v>5</v>
      </c>
      <c r="N599" s="3" t="s">
        <v>33</v>
      </c>
    </row>
    <row r="600" spans="1:14" x14ac:dyDescent="0.3">
      <c r="A600" s="7" t="s">
        <v>683</v>
      </c>
      <c r="B600" s="7" t="s">
        <v>37</v>
      </c>
      <c r="C600" s="7">
        <v>16</v>
      </c>
      <c r="D600" s="10">
        <v>66.599999999999994</v>
      </c>
      <c r="E600" s="10">
        <v>1065.5999999999999</v>
      </c>
      <c r="F600" s="9">
        <v>45683</v>
      </c>
      <c r="G600" s="9">
        <v>45685</v>
      </c>
      <c r="H600" s="7" t="s">
        <v>26</v>
      </c>
      <c r="I600" s="8" t="s">
        <v>40</v>
      </c>
      <c r="J600" s="7">
        <v>4</v>
      </c>
      <c r="K600" s="7" t="s">
        <v>38</v>
      </c>
      <c r="L600" s="7">
        <v>2</v>
      </c>
      <c r="M600" s="7">
        <v>5</v>
      </c>
      <c r="N600" s="7" t="s">
        <v>28</v>
      </c>
    </row>
    <row r="601" spans="1:14" x14ac:dyDescent="0.3">
      <c r="A601" s="3" t="s">
        <v>684</v>
      </c>
      <c r="B601" s="3" t="s">
        <v>44</v>
      </c>
      <c r="C601" s="3">
        <v>4</v>
      </c>
      <c r="D601" s="6">
        <v>70.3</v>
      </c>
      <c r="E601" s="6">
        <v>281.2</v>
      </c>
      <c r="F601" s="5">
        <v>45683</v>
      </c>
      <c r="G601" s="5">
        <v>45684</v>
      </c>
      <c r="H601" s="3" t="s">
        <v>31</v>
      </c>
      <c r="I601" s="4" t="s">
        <v>21</v>
      </c>
      <c r="J601" s="3">
        <v>3</v>
      </c>
      <c r="K601" s="3" t="s">
        <v>38</v>
      </c>
      <c r="L601" s="3">
        <v>1</v>
      </c>
      <c r="M601" s="3">
        <v>5</v>
      </c>
      <c r="N601" s="3" t="s">
        <v>33</v>
      </c>
    </row>
    <row r="602" spans="1:14" x14ac:dyDescent="0.3">
      <c r="A602" s="7" t="s">
        <v>685</v>
      </c>
      <c r="B602" s="7" t="s">
        <v>49</v>
      </c>
      <c r="C602" s="7">
        <v>4</v>
      </c>
      <c r="D602" s="10">
        <v>31</v>
      </c>
      <c r="E602" s="10">
        <v>124</v>
      </c>
      <c r="F602" s="9">
        <v>45683</v>
      </c>
      <c r="G602" s="9">
        <v>45686</v>
      </c>
      <c r="H602" s="7" t="s">
        <v>26</v>
      </c>
      <c r="I602" s="8" t="s">
        <v>21</v>
      </c>
      <c r="J602" s="7">
        <v>5</v>
      </c>
      <c r="K602" s="7" t="s">
        <v>38</v>
      </c>
      <c r="L602" s="7">
        <v>3</v>
      </c>
      <c r="M602" s="7">
        <v>5</v>
      </c>
      <c r="N602" s="7" t="s">
        <v>28</v>
      </c>
    </row>
    <row r="603" spans="1:14" x14ac:dyDescent="0.3">
      <c r="A603" s="3" t="s">
        <v>686</v>
      </c>
      <c r="B603" s="3" t="s">
        <v>47</v>
      </c>
      <c r="C603" s="3">
        <v>6</v>
      </c>
      <c r="D603" s="6">
        <v>81.599999999999994</v>
      </c>
      <c r="E603" s="6">
        <v>489.6</v>
      </c>
      <c r="F603" s="5">
        <v>45683</v>
      </c>
      <c r="G603" s="5">
        <v>45684</v>
      </c>
      <c r="H603" s="3" t="s">
        <v>31</v>
      </c>
      <c r="I603" s="4" t="s">
        <v>40</v>
      </c>
      <c r="J603" s="3">
        <v>3</v>
      </c>
      <c r="K603" s="3" t="s">
        <v>79</v>
      </c>
      <c r="L603" s="3">
        <v>1</v>
      </c>
      <c r="M603" s="3">
        <v>5</v>
      </c>
      <c r="N603" s="3" t="s">
        <v>33</v>
      </c>
    </row>
    <row r="604" spans="1:14" x14ac:dyDescent="0.3">
      <c r="A604" s="7" t="s">
        <v>687</v>
      </c>
      <c r="B604" s="7" t="s">
        <v>25</v>
      </c>
      <c r="C604" s="7">
        <v>25</v>
      </c>
      <c r="D604" s="10">
        <v>58.3</v>
      </c>
      <c r="E604" s="10">
        <v>1457.5</v>
      </c>
      <c r="F604" s="9">
        <v>45683</v>
      </c>
      <c r="G604" s="9">
        <v>45684</v>
      </c>
      <c r="H604" s="7" t="s">
        <v>31</v>
      </c>
      <c r="I604" s="8" t="s">
        <v>21</v>
      </c>
      <c r="J604" s="7">
        <v>4</v>
      </c>
      <c r="K604" s="7" t="s">
        <v>104</v>
      </c>
      <c r="L604" s="7">
        <v>1</v>
      </c>
      <c r="M604" s="7">
        <v>5</v>
      </c>
      <c r="N604" s="7" t="s">
        <v>33</v>
      </c>
    </row>
    <row r="605" spans="1:14" x14ac:dyDescent="0.3">
      <c r="A605" s="3" t="s">
        <v>688</v>
      </c>
      <c r="B605" s="3" t="s">
        <v>25</v>
      </c>
      <c r="C605" s="3">
        <v>4</v>
      </c>
      <c r="D605" s="6">
        <v>35.1</v>
      </c>
      <c r="E605" s="6">
        <v>140.4</v>
      </c>
      <c r="F605" s="5">
        <v>45683</v>
      </c>
      <c r="G605" s="5">
        <v>45685</v>
      </c>
      <c r="H605" s="3" t="s">
        <v>26</v>
      </c>
      <c r="I605" s="4" t="s">
        <v>21</v>
      </c>
      <c r="J605" s="3">
        <v>5</v>
      </c>
      <c r="K605" s="3" t="s">
        <v>67</v>
      </c>
      <c r="L605" s="3">
        <v>2</v>
      </c>
      <c r="M605" s="3">
        <v>5</v>
      </c>
      <c r="N605" s="3" t="s">
        <v>28</v>
      </c>
    </row>
    <row r="606" spans="1:14" x14ac:dyDescent="0.3">
      <c r="A606" s="7" t="s">
        <v>689</v>
      </c>
      <c r="B606" s="7" t="s">
        <v>30</v>
      </c>
      <c r="C606" s="7">
        <v>1</v>
      </c>
      <c r="D606" s="10">
        <v>80.2</v>
      </c>
      <c r="E606" s="10">
        <v>80.2</v>
      </c>
      <c r="F606" s="9">
        <v>45683</v>
      </c>
      <c r="G606" s="9">
        <v>45684</v>
      </c>
      <c r="H606" s="7" t="s">
        <v>26</v>
      </c>
      <c r="I606" s="8" t="s">
        <v>56</v>
      </c>
      <c r="J606" s="7">
        <v>5</v>
      </c>
      <c r="K606" s="7" t="s">
        <v>67</v>
      </c>
      <c r="L606" s="7">
        <v>1</v>
      </c>
      <c r="M606" s="7">
        <v>5</v>
      </c>
      <c r="N606" s="7" t="s">
        <v>28</v>
      </c>
    </row>
    <row r="607" spans="1:14" x14ac:dyDescent="0.3">
      <c r="A607" s="3" t="s">
        <v>690</v>
      </c>
      <c r="B607" s="3" t="s">
        <v>86</v>
      </c>
      <c r="C607" s="3">
        <v>3</v>
      </c>
      <c r="D607" s="6">
        <v>39.200000000000003</v>
      </c>
      <c r="E607" s="6">
        <v>117.6</v>
      </c>
      <c r="F607" s="5">
        <v>45683</v>
      </c>
      <c r="G607" s="5">
        <v>45685</v>
      </c>
      <c r="H607" s="3" t="s">
        <v>31</v>
      </c>
      <c r="I607" s="4" t="s">
        <v>40</v>
      </c>
      <c r="J607" s="3">
        <v>4</v>
      </c>
      <c r="K607" s="3" t="s">
        <v>77</v>
      </c>
      <c r="L607" s="3">
        <v>2</v>
      </c>
      <c r="M607" s="3">
        <v>5</v>
      </c>
      <c r="N607" s="3" t="s">
        <v>33</v>
      </c>
    </row>
    <row r="608" spans="1:14" x14ac:dyDescent="0.3">
      <c r="A608" s="7" t="s">
        <v>691</v>
      </c>
      <c r="B608" s="7" t="s">
        <v>20</v>
      </c>
      <c r="C608" s="7">
        <v>2</v>
      </c>
      <c r="D608" s="10">
        <v>15.4</v>
      </c>
      <c r="E608" s="10">
        <v>30.8</v>
      </c>
      <c r="F608" s="9">
        <v>45683</v>
      </c>
      <c r="G608" s="9">
        <v>45683</v>
      </c>
      <c r="H608" s="7" t="s">
        <v>31</v>
      </c>
      <c r="I608" s="8" t="s">
        <v>56</v>
      </c>
      <c r="J608" s="7">
        <v>4</v>
      </c>
      <c r="K608" s="7" t="s">
        <v>192</v>
      </c>
      <c r="L608" s="7">
        <v>0</v>
      </c>
      <c r="M608" s="7">
        <v>5</v>
      </c>
      <c r="N608" s="7" t="s">
        <v>33</v>
      </c>
    </row>
    <row r="609" spans="1:14" x14ac:dyDescent="0.3">
      <c r="A609" s="3" t="s">
        <v>692</v>
      </c>
      <c r="B609" s="3" t="s">
        <v>35</v>
      </c>
      <c r="C609" s="3">
        <v>3</v>
      </c>
      <c r="D609" s="6">
        <v>65.400000000000006</v>
      </c>
      <c r="E609" s="6">
        <v>196.2</v>
      </c>
      <c r="F609" s="5">
        <v>45683</v>
      </c>
      <c r="G609" s="5">
        <v>45686</v>
      </c>
      <c r="H609" s="3" t="s">
        <v>26</v>
      </c>
      <c r="I609" s="4" t="s">
        <v>56</v>
      </c>
      <c r="J609" s="3">
        <v>4</v>
      </c>
      <c r="K609" s="3" t="s">
        <v>114</v>
      </c>
      <c r="L609" s="3">
        <v>3</v>
      </c>
      <c r="M609" s="3">
        <v>5</v>
      </c>
      <c r="N609" s="3" t="s">
        <v>28</v>
      </c>
    </row>
    <row r="610" spans="1:14" x14ac:dyDescent="0.3">
      <c r="A610" s="7" t="s">
        <v>693</v>
      </c>
      <c r="B610" s="7" t="s">
        <v>25</v>
      </c>
      <c r="C610" s="7">
        <v>8</v>
      </c>
      <c r="D610" s="10">
        <v>63.2</v>
      </c>
      <c r="E610" s="10">
        <v>505.6</v>
      </c>
      <c r="F610" s="9">
        <v>45683</v>
      </c>
      <c r="G610" s="9">
        <v>45685</v>
      </c>
      <c r="H610" s="7" t="s">
        <v>31</v>
      </c>
      <c r="I610" s="8" t="s">
        <v>40</v>
      </c>
      <c r="J610" s="7">
        <v>4</v>
      </c>
      <c r="K610" s="7" t="s">
        <v>116</v>
      </c>
      <c r="L610" s="7">
        <v>2</v>
      </c>
      <c r="M610" s="7">
        <v>5</v>
      </c>
      <c r="N610" s="7" t="s">
        <v>33</v>
      </c>
    </row>
    <row r="611" spans="1:14" x14ac:dyDescent="0.3">
      <c r="A611" s="3" t="s">
        <v>694</v>
      </c>
      <c r="B611" s="3" t="s">
        <v>25</v>
      </c>
      <c r="C611" s="3">
        <v>6</v>
      </c>
      <c r="D611" s="6">
        <v>35.700000000000003</v>
      </c>
      <c r="E611" s="6">
        <v>214.2</v>
      </c>
      <c r="F611" s="5">
        <v>45683</v>
      </c>
      <c r="G611" s="5">
        <v>45687</v>
      </c>
      <c r="H611" s="3" t="s">
        <v>31</v>
      </c>
      <c r="I611" s="4" t="s">
        <v>75</v>
      </c>
      <c r="J611" s="3">
        <v>3</v>
      </c>
      <c r="K611" s="3" t="s">
        <v>116</v>
      </c>
      <c r="L611" s="3">
        <v>4</v>
      </c>
      <c r="M611" s="3">
        <v>5</v>
      </c>
      <c r="N611" s="3" t="s">
        <v>33</v>
      </c>
    </row>
    <row r="612" spans="1:14" x14ac:dyDescent="0.3">
      <c r="A612" s="7" t="s">
        <v>695</v>
      </c>
      <c r="B612" s="7" t="s">
        <v>20</v>
      </c>
      <c r="C612" s="7">
        <v>20</v>
      </c>
      <c r="D612" s="10">
        <v>26.2</v>
      </c>
      <c r="E612" s="10">
        <v>524</v>
      </c>
      <c r="F612" s="9">
        <v>45683</v>
      </c>
      <c r="G612" s="9">
        <v>45684</v>
      </c>
      <c r="H612" s="7" t="s">
        <v>31</v>
      </c>
      <c r="I612" s="8" t="s">
        <v>56</v>
      </c>
      <c r="J612" s="7">
        <v>4</v>
      </c>
      <c r="K612" s="7" t="s">
        <v>121</v>
      </c>
      <c r="L612" s="7">
        <v>1</v>
      </c>
      <c r="M612" s="7">
        <v>5</v>
      </c>
      <c r="N612" s="7" t="s">
        <v>33</v>
      </c>
    </row>
    <row r="613" spans="1:14" x14ac:dyDescent="0.3">
      <c r="A613" s="3" t="s">
        <v>696</v>
      </c>
      <c r="B613" s="3" t="s">
        <v>47</v>
      </c>
      <c r="C613" s="3">
        <v>2</v>
      </c>
      <c r="D613" s="6">
        <v>31</v>
      </c>
      <c r="E613" s="6">
        <v>62</v>
      </c>
      <c r="F613" s="5">
        <v>45683</v>
      </c>
      <c r="G613" s="5">
        <v>45684</v>
      </c>
      <c r="H613" s="3" t="s">
        <v>31</v>
      </c>
      <c r="I613" s="4" t="s">
        <v>21</v>
      </c>
      <c r="J613" s="3">
        <v>5</v>
      </c>
      <c r="K613" s="3" t="s">
        <v>27</v>
      </c>
      <c r="L613" s="3">
        <v>1</v>
      </c>
      <c r="M613" s="3">
        <v>5</v>
      </c>
      <c r="N613" s="3" t="s">
        <v>33</v>
      </c>
    </row>
    <row r="614" spans="1:14" x14ac:dyDescent="0.3">
      <c r="A614" s="7" t="s">
        <v>697</v>
      </c>
      <c r="B614" s="7" t="s">
        <v>49</v>
      </c>
      <c r="C614" s="7">
        <v>4</v>
      </c>
      <c r="D614" s="10">
        <v>37.700000000000003</v>
      </c>
      <c r="E614" s="10">
        <v>150.80000000000001</v>
      </c>
      <c r="F614" s="9">
        <v>45683</v>
      </c>
      <c r="G614" s="9">
        <v>45684</v>
      </c>
      <c r="H614" s="7" t="s">
        <v>31</v>
      </c>
      <c r="I614" s="8" t="s">
        <v>40</v>
      </c>
      <c r="J614" s="7">
        <v>4</v>
      </c>
      <c r="K614" s="7" t="s">
        <v>153</v>
      </c>
      <c r="L614" s="7">
        <v>1</v>
      </c>
      <c r="M614" s="7">
        <v>5</v>
      </c>
      <c r="N614" s="7" t="s">
        <v>33</v>
      </c>
    </row>
    <row r="615" spans="1:14" x14ac:dyDescent="0.3">
      <c r="A615" s="3" t="s">
        <v>698</v>
      </c>
      <c r="B615" s="3" t="s">
        <v>59</v>
      </c>
      <c r="C615" s="3">
        <v>34</v>
      </c>
      <c r="D615" s="6">
        <v>43.6</v>
      </c>
      <c r="E615" s="6">
        <v>1482.4</v>
      </c>
      <c r="F615" s="5">
        <v>45683</v>
      </c>
      <c r="G615" s="5">
        <v>45685</v>
      </c>
      <c r="H615" s="3" t="s">
        <v>31</v>
      </c>
      <c r="I615" s="4" t="s">
        <v>75</v>
      </c>
      <c r="J615" s="3">
        <v>3</v>
      </c>
      <c r="K615" s="3" t="s">
        <v>38</v>
      </c>
      <c r="L615" s="3">
        <v>2</v>
      </c>
      <c r="M615" s="3">
        <v>5</v>
      </c>
      <c r="N615" s="3" t="s">
        <v>33</v>
      </c>
    </row>
    <row r="616" spans="1:14" x14ac:dyDescent="0.3">
      <c r="A616" s="7" t="s">
        <v>699</v>
      </c>
      <c r="B616" s="7" t="s">
        <v>51</v>
      </c>
      <c r="C616" s="7">
        <v>4</v>
      </c>
      <c r="D616" s="10">
        <v>26.5</v>
      </c>
      <c r="E616" s="10">
        <v>106</v>
      </c>
      <c r="F616" s="9">
        <v>45683</v>
      </c>
      <c r="G616" s="9">
        <v>45685</v>
      </c>
      <c r="H616" s="7" t="s">
        <v>26</v>
      </c>
      <c r="I616" s="8" t="s">
        <v>21</v>
      </c>
      <c r="J616" s="7">
        <v>2</v>
      </c>
      <c r="K616" s="7" t="s">
        <v>38</v>
      </c>
      <c r="L616" s="7">
        <v>2</v>
      </c>
      <c r="M616" s="7">
        <v>5</v>
      </c>
      <c r="N616" s="7" t="s">
        <v>28</v>
      </c>
    </row>
    <row r="617" spans="1:14" x14ac:dyDescent="0.3">
      <c r="A617" s="3" t="s">
        <v>700</v>
      </c>
      <c r="B617" s="3" t="s">
        <v>20</v>
      </c>
      <c r="C617" s="3">
        <v>2</v>
      </c>
      <c r="D617" s="6">
        <v>34.6</v>
      </c>
      <c r="E617" s="6">
        <v>69.2</v>
      </c>
      <c r="F617" s="5">
        <v>45683</v>
      </c>
      <c r="G617" s="5">
        <v>45684</v>
      </c>
      <c r="H617" s="3" t="s">
        <v>26</v>
      </c>
      <c r="I617" s="4" t="s">
        <v>75</v>
      </c>
      <c r="J617" s="3">
        <v>3</v>
      </c>
      <c r="K617" s="3" t="s">
        <v>38</v>
      </c>
      <c r="L617" s="3">
        <v>1</v>
      </c>
      <c r="M617" s="3">
        <v>5</v>
      </c>
      <c r="N617" s="3" t="s">
        <v>28</v>
      </c>
    </row>
    <row r="618" spans="1:14" x14ac:dyDescent="0.3">
      <c r="A618" s="7" t="s">
        <v>701</v>
      </c>
      <c r="B618" s="7" t="s">
        <v>49</v>
      </c>
      <c r="C618" s="7">
        <v>2</v>
      </c>
      <c r="D618" s="10">
        <v>58.2</v>
      </c>
      <c r="E618" s="10">
        <v>116.4</v>
      </c>
      <c r="F618" s="9">
        <v>45683</v>
      </c>
      <c r="G618" s="9">
        <v>45684</v>
      </c>
      <c r="H618" s="7" t="s">
        <v>26</v>
      </c>
      <c r="I618" s="8" t="s">
        <v>45</v>
      </c>
      <c r="J618" s="7">
        <v>5</v>
      </c>
      <c r="K618" s="7" t="s">
        <v>38</v>
      </c>
      <c r="L618" s="7">
        <v>1</v>
      </c>
      <c r="M618" s="7">
        <v>5</v>
      </c>
      <c r="N618" s="7" t="s">
        <v>28</v>
      </c>
    </row>
    <row r="619" spans="1:14" x14ac:dyDescent="0.3">
      <c r="A619" s="3" t="s">
        <v>702</v>
      </c>
      <c r="B619" s="3" t="s">
        <v>47</v>
      </c>
      <c r="C619" s="3">
        <v>1</v>
      </c>
      <c r="D619" s="6">
        <v>30.2</v>
      </c>
      <c r="E619" s="6">
        <v>30.2</v>
      </c>
      <c r="F619" s="5">
        <v>45684</v>
      </c>
      <c r="G619" s="5">
        <v>45685</v>
      </c>
      <c r="H619" s="3" t="s">
        <v>31</v>
      </c>
      <c r="I619" s="4" t="s">
        <v>45</v>
      </c>
      <c r="J619" s="3">
        <v>3</v>
      </c>
      <c r="K619" s="3" t="s">
        <v>38</v>
      </c>
      <c r="L619" s="3">
        <v>1</v>
      </c>
      <c r="M619" s="3">
        <v>5</v>
      </c>
      <c r="N619" s="3" t="s">
        <v>33</v>
      </c>
    </row>
    <row r="620" spans="1:14" x14ac:dyDescent="0.3">
      <c r="A620" s="7" t="s">
        <v>703</v>
      </c>
      <c r="B620" s="7" t="s">
        <v>25</v>
      </c>
      <c r="C620" s="7">
        <v>10</v>
      </c>
      <c r="D620" s="10">
        <v>53.2</v>
      </c>
      <c r="E620" s="10">
        <v>532</v>
      </c>
      <c r="F620" s="9">
        <v>45684</v>
      </c>
      <c r="G620" s="9">
        <v>45685</v>
      </c>
      <c r="H620" s="7" t="s">
        <v>26</v>
      </c>
      <c r="I620" s="8" t="s">
        <v>21</v>
      </c>
      <c r="J620" s="7">
        <v>5</v>
      </c>
      <c r="K620" s="7" t="s">
        <v>57</v>
      </c>
      <c r="L620" s="7">
        <v>1</v>
      </c>
      <c r="M620" s="7">
        <v>5</v>
      </c>
      <c r="N620" s="7" t="s">
        <v>28</v>
      </c>
    </row>
    <row r="621" spans="1:14" x14ac:dyDescent="0.3">
      <c r="A621" s="3" t="s">
        <v>704</v>
      </c>
      <c r="B621" s="3" t="s">
        <v>74</v>
      </c>
      <c r="C621" s="3">
        <v>6</v>
      </c>
      <c r="D621" s="6">
        <v>51.1</v>
      </c>
      <c r="E621" s="6">
        <v>306.60000000000002</v>
      </c>
      <c r="F621" s="5">
        <v>45684</v>
      </c>
      <c r="G621" s="5">
        <v>45684</v>
      </c>
      <c r="H621" s="3" t="s">
        <v>26</v>
      </c>
      <c r="I621" s="4" t="s">
        <v>40</v>
      </c>
      <c r="J621" s="3">
        <v>5</v>
      </c>
      <c r="K621" s="3" t="s">
        <v>57</v>
      </c>
      <c r="L621" s="3">
        <v>0</v>
      </c>
      <c r="M621" s="3">
        <v>5</v>
      </c>
      <c r="N621" s="3" t="s">
        <v>28</v>
      </c>
    </row>
    <row r="622" spans="1:14" x14ac:dyDescent="0.3">
      <c r="A622" s="7" t="s">
        <v>705</v>
      </c>
      <c r="B622" s="7" t="s">
        <v>25</v>
      </c>
      <c r="C622" s="7">
        <v>1</v>
      </c>
      <c r="D622" s="10">
        <v>105.4</v>
      </c>
      <c r="E622" s="10">
        <v>105.4</v>
      </c>
      <c r="F622" s="9">
        <v>45684</v>
      </c>
      <c r="G622" s="9">
        <v>45688</v>
      </c>
      <c r="H622" s="7" t="s">
        <v>31</v>
      </c>
      <c r="I622" s="8" t="s">
        <v>40</v>
      </c>
      <c r="J622" s="7">
        <v>5</v>
      </c>
      <c r="K622" s="7" t="s">
        <v>164</v>
      </c>
      <c r="L622" s="7">
        <v>4</v>
      </c>
      <c r="M622" s="7">
        <v>5</v>
      </c>
      <c r="N622" s="7" t="s">
        <v>33</v>
      </c>
    </row>
    <row r="623" spans="1:14" x14ac:dyDescent="0.3">
      <c r="A623" s="3" t="s">
        <v>706</v>
      </c>
      <c r="B623" s="3" t="s">
        <v>47</v>
      </c>
      <c r="C623" s="3">
        <v>1</v>
      </c>
      <c r="D623" s="6">
        <v>57.7</v>
      </c>
      <c r="E623" s="6">
        <v>57.7</v>
      </c>
      <c r="F623" s="5">
        <v>45684</v>
      </c>
      <c r="G623" s="5">
        <v>45684</v>
      </c>
      <c r="H623" s="3" t="s">
        <v>26</v>
      </c>
      <c r="I623" s="4" t="s">
        <v>21</v>
      </c>
      <c r="J623" s="3">
        <v>2</v>
      </c>
      <c r="K623" s="3" t="s">
        <v>67</v>
      </c>
      <c r="L623" s="3">
        <v>0</v>
      </c>
      <c r="M623" s="3">
        <v>5</v>
      </c>
      <c r="N623" s="3" t="s">
        <v>28</v>
      </c>
    </row>
    <row r="624" spans="1:14" x14ac:dyDescent="0.3">
      <c r="A624" s="7" t="s">
        <v>707</v>
      </c>
      <c r="B624" s="7" t="s">
        <v>129</v>
      </c>
      <c r="C624" s="7">
        <v>2</v>
      </c>
      <c r="D624" s="10">
        <v>72.400000000000006</v>
      </c>
      <c r="E624" s="10">
        <v>144.80000000000001</v>
      </c>
      <c r="F624" s="9">
        <v>45684</v>
      </c>
      <c r="G624" s="9">
        <v>45689</v>
      </c>
      <c r="H624" s="7" t="s">
        <v>31</v>
      </c>
      <c r="I624" s="8" t="s">
        <v>21</v>
      </c>
      <c r="J624" s="7">
        <v>4</v>
      </c>
      <c r="K624" s="7" t="s">
        <v>109</v>
      </c>
      <c r="L624" s="7">
        <v>5</v>
      </c>
      <c r="M624" s="7">
        <v>5</v>
      </c>
      <c r="N624" s="7" t="s">
        <v>33</v>
      </c>
    </row>
    <row r="625" spans="1:14" x14ac:dyDescent="0.3">
      <c r="A625" s="3" t="s">
        <v>708</v>
      </c>
      <c r="B625" s="3" t="s">
        <v>44</v>
      </c>
      <c r="C625" s="3">
        <v>2</v>
      </c>
      <c r="D625" s="6">
        <v>62.5</v>
      </c>
      <c r="E625" s="6">
        <v>125</v>
      </c>
      <c r="F625" s="5">
        <v>45684</v>
      </c>
      <c r="G625" s="5">
        <v>45685</v>
      </c>
      <c r="H625" s="3"/>
      <c r="I625" s="4" t="s">
        <v>21</v>
      </c>
      <c r="J625" s="3">
        <v>5</v>
      </c>
      <c r="K625" s="3" t="s">
        <v>82</v>
      </c>
      <c r="L625" s="3">
        <v>1</v>
      </c>
      <c r="M625" s="3">
        <v>5</v>
      </c>
      <c r="N625" s="3" t="s">
        <v>23</v>
      </c>
    </row>
    <row r="626" spans="1:14" x14ac:dyDescent="0.3">
      <c r="A626" s="7" t="s">
        <v>709</v>
      </c>
      <c r="B626" s="7" t="s">
        <v>20</v>
      </c>
      <c r="C626" s="7">
        <v>22</v>
      </c>
      <c r="D626" s="10">
        <v>11.6</v>
      </c>
      <c r="E626" s="10">
        <v>255.2</v>
      </c>
      <c r="F626" s="9">
        <v>45684</v>
      </c>
      <c r="G626" s="9">
        <v>45686</v>
      </c>
      <c r="H626" s="7" t="s">
        <v>31</v>
      </c>
      <c r="I626" s="8" t="s">
        <v>56</v>
      </c>
      <c r="J626" s="7">
        <v>5</v>
      </c>
      <c r="K626" s="7" t="s">
        <v>114</v>
      </c>
      <c r="L626" s="7">
        <v>2</v>
      </c>
      <c r="M626" s="7">
        <v>5</v>
      </c>
      <c r="N626" s="7" t="s">
        <v>33</v>
      </c>
    </row>
    <row r="627" spans="1:14" x14ac:dyDescent="0.3">
      <c r="A627" s="3" t="s">
        <v>710</v>
      </c>
      <c r="B627" s="3" t="s">
        <v>59</v>
      </c>
      <c r="C627" s="3">
        <v>10</v>
      </c>
      <c r="D627" s="6">
        <v>39.6</v>
      </c>
      <c r="E627" s="6">
        <v>396</v>
      </c>
      <c r="F627" s="5">
        <v>45684</v>
      </c>
      <c r="G627" s="5">
        <v>45686</v>
      </c>
      <c r="H627" s="3" t="s">
        <v>31</v>
      </c>
      <c r="I627" s="4" t="s">
        <v>45</v>
      </c>
      <c r="J627" s="3">
        <v>5</v>
      </c>
      <c r="K627" s="3" t="s">
        <v>114</v>
      </c>
      <c r="L627" s="3">
        <v>2</v>
      </c>
      <c r="M627" s="3">
        <v>5</v>
      </c>
      <c r="N627" s="3" t="s">
        <v>33</v>
      </c>
    </row>
    <row r="628" spans="1:14" x14ac:dyDescent="0.3">
      <c r="A628" s="7" t="s">
        <v>711</v>
      </c>
      <c r="B628" s="7" t="s">
        <v>49</v>
      </c>
      <c r="C628" s="7">
        <v>2</v>
      </c>
      <c r="D628" s="10">
        <v>40.1</v>
      </c>
      <c r="E628" s="10">
        <v>80.2</v>
      </c>
      <c r="F628" s="9">
        <v>45684</v>
      </c>
      <c r="G628" s="9">
        <v>45685</v>
      </c>
      <c r="H628" s="7" t="s">
        <v>31</v>
      </c>
      <c r="I628" s="8" t="s">
        <v>45</v>
      </c>
      <c r="J628" s="7">
        <v>4</v>
      </c>
      <c r="K628" s="7" t="s">
        <v>114</v>
      </c>
      <c r="L628" s="7">
        <v>1</v>
      </c>
      <c r="M628" s="7">
        <v>5</v>
      </c>
      <c r="N628" s="7" t="s">
        <v>33</v>
      </c>
    </row>
    <row r="629" spans="1:14" x14ac:dyDescent="0.3">
      <c r="A629" s="3" t="s">
        <v>712</v>
      </c>
      <c r="B629" s="3" t="s">
        <v>49</v>
      </c>
      <c r="C629" s="3">
        <v>3</v>
      </c>
      <c r="D629" s="6">
        <v>18.600000000000001</v>
      </c>
      <c r="E629" s="6">
        <v>55.8</v>
      </c>
      <c r="F629" s="5">
        <v>45684</v>
      </c>
      <c r="G629" s="5">
        <v>45685</v>
      </c>
      <c r="H629" s="3" t="s">
        <v>31</v>
      </c>
      <c r="I629" s="4" t="s">
        <v>45</v>
      </c>
      <c r="J629" s="3">
        <v>4</v>
      </c>
      <c r="K629" s="3" t="s">
        <v>121</v>
      </c>
      <c r="L629" s="3">
        <v>1</v>
      </c>
      <c r="M629" s="3">
        <v>5</v>
      </c>
      <c r="N629" s="3" t="s">
        <v>33</v>
      </c>
    </row>
    <row r="630" spans="1:14" x14ac:dyDescent="0.3">
      <c r="A630" s="7" t="s">
        <v>713</v>
      </c>
      <c r="B630" s="7" t="s">
        <v>37</v>
      </c>
      <c r="C630" s="7">
        <v>1</v>
      </c>
      <c r="D630" s="10">
        <v>58.8</v>
      </c>
      <c r="E630" s="10">
        <v>58.8</v>
      </c>
      <c r="F630" s="9">
        <v>45684</v>
      </c>
      <c r="G630" s="9">
        <v>45686</v>
      </c>
      <c r="H630" s="7" t="s">
        <v>31</v>
      </c>
      <c r="I630" s="8" t="s">
        <v>21</v>
      </c>
      <c r="J630" s="7">
        <v>3</v>
      </c>
      <c r="K630" s="7" t="s">
        <v>121</v>
      </c>
      <c r="L630" s="7">
        <v>2</v>
      </c>
      <c r="M630" s="7">
        <v>5</v>
      </c>
      <c r="N630" s="7" t="s">
        <v>33</v>
      </c>
    </row>
    <row r="631" spans="1:14" x14ac:dyDescent="0.3">
      <c r="A631" s="3" t="s">
        <v>714</v>
      </c>
      <c r="B631" s="3" t="s">
        <v>49</v>
      </c>
      <c r="C631" s="3">
        <v>2</v>
      </c>
      <c r="D631" s="6">
        <v>22.1</v>
      </c>
      <c r="E631" s="6">
        <v>44.2</v>
      </c>
      <c r="F631" s="5">
        <v>45684</v>
      </c>
      <c r="G631" s="5">
        <v>45687</v>
      </c>
      <c r="H631" s="3" t="s">
        <v>26</v>
      </c>
      <c r="I631" s="4" t="s">
        <v>40</v>
      </c>
      <c r="J631" s="3">
        <v>5</v>
      </c>
      <c r="K631" s="3" t="s">
        <v>121</v>
      </c>
      <c r="L631" s="3">
        <v>3</v>
      </c>
      <c r="M631" s="3">
        <v>5</v>
      </c>
      <c r="N631" s="3" t="s">
        <v>28</v>
      </c>
    </row>
    <row r="632" spans="1:14" x14ac:dyDescent="0.3">
      <c r="A632" s="7" t="s">
        <v>715</v>
      </c>
      <c r="B632" s="7" t="s">
        <v>30</v>
      </c>
      <c r="C632" s="7">
        <v>1</v>
      </c>
      <c r="D632" s="10">
        <v>114.9</v>
      </c>
      <c r="E632" s="10">
        <v>114.9</v>
      </c>
      <c r="F632" s="9">
        <v>45685</v>
      </c>
      <c r="G632" s="9">
        <v>45686</v>
      </c>
      <c r="H632" s="7" t="s">
        <v>31</v>
      </c>
      <c r="I632" s="8" t="s">
        <v>40</v>
      </c>
      <c r="J632" s="7">
        <v>3</v>
      </c>
      <c r="K632" s="7" t="s">
        <v>153</v>
      </c>
      <c r="L632" s="7">
        <v>1</v>
      </c>
      <c r="M632" s="7">
        <v>5</v>
      </c>
      <c r="N632" s="7" t="s">
        <v>33</v>
      </c>
    </row>
    <row r="633" spans="1:14" x14ac:dyDescent="0.3">
      <c r="A633" s="3" t="s">
        <v>716</v>
      </c>
      <c r="B633" s="3" t="s">
        <v>51</v>
      </c>
      <c r="C633" s="3">
        <v>5</v>
      </c>
      <c r="D633" s="6">
        <v>75.8</v>
      </c>
      <c r="E633" s="6">
        <v>379</v>
      </c>
      <c r="F633" s="5">
        <v>45685</v>
      </c>
      <c r="G633" s="5">
        <v>45686</v>
      </c>
      <c r="H633" s="3" t="s">
        <v>26</v>
      </c>
      <c r="I633" s="4" t="s">
        <v>21</v>
      </c>
      <c r="J633" s="3">
        <v>5</v>
      </c>
      <c r="K633" s="3" t="s">
        <v>38</v>
      </c>
      <c r="L633" s="3">
        <v>1</v>
      </c>
      <c r="M633" s="3">
        <v>5</v>
      </c>
      <c r="N633" s="3" t="s">
        <v>28</v>
      </c>
    </row>
    <row r="634" spans="1:14" x14ac:dyDescent="0.3">
      <c r="A634" s="7" t="s">
        <v>717</v>
      </c>
      <c r="B634" s="7" t="s">
        <v>86</v>
      </c>
      <c r="C634" s="7">
        <v>5</v>
      </c>
      <c r="D634" s="10">
        <v>20.6</v>
      </c>
      <c r="E634" s="10">
        <v>103</v>
      </c>
      <c r="F634" s="9">
        <v>45685</v>
      </c>
      <c r="G634" s="9">
        <v>45686</v>
      </c>
      <c r="H634" s="7" t="s">
        <v>26</v>
      </c>
      <c r="I634" s="8" t="s">
        <v>45</v>
      </c>
      <c r="J634" s="7">
        <v>5</v>
      </c>
      <c r="K634" s="7" t="s">
        <v>38</v>
      </c>
      <c r="L634" s="7">
        <v>1</v>
      </c>
      <c r="M634" s="7">
        <v>5</v>
      </c>
      <c r="N634" s="7" t="s">
        <v>28</v>
      </c>
    </row>
    <row r="635" spans="1:14" x14ac:dyDescent="0.3">
      <c r="A635" s="3" t="s">
        <v>718</v>
      </c>
      <c r="B635" s="3" t="s">
        <v>141</v>
      </c>
      <c r="C635" s="3">
        <v>3</v>
      </c>
      <c r="D635" s="6">
        <v>67.900000000000006</v>
      </c>
      <c r="E635" s="6">
        <v>203.7</v>
      </c>
      <c r="F635" s="5">
        <v>45685</v>
      </c>
      <c r="G635" s="5">
        <v>45686</v>
      </c>
      <c r="H635" s="3" t="s">
        <v>31</v>
      </c>
      <c r="I635" s="4" t="s">
        <v>40</v>
      </c>
      <c r="J635" s="3">
        <v>3</v>
      </c>
      <c r="K635" s="3" t="s">
        <v>38</v>
      </c>
      <c r="L635" s="3">
        <v>1</v>
      </c>
      <c r="M635" s="3">
        <v>5</v>
      </c>
      <c r="N635" s="3" t="s">
        <v>33</v>
      </c>
    </row>
    <row r="636" spans="1:14" x14ac:dyDescent="0.3">
      <c r="A636" s="7" t="s">
        <v>719</v>
      </c>
      <c r="B636" s="7" t="s">
        <v>20</v>
      </c>
      <c r="C636" s="7">
        <v>5</v>
      </c>
      <c r="D636" s="10">
        <v>27</v>
      </c>
      <c r="E636" s="10">
        <v>135</v>
      </c>
      <c r="F636" s="9">
        <v>45685</v>
      </c>
      <c r="G636" s="9">
        <v>45692</v>
      </c>
      <c r="H636" s="7" t="s">
        <v>31</v>
      </c>
      <c r="I636" s="8" t="s">
        <v>21</v>
      </c>
      <c r="J636" s="7">
        <v>5</v>
      </c>
      <c r="K636" s="7" t="s">
        <v>38</v>
      </c>
      <c r="L636" s="7">
        <v>7</v>
      </c>
      <c r="M636" s="7">
        <v>5</v>
      </c>
      <c r="N636" s="7" t="s">
        <v>33</v>
      </c>
    </row>
    <row r="637" spans="1:14" x14ac:dyDescent="0.3">
      <c r="A637" s="3" t="s">
        <v>720</v>
      </c>
      <c r="B637" s="3" t="s">
        <v>81</v>
      </c>
      <c r="C637" s="3">
        <v>1</v>
      </c>
      <c r="D637" s="6">
        <v>50.6</v>
      </c>
      <c r="E637" s="6">
        <v>50.6</v>
      </c>
      <c r="F637" s="5">
        <v>45685</v>
      </c>
      <c r="G637" s="5">
        <v>45685</v>
      </c>
      <c r="H637" s="3" t="s">
        <v>26</v>
      </c>
      <c r="I637" s="4" t="s">
        <v>21</v>
      </c>
      <c r="J637" s="3">
        <v>3</v>
      </c>
      <c r="K637" s="3" t="s">
        <v>38</v>
      </c>
      <c r="L637" s="3">
        <v>0</v>
      </c>
      <c r="M637" s="3">
        <v>5</v>
      </c>
      <c r="N637" s="3" t="s">
        <v>28</v>
      </c>
    </row>
    <row r="638" spans="1:14" x14ac:dyDescent="0.3">
      <c r="A638" s="7" t="s">
        <v>721</v>
      </c>
      <c r="B638" s="7" t="s">
        <v>37</v>
      </c>
      <c r="C638" s="7">
        <v>5</v>
      </c>
      <c r="D638" s="10">
        <v>22.1</v>
      </c>
      <c r="E638" s="10">
        <v>110.5</v>
      </c>
      <c r="F638" s="9">
        <v>45685</v>
      </c>
      <c r="G638" s="9">
        <v>45690</v>
      </c>
      <c r="H638" s="7" t="s">
        <v>26</v>
      </c>
      <c r="I638" s="8" t="s">
        <v>21</v>
      </c>
      <c r="J638" s="7">
        <v>4</v>
      </c>
      <c r="K638" s="7" t="s">
        <v>38</v>
      </c>
      <c r="L638" s="7">
        <v>5</v>
      </c>
      <c r="M638" s="7">
        <v>5</v>
      </c>
      <c r="N638" s="7" t="s">
        <v>28</v>
      </c>
    </row>
    <row r="639" spans="1:14" x14ac:dyDescent="0.3">
      <c r="A639" s="3" t="s">
        <v>722</v>
      </c>
      <c r="B639" s="3" t="s">
        <v>49</v>
      </c>
      <c r="C639" s="3">
        <v>3</v>
      </c>
      <c r="D639" s="6">
        <v>42.9</v>
      </c>
      <c r="E639" s="6">
        <v>128.69999999999999</v>
      </c>
      <c r="F639" s="5">
        <v>45685</v>
      </c>
      <c r="G639" s="5">
        <v>45687</v>
      </c>
      <c r="H639" s="3" t="s">
        <v>31</v>
      </c>
      <c r="I639" s="4" t="s">
        <v>21</v>
      </c>
      <c r="J639" s="3">
        <v>4</v>
      </c>
      <c r="K639" s="3" t="s">
        <v>38</v>
      </c>
      <c r="L639" s="3">
        <v>2</v>
      </c>
      <c r="M639" s="3">
        <v>5</v>
      </c>
      <c r="N639" s="3" t="s">
        <v>33</v>
      </c>
    </row>
    <row r="640" spans="1:14" x14ac:dyDescent="0.3">
      <c r="A640" s="7" t="s">
        <v>723</v>
      </c>
      <c r="B640" s="7" t="s">
        <v>25</v>
      </c>
      <c r="C640" s="7">
        <v>11</v>
      </c>
      <c r="D640" s="10">
        <v>62.4</v>
      </c>
      <c r="E640" s="10">
        <v>686.4</v>
      </c>
      <c r="F640" s="9">
        <v>45685</v>
      </c>
      <c r="G640" s="9">
        <v>45687</v>
      </c>
      <c r="H640" s="7" t="s">
        <v>31</v>
      </c>
      <c r="I640" s="8" t="s">
        <v>45</v>
      </c>
      <c r="J640" s="7">
        <v>4</v>
      </c>
      <c r="K640" s="7" t="s">
        <v>38</v>
      </c>
      <c r="L640" s="7">
        <v>2</v>
      </c>
      <c r="M640" s="7">
        <v>5</v>
      </c>
      <c r="N640" s="7" t="s">
        <v>33</v>
      </c>
    </row>
    <row r="641" spans="1:14" x14ac:dyDescent="0.3">
      <c r="A641" s="3" t="s">
        <v>724</v>
      </c>
      <c r="B641" s="3" t="s">
        <v>81</v>
      </c>
      <c r="C641" s="3">
        <v>9</v>
      </c>
      <c r="D641" s="6">
        <v>36.4</v>
      </c>
      <c r="E641" s="6">
        <v>327.60000000000002</v>
      </c>
      <c r="F641" s="5">
        <v>45685</v>
      </c>
      <c r="G641" s="5">
        <v>45687</v>
      </c>
      <c r="H641" s="3" t="s">
        <v>31</v>
      </c>
      <c r="I641" s="4" t="s">
        <v>21</v>
      </c>
      <c r="J641" s="3">
        <v>5</v>
      </c>
      <c r="K641" s="3" t="s">
        <v>38</v>
      </c>
      <c r="L641" s="3">
        <v>2</v>
      </c>
      <c r="M641" s="3">
        <v>5</v>
      </c>
      <c r="N641" s="3" t="s">
        <v>33</v>
      </c>
    </row>
    <row r="642" spans="1:14" x14ac:dyDescent="0.3">
      <c r="A642" s="7" t="s">
        <v>725</v>
      </c>
      <c r="B642" s="7" t="s">
        <v>20</v>
      </c>
      <c r="C642" s="7">
        <v>2</v>
      </c>
      <c r="D642" s="10">
        <v>22.5</v>
      </c>
      <c r="E642" s="10">
        <v>45</v>
      </c>
      <c r="F642" s="9">
        <v>45685</v>
      </c>
      <c r="G642" s="9">
        <v>45688</v>
      </c>
      <c r="H642" s="7" t="s">
        <v>26</v>
      </c>
      <c r="I642" s="8" t="s">
        <v>21</v>
      </c>
      <c r="J642" s="7">
        <v>4</v>
      </c>
      <c r="K642" s="7" t="s">
        <v>38</v>
      </c>
      <c r="L642" s="7">
        <v>3</v>
      </c>
      <c r="M642" s="7">
        <v>5</v>
      </c>
      <c r="N642" s="7" t="s">
        <v>28</v>
      </c>
    </row>
    <row r="643" spans="1:14" x14ac:dyDescent="0.3">
      <c r="A643" s="3" t="s">
        <v>726</v>
      </c>
      <c r="B643" s="3" t="s">
        <v>44</v>
      </c>
      <c r="C643" s="3">
        <v>4</v>
      </c>
      <c r="D643" s="6">
        <v>70.8</v>
      </c>
      <c r="E643" s="6">
        <v>283.2</v>
      </c>
      <c r="F643" s="5">
        <v>45685</v>
      </c>
      <c r="G643" s="5">
        <v>45687</v>
      </c>
      <c r="H643" s="3" t="s">
        <v>31</v>
      </c>
      <c r="I643" s="4" t="s">
        <v>75</v>
      </c>
      <c r="J643" s="3">
        <v>4</v>
      </c>
      <c r="K643" s="3" t="s">
        <v>38</v>
      </c>
      <c r="L643" s="3">
        <v>2</v>
      </c>
      <c r="M643" s="3">
        <v>5</v>
      </c>
      <c r="N643" s="3" t="s">
        <v>33</v>
      </c>
    </row>
    <row r="644" spans="1:14" x14ac:dyDescent="0.3">
      <c r="A644" s="7" t="s">
        <v>727</v>
      </c>
      <c r="B644" s="7" t="s">
        <v>44</v>
      </c>
      <c r="C644" s="7">
        <v>5</v>
      </c>
      <c r="D644" s="10">
        <v>56.6</v>
      </c>
      <c r="E644" s="10">
        <v>283</v>
      </c>
      <c r="F644" s="9">
        <v>45685</v>
      </c>
      <c r="G644" s="9">
        <v>45687</v>
      </c>
      <c r="H644" s="7" t="s">
        <v>26</v>
      </c>
      <c r="I644" s="8" t="s">
        <v>21</v>
      </c>
      <c r="J644" s="7">
        <v>3</v>
      </c>
      <c r="K644" s="7" t="s">
        <v>54</v>
      </c>
      <c r="L644" s="7">
        <v>2</v>
      </c>
      <c r="M644" s="7">
        <v>5</v>
      </c>
      <c r="N644" s="7" t="s">
        <v>28</v>
      </c>
    </row>
    <row r="645" spans="1:14" x14ac:dyDescent="0.3">
      <c r="A645" s="3" t="s">
        <v>728</v>
      </c>
      <c r="B645" s="3" t="s">
        <v>44</v>
      </c>
      <c r="C645" s="3">
        <v>2</v>
      </c>
      <c r="D645" s="6">
        <v>47.9</v>
      </c>
      <c r="E645" s="6">
        <v>95.8</v>
      </c>
      <c r="F645" s="5">
        <v>45685</v>
      </c>
      <c r="G645" s="5">
        <v>45686</v>
      </c>
      <c r="H645" s="3" t="s">
        <v>31</v>
      </c>
      <c r="I645" s="4" t="s">
        <v>21</v>
      </c>
      <c r="J645" s="3">
        <v>4</v>
      </c>
      <c r="K645" s="3" t="s">
        <v>60</v>
      </c>
      <c r="L645" s="3">
        <v>1</v>
      </c>
      <c r="M645" s="3">
        <v>5</v>
      </c>
      <c r="N645" s="3" t="s">
        <v>33</v>
      </c>
    </row>
    <row r="646" spans="1:14" x14ac:dyDescent="0.3">
      <c r="A646" s="7" t="s">
        <v>729</v>
      </c>
      <c r="B646" s="7" t="s">
        <v>44</v>
      </c>
      <c r="C646" s="7">
        <v>8</v>
      </c>
      <c r="D646" s="10">
        <v>78.400000000000006</v>
      </c>
      <c r="E646" s="10">
        <v>627.20000000000005</v>
      </c>
      <c r="F646" s="9">
        <v>45685</v>
      </c>
      <c r="G646" s="9">
        <v>45687</v>
      </c>
      <c r="H646" s="7" t="s">
        <v>31</v>
      </c>
      <c r="I646" s="8" t="s">
        <v>40</v>
      </c>
      <c r="J646" s="7">
        <v>4</v>
      </c>
      <c r="K646" s="7" t="s">
        <v>60</v>
      </c>
      <c r="L646" s="7">
        <v>2</v>
      </c>
      <c r="M646" s="7">
        <v>5</v>
      </c>
      <c r="N646" s="7" t="s">
        <v>33</v>
      </c>
    </row>
    <row r="647" spans="1:14" x14ac:dyDescent="0.3">
      <c r="A647" s="3" t="s">
        <v>730</v>
      </c>
      <c r="B647" s="3" t="s">
        <v>30</v>
      </c>
      <c r="C647" s="3">
        <v>14</v>
      </c>
      <c r="D647" s="6">
        <v>122.1</v>
      </c>
      <c r="E647" s="6">
        <v>1709.4</v>
      </c>
      <c r="F647" s="5">
        <v>45685</v>
      </c>
      <c r="G647" s="5">
        <v>45690</v>
      </c>
      <c r="H647" s="3" t="s">
        <v>31</v>
      </c>
      <c r="I647" s="4" t="s">
        <v>21</v>
      </c>
      <c r="J647" s="3">
        <v>5</v>
      </c>
      <c r="K647" s="3" t="s">
        <v>60</v>
      </c>
      <c r="L647" s="3">
        <v>5</v>
      </c>
      <c r="M647" s="3">
        <v>5</v>
      </c>
      <c r="N647" s="3" t="s">
        <v>33</v>
      </c>
    </row>
    <row r="648" spans="1:14" x14ac:dyDescent="0.3">
      <c r="A648" s="7" t="s">
        <v>731</v>
      </c>
      <c r="B648" s="7" t="s">
        <v>30</v>
      </c>
      <c r="C648" s="7">
        <v>2</v>
      </c>
      <c r="D648" s="10">
        <v>83.7</v>
      </c>
      <c r="E648" s="10">
        <v>167.4</v>
      </c>
      <c r="F648" s="9">
        <v>45686</v>
      </c>
      <c r="G648" s="9">
        <v>45686</v>
      </c>
      <c r="H648" s="7"/>
      <c r="I648" s="8" t="s">
        <v>40</v>
      </c>
      <c r="J648" s="7">
        <v>5</v>
      </c>
      <c r="K648" s="7" t="s">
        <v>64</v>
      </c>
      <c r="L648" s="7">
        <v>0</v>
      </c>
      <c r="M648" s="7">
        <v>5</v>
      </c>
      <c r="N648" s="7" t="s">
        <v>23</v>
      </c>
    </row>
    <row r="649" spans="1:14" x14ac:dyDescent="0.3">
      <c r="A649" s="3" t="s">
        <v>732</v>
      </c>
      <c r="B649" s="3" t="s">
        <v>35</v>
      </c>
      <c r="C649" s="3">
        <v>4</v>
      </c>
      <c r="D649" s="6">
        <v>97.9</v>
      </c>
      <c r="E649" s="6">
        <v>391.6</v>
      </c>
      <c r="F649" s="5">
        <v>45686</v>
      </c>
      <c r="G649" s="5">
        <v>45690</v>
      </c>
      <c r="H649" s="3" t="s">
        <v>31</v>
      </c>
      <c r="I649" s="4" t="s">
        <v>56</v>
      </c>
      <c r="J649" s="3">
        <v>5</v>
      </c>
      <c r="K649" s="3" t="s">
        <v>64</v>
      </c>
      <c r="L649" s="3">
        <v>4</v>
      </c>
      <c r="M649" s="3">
        <v>5</v>
      </c>
      <c r="N649" s="3" t="s">
        <v>33</v>
      </c>
    </row>
    <row r="650" spans="1:14" x14ac:dyDescent="0.3">
      <c r="A650" s="7" t="s">
        <v>733</v>
      </c>
      <c r="B650" s="7" t="s">
        <v>86</v>
      </c>
      <c r="C650" s="7">
        <v>1</v>
      </c>
      <c r="D650" s="10">
        <v>15</v>
      </c>
      <c r="E650" s="10">
        <v>15</v>
      </c>
      <c r="F650" s="9">
        <v>45686</v>
      </c>
      <c r="G650" s="9">
        <v>45691</v>
      </c>
      <c r="H650" s="7" t="s">
        <v>31</v>
      </c>
      <c r="I650" s="8" t="s">
        <v>56</v>
      </c>
      <c r="J650" s="7">
        <v>4</v>
      </c>
      <c r="K650" s="7" t="s">
        <v>67</v>
      </c>
      <c r="L650" s="7">
        <v>5</v>
      </c>
      <c r="M650" s="7">
        <v>5</v>
      </c>
      <c r="N650" s="7" t="s">
        <v>33</v>
      </c>
    </row>
    <row r="651" spans="1:14" x14ac:dyDescent="0.3">
      <c r="A651" s="3" t="s">
        <v>734</v>
      </c>
      <c r="B651" s="3" t="s">
        <v>74</v>
      </c>
      <c r="C651" s="3">
        <v>3</v>
      </c>
      <c r="D651" s="6">
        <v>94.6</v>
      </c>
      <c r="E651" s="6">
        <v>283.8</v>
      </c>
      <c r="F651" s="5">
        <v>45686</v>
      </c>
      <c r="G651" s="5">
        <v>45687</v>
      </c>
      <c r="H651" s="3" t="s">
        <v>26</v>
      </c>
      <c r="I651" s="4" t="s">
        <v>45</v>
      </c>
      <c r="J651" s="3">
        <v>3</v>
      </c>
      <c r="K651" s="3" t="s">
        <v>67</v>
      </c>
      <c r="L651" s="3">
        <v>1</v>
      </c>
      <c r="M651" s="3">
        <v>5</v>
      </c>
      <c r="N651" s="3" t="s">
        <v>28</v>
      </c>
    </row>
    <row r="652" spans="1:14" x14ac:dyDescent="0.3">
      <c r="A652" s="7" t="s">
        <v>735</v>
      </c>
      <c r="B652" s="7" t="s">
        <v>20</v>
      </c>
      <c r="C652" s="7">
        <v>6</v>
      </c>
      <c r="D652" s="10">
        <v>19.7</v>
      </c>
      <c r="E652" s="10">
        <v>118.2</v>
      </c>
      <c r="F652" s="9">
        <v>45686</v>
      </c>
      <c r="G652" s="9">
        <v>45697</v>
      </c>
      <c r="H652" s="7" t="s">
        <v>31</v>
      </c>
      <c r="I652" s="8" t="s">
        <v>21</v>
      </c>
      <c r="J652" s="7">
        <v>5</v>
      </c>
      <c r="K652" s="7" t="s">
        <v>67</v>
      </c>
      <c r="L652" s="7">
        <v>11</v>
      </c>
      <c r="M652" s="7">
        <v>5</v>
      </c>
      <c r="N652" s="7" t="s">
        <v>33</v>
      </c>
    </row>
    <row r="653" spans="1:14" x14ac:dyDescent="0.3">
      <c r="A653" s="3" t="s">
        <v>736</v>
      </c>
      <c r="B653" s="3" t="s">
        <v>47</v>
      </c>
      <c r="C653" s="3">
        <v>1</v>
      </c>
      <c r="D653" s="6">
        <v>46.7</v>
      </c>
      <c r="E653" s="6">
        <v>46.7</v>
      </c>
      <c r="F653" s="5">
        <v>45686</v>
      </c>
      <c r="G653" s="5">
        <v>45689</v>
      </c>
      <c r="H653" s="3" t="s">
        <v>31</v>
      </c>
      <c r="I653" s="4" t="s">
        <v>45</v>
      </c>
      <c r="J653" s="3">
        <v>4</v>
      </c>
      <c r="K653" s="3" t="s">
        <v>109</v>
      </c>
      <c r="L653" s="3">
        <v>3</v>
      </c>
      <c r="M653" s="3">
        <v>5</v>
      </c>
      <c r="N653" s="3" t="s">
        <v>33</v>
      </c>
    </row>
    <row r="654" spans="1:14" x14ac:dyDescent="0.3">
      <c r="A654" s="7" t="s">
        <v>737</v>
      </c>
      <c r="B654" s="7" t="s">
        <v>25</v>
      </c>
      <c r="C654" s="7">
        <v>4</v>
      </c>
      <c r="D654" s="10">
        <v>43</v>
      </c>
      <c r="E654" s="10">
        <v>172</v>
      </c>
      <c r="F654" s="9">
        <v>45686</v>
      </c>
      <c r="G654" s="9">
        <v>45687</v>
      </c>
      <c r="H654" s="7" t="s">
        <v>26</v>
      </c>
      <c r="I654" s="8" t="s">
        <v>45</v>
      </c>
      <c r="J654" s="7">
        <v>5</v>
      </c>
      <c r="K654" s="7" t="s">
        <v>109</v>
      </c>
      <c r="L654" s="7">
        <v>1</v>
      </c>
      <c r="M654" s="7">
        <v>5</v>
      </c>
      <c r="N654" s="7" t="s">
        <v>28</v>
      </c>
    </row>
    <row r="655" spans="1:14" x14ac:dyDescent="0.3">
      <c r="A655" s="3" t="s">
        <v>738</v>
      </c>
      <c r="B655" s="3" t="s">
        <v>44</v>
      </c>
      <c r="C655" s="3">
        <v>3</v>
      </c>
      <c r="D655" s="6">
        <v>68.2</v>
      </c>
      <c r="E655" s="6">
        <v>204.6</v>
      </c>
      <c r="F655" s="5">
        <v>45686</v>
      </c>
      <c r="G655" s="5">
        <v>45692</v>
      </c>
      <c r="H655" s="3" t="s">
        <v>31</v>
      </c>
      <c r="I655" s="4" t="s">
        <v>21</v>
      </c>
      <c r="J655" s="3">
        <v>4</v>
      </c>
      <c r="K655" s="3" t="s">
        <v>77</v>
      </c>
      <c r="L655" s="3">
        <v>6</v>
      </c>
      <c r="M655" s="3">
        <v>5</v>
      </c>
      <c r="N655" s="3" t="s">
        <v>33</v>
      </c>
    </row>
    <row r="656" spans="1:14" x14ac:dyDescent="0.3">
      <c r="A656" s="7" t="s">
        <v>739</v>
      </c>
      <c r="B656" s="7" t="s">
        <v>59</v>
      </c>
      <c r="C656" s="7">
        <v>10</v>
      </c>
      <c r="D656" s="10">
        <v>24.3</v>
      </c>
      <c r="E656" s="10">
        <v>243</v>
      </c>
      <c r="F656" s="9">
        <v>45686</v>
      </c>
      <c r="G656" s="9">
        <v>45687</v>
      </c>
      <c r="H656" s="7" t="s">
        <v>26</v>
      </c>
      <c r="I656" s="8" t="s">
        <v>21</v>
      </c>
      <c r="J656" s="7">
        <v>5</v>
      </c>
      <c r="K656" s="7" t="s">
        <v>79</v>
      </c>
      <c r="L656" s="7">
        <v>1</v>
      </c>
      <c r="M656" s="7">
        <v>5</v>
      </c>
      <c r="N656" s="7" t="s">
        <v>28</v>
      </c>
    </row>
    <row r="657" spans="1:14" x14ac:dyDescent="0.3">
      <c r="A657" s="3" t="s">
        <v>740</v>
      </c>
      <c r="B657" s="3" t="s">
        <v>47</v>
      </c>
      <c r="C657" s="3">
        <v>2</v>
      </c>
      <c r="D657" s="6">
        <v>86.8</v>
      </c>
      <c r="E657" s="6">
        <v>173.6</v>
      </c>
      <c r="F657" s="5">
        <v>45686</v>
      </c>
      <c r="G657" s="5">
        <v>45690</v>
      </c>
      <c r="H657" s="3" t="s">
        <v>31</v>
      </c>
      <c r="I657" s="4" t="s">
        <v>75</v>
      </c>
      <c r="J657" s="3">
        <v>5</v>
      </c>
      <c r="K657" s="3" t="s">
        <v>82</v>
      </c>
      <c r="L657" s="3">
        <v>4</v>
      </c>
      <c r="M657" s="3">
        <v>5</v>
      </c>
      <c r="N657" s="3" t="s">
        <v>33</v>
      </c>
    </row>
    <row r="658" spans="1:14" x14ac:dyDescent="0.3">
      <c r="A658" s="7" t="s">
        <v>741</v>
      </c>
      <c r="B658" s="7" t="s">
        <v>20</v>
      </c>
      <c r="C658" s="7">
        <v>2</v>
      </c>
      <c r="D658" s="10">
        <v>15.8</v>
      </c>
      <c r="E658" s="10">
        <v>31.6</v>
      </c>
      <c r="F658" s="9">
        <v>45686</v>
      </c>
      <c r="G658" s="9">
        <v>45688</v>
      </c>
      <c r="H658" s="7" t="s">
        <v>26</v>
      </c>
      <c r="I658" s="8" t="s">
        <v>40</v>
      </c>
      <c r="J658" s="7">
        <v>4</v>
      </c>
      <c r="K658" s="7" t="s">
        <v>82</v>
      </c>
      <c r="L658" s="7">
        <v>2</v>
      </c>
      <c r="M658" s="7">
        <v>5</v>
      </c>
      <c r="N658" s="7" t="s">
        <v>28</v>
      </c>
    </row>
    <row r="659" spans="1:14" x14ac:dyDescent="0.3">
      <c r="A659" s="3" t="s">
        <v>742</v>
      </c>
      <c r="B659" s="3" t="s">
        <v>30</v>
      </c>
      <c r="C659" s="3">
        <v>4</v>
      </c>
      <c r="D659" s="6">
        <v>61.6</v>
      </c>
      <c r="E659" s="6">
        <v>246.4</v>
      </c>
      <c r="F659" s="5">
        <v>45686</v>
      </c>
      <c r="G659" s="5">
        <v>45687</v>
      </c>
      <c r="H659" s="3" t="s">
        <v>26</v>
      </c>
      <c r="I659" s="4" t="s">
        <v>45</v>
      </c>
      <c r="J659" s="3">
        <v>4</v>
      </c>
      <c r="K659" s="3" t="s">
        <v>82</v>
      </c>
      <c r="L659" s="3">
        <v>1</v>
      </c>
      <c r="M659" s="3">
        <v>5</v>
      </c>
      <c r="N659" s="3" t="s">
        <v>28</v>
      </c>
    </row>
    <row r="660" spans="1:14" x14ac:dyDescent="0.3">
      <c r="A660" s="7" t="s">
        <v>743</v>
      </c>
      <c r="B660" s="7" t="s">
        <v>44</v>
      </c>
      <c r="C660" s="7">
        <v>3</v>
      </c>
      <c r="D660" s="10">
        <v>48.7</v>
      </c>
      <c r="E660" s="10">
        <v>146.1</v>
      </c>
      <c r="F660" s="9">
        <v>45686</v>
      </c>
      <c r="G660" s="9">
        <v>45692</v>
      </c>
      <c r="H660" s="7" t="s">
        <v>31</v>
      </c>
      <c r="I660" s="8" t="s">
        <v>40</v>
      </c>
      <c r="J660" s="7">
        <v>5</v>
      </c>
      <c r="K660" s="7" t="s">
        <v>121</v>
      </c>
      <c r="L660" s="7">
        <v>6</v>
      </c>
      <c r="M660" s="7">
        <v>5</v>
      </c>
      <c r="N660" s="7" t="s">
        <v>33</v>
      </c>
    </row>
    <row r="661" spans="1:14" x14ac:dyDescent="0.3">
      <c r="A661" s="3" t="s">
        <v>744</v>
      </c>
      <c r="B661" s="3" t="s">
        <v>49</v>
      </c>
      <c r="C661" s="3">
        <v>4</v>
      </c>
      <c r="D661" s="6">
        <v>24.3</v>
      </c>
      <c r="E661" s="6">
        <v>97.2</v>
      </c>
      <c r="F661" s="5">
        <v>45686</v>
      </c>
      <c r="G661" s="5">
        <v>45688</v>
      </c>
      <c r="H661" s="3" t="s">
        <v>31</v>
      </c>
      <c r="I661" s="4" t="s">
        <v>40</v>
      </c>
      <c r="J661" s="3">
        <v>5</v>
      </c>
      <c r="K661" s="3" t="s">
        <v>121</v>
      </c>
      <c r="L661" s="3">
        <v>2</v>
      </c>
      <c r="M661" s="3">
        <v>5</v>
      </c>
      <c r="N661" s="3" t="s">
        <v>33</v>
      </c>
    </row>
    <row r="662" spans="1:14" x14ac:dyDescent="0.3">
      <c r="A662" s="7" t="s">
        <v>745</v>
      </c>
      <c r="B662" s="7" t="s">
        <v>30</v>
      </c>
      <c r="C662" s="7">
        <v>2</v>
      </c>
      <c r="D662" s="10">
        <v>130.69999999999999</v>
      </c>
      <c r="E662" s="10">
        <v>261.39999999999998</v>
      </c>
      <c r="F662" s="9">
        <v>45686</v>
      </c>
      <c r="G662" s="9">
        <v>45687</v>
      </c>
      <c r="H662" s="7" t="s">
        <v>31</v>
      </c>
      <c r="I662" s="8" t="s">
        <v>45</v>
      </c>
      <c r="J662" s="7">
        <v>4</v>
      </c>
      <c r="K662" s="7" t="s">
        <v>119</v>
      </c>
      <c r="L662" s="7">
        <v>1</v>
      </c>
      <c r="M662" s="7">
        <v>5</v>
      </c>
      <c r="N662" s="7" t="s">
        <v>33</v>
      </c>
    </row>
    <row r="663" spans="1:14" x14ac:dyDescent="0.3">
      <c r="A663" s="3" t="s">
        <v>746</v>
      </c>
      <c r="B663" s="3" t="s">
        <v>59</v>
      </c>
      <c r="C663" s="3">
        <v>1</v>
      </c>
      <c r="D663" s="6">
        <v>26</v>
      </c>
      <c r="E663" s="6">
        <v>26</v>
      </c>
      <c r="F663" s="5">
        <v>45686</v>
      </c>
      <c r="G663" s="5">
        <v>45688</v>
      </c>
      <c r="H663" s="3" t="s">
        <v>26</v>
      </c>
      <c r="I663" s="4" t="s">
        <v>21</v>
      </c>
      <c r="J663" s="3">
        <v>4</v>
      </c>
      <c r="K663" s="3" t="s">
        <v>38</v>
      </c>
      <c r="L663" s="3">
        <v>2</v>
      </c>
      <c r="M663" s="3">
        <v>5</v>
      </c>
      <c r="N663" s="3" t="s">
        <v>28</v>
      </c>
    </row>
    <row r="664" spans="1:14" x14ac:dyDescent="0.3">
      <c r="A664" s="7" t="s">
        <v>747</v>
      </c>
      <c r="B664" s="7" t="s">
        <v>30</v>
      </c>
      <c r="C664" s="7">
        <v>5</v>
      </c>
      <c r="D664" s="10">
        <v>94.4</v>
      </c>
      <c r="E664" s="10">
        <v>472</v>
      </c>
      <c r="F664" s="9">
        <v>45686</v>
      </c>
      <c r="G664" s="9">
        <v>45687</v>
      </c>
      <c r="H664" s="7" t="s">
        <v>31</v>
      </c>
      <c r="I664" s="8" t="s">
        <v>21</v>
      </c>
      <c r="J664" s="7">
        <v>4</v>
      </c>
      <c r="K664" s="7" t="s">
        <v>38</v>
      </c>
      <c r="L664" s="7">
        <v>1</v>
      </c>
      <c r="M664" s="7">
        <v>5</v>
      </c>
      <c r="N664" s="7" t="s">
        <v>33</v>
      </c>
    </row>
    <row r="665" spans="1:14" x14ac:dyDescent="0.3">
      <c r="A665" s="3" t="s">
        <v>748</v>
      </c>
      <c r="B665" s="3" t="s">
        <v>20</v>
      </c>
      <c r="C665" s="3">
        <v>6</v>
      </c>
      <c r="D665" s="6">
        <v>23.7</v>
      </c>
      <c r="E665" s="6">
        <v>142.19999999999999</v>
      </c>
      <c r="F665" s="5">
        <v>45686</v>
      </c>
      <c r="G665" s="5">
        <v>45688</v>
      </c>
      <c r="H665" s="3" t="s">
        <v>26</v>
      </c>
      <c r="I665" s="4" t="s">
        <v>45</v>
      </c>
      <c r="J665" s="3">
        <v>5</v>
      </c>
      <c r="K665" s="3" t="s">
        <v>38</v>
      </c>
      <c r="L665" s="3">
        <v>2</v>
      </c>
      <c r="M665" s="3">
        <v>5</v>
      </c>
      <c r="N665" s="3" t="s">
        <v>28</v>
      </c>
    </row>
    <row r="666" spans="1:14" x14ac:dyDescent="0.3">
      <c r="A666" s="7" t="s">
        <v>749</v>
      </c>
      <c r="B666" s="7" t="s">
        <v>51</v>
      </c>
      <c r="C666" s="7">
        <v>12</v>
      </c>
      <c r="D666" s="10">
        <v>37.4</v>
      </c>
      <c r="E666" s="10">
        <v>448.8</v>
      </c>
      <c r="F666" s="9">
        <v>45686</v>
      </c>
      <c r="G666" s="9">
        <v>45688</v>
      </c>
      <c r="H666" s="7" t="s">
        <v>26</v>
      </c>
      <c r="I666" s="8" t="s">
        <v>45</v>
      </c>
      <c r="J666" s="7">
        <v>4</v>
      </c>
      <c r="K666" s="7" t="s">
        <v>38</v>
      </c>
      <c r="L666" s="7">
        <v>2</v>
      </c>
      <c r="M666" s="7">
        <v>5</v>
      </c>
      <c r="N666" s="7" t="s">
        <v>28</v>
      </c>
    </row>
    <row r="667" spans="1:14" x14ac:dyDescent="0.3">
      <c r="A667" s="3" t="s">
        <v>750</v>
      </c>
      <c r="B667" s="3" t="s">
        <v>25</v>
      </c>
      <c r="C667" s="3">
        <v>36</v>
      </c>
      <c r="D667" s="6">
        <v>55.2</v>
      </c>
      <c r="E667" s="6">
        <v>1987.2</v>
      </c>
      <c r="F667" s="5">
        <v>45686</v>
      </c>
      <c r="G667" s="5">
        <v>45686</v>
      </c>
      <c r="H667" s="3" t="s">
        <v>31</v>
      </c>
      <c r="I667" s="4" t="s">
        <v>56</v>
      </c>
      <c r="J667" s="3">
        <v>3</v>
      </c>
      <c r="K667" s="3" t="s">
        <v>38</v>
      </c>
      <c r="L667" s="3">
        <v>0</v>
      </c>
      <c r="M667" s="3">
        <v>5</v>
      </c>
      <c r="N667" s="3" t="s">
        <v>33</v>
      </c>
    </row>
    <row r="668" spans="1:14" x14ac:dyDescent="0.3">
      <c r="A668" s="7" t="s">
        <v>751</v>
      </c>
      <c r="B668" s="7" t="s">
        <v>30</v>
      </c>
      <c r="C668" s="7">
        <v>9</v>
      </c>
      <c r="D668" s="10">
        <v>57.1</v>
      </c>
      <c r="E668" s="10">
        <v>513.9</v>
      </c>
      <c r="F668" s="9">
        <v>45686</v>
      </c>
      <c r="G668" s="9">
        <v>45688</v>
      </c>
      <c r="H668" s="7" t="s">
        <v>26</v>
      </c>
      <c r="I668" s="8" t="s">
        <v>21</v>
      </c>
      <c r="J668" s="7">
        <v>5</v>
      </c>
      <c r="K668" s="7" t="s">
        <v>38</v>
      </c>
      <c r="L668" s="7">
        <v>2</v>
      </c>
      <c r="M668" s="7">
        <v>5</v>
      </c>
      <c r="N668" s="7" t="s">
        <v>28</v>
      </c>
    </row>
    <row r="669" spans="1:14" x14ac:dyDescent="0.3">
      <c r="A669" s="3" t="s">
        <v>752</v>
      </c>
      <c r="B669" s="3" t="s">
        <v>74</v>
      </c>
      <c r="C669" s="3">
        <v>1</v>
      </c>
      <c r="D669" s="6">
        <v>55.3</v>
      </c>
      <c r="E669" s="6">
        <v>55.3</v>
      </c>
      <c r="F669" s="5">
        <v>45686</v>
      </c>
      <c r="G669" s="5">
        <v>45687</v>
      </c>
      <c r="H669" s="3" t="s">
        <v>31</v>
      </c>
      <c r="I669" s="4" t="s">
        <v>45</v>
      </c>
      <c r="J669" s="3">
        <v>5</v>
      </c>
      <c r="K669" s="3" t="s">
        <v>38</v>
      </c>
      <c r="L669" s="3">
        <v>1</v>
      </c>
      <c r="M669" s="3">
        <v>5</v>
      </c>
      <c r="N669" s="3" t="s">
        <v>33</v>
      </c>
    </row>
    <row r="670" spans="1:14" x14ac:dyDescent="0.3">
      <c r="A670" s="7" t="s">
        <v>753</v>
      </c>
      <c r="B670" s="7" t="s">
        <v>129</v>
      </c>
      <c r="C670" s="7">
        <v>7</v>
      </c>
      <c r="D670" s="10">
        <v>23.9</v>
      </c>
      <c r="E670" s="10">
        <v>167.3</v>
      </c>
      <c r="F670" s="9">
        <v>45686</v>
      </c>
      <c r="G670" s="9">
        <v>45687</v>
      </c>
      <c r="H670" s="7" t="s">
        <v>31</v>
      </c>
      <c r="I670" s="8" t="s">
        <v>75</v>
      </c>
      <c r="J670" s="7">
        <v>3</v>
      </c>
      <c r="K670" s="7" t="s">
        <v>38</v>
      </c>
      <c r="L670" s="7">
        <v>1</v>
      </c>
      <c r="M670" s="7">
        <v>5</v>
      </c>
      <c r="N670" s="7" t="s">
        <v>33</v>
      </c>
    </row>
    <row r="671" spans="1:14" x14ac:dyDescent="0.3">
      <c r="A671" s="3" t="s">
        <v>754</v>
      </c>
      <c r="B671" s="3" t="s">
        <v>20</v>
      </c>
      <c r="C671" s="3">
        <v>1</v>
      </c>
      <c r="D671" s="6">
        <v>34.1</v>
      </c>
      <c r="E671" s="6">
        <v>34.1</v>
      </c>
      <c r="F671" s="5">
        <v>45686</v>
      </c>
      <c r="G671" s="5">
        <v>45693</v>
      </c>
      <c r="H671" s="3" t="s">
        <v>31</v>
      </c>
      <c r="I671" s="4" t="s">
        <v>45</v>
      </c>
      <c r="J671" s="3">
        <v>4</v>
      </c>
      <c r="K671" s="3" t="s">
        <v>38</v>
      </c>
      <c r="L671" s="3">
        <v>7</v>
      </c>
      <c r="M671" s="3">
        <v>5</v>
      </c>
      <c r="N671" s="3" t="s">
        <v>33</v>
      </c>
    </row>
    <row r="672" spans="1:14" x14ac:dyDescent="0.3">
      <c r="A672" s="7" t="s">
        <v>755</v>
      </c>
      <c r="B672" s="7" t="s">
        <v>74</v>
      </c>
      <c r="C672" s="7">
        <v>4</v>
      </c>
      <c r="D672" s="10">
        <v>38.5</v>
      </c>
      <c r="E672" s="10">
        <v>154</v>
      </c>
      <c r="F672" s="9">
        <v>45686</v>
      </c>
      <c r="G672" s="9">
        <v>45697</v>
      </c>
      <c r="H672" s="7" t="s">
        <v>31</v>
      </c>
      <c r="I672" s="8" t="s">
        <v>21</v>
      </c>
      <c r="J672" s="7">
        <v>4</v>
      </c>
      <c r="K672" s="7" t="s">
        <v>38</v>
      </c>
      <c r="L672" s="7">
        <v>11</v>
      </c>
      <c r="M672" s="7">
        <v>5</v>
      </c>
      <c r="N672" s="7" t="s">
        <v>33</v>
      </c>
    </row>
    <row r="673" spans="1:14" x14ac:dyDescent="0.3">
      <c r="A673" s="3" t="s">
        <v>756</v>
      </c>
      <c r="B673" s="3" t="s">
        <v>47</v>
      </c>
      <c r="C673" s="3">
        <v>2</v>
      </c>
      <c r="D673" s="6">
        <v>105</v>
      </c>
      <c r="E673" s="6">
        <v>210</v>
      </c>
      <c r="F673" s="5">
        <v>45686</v>
      </c>
      <c r="G673" s="5">
        <v>45692</v>
      </c>
      <c r="H673" s="3" t="s">
        <v>31</v>
      </c>
      <c r="I673" s="4" t="s">
        <v>21</v>
      </c>
      <c r="J673" s="3">
        <v>5</v>
      </c>
      <c r="K673" s="3" t="s">
        <v>38</v>
      </c>
      <c r="L673" s="3">
        <v>6</v>
      </c>
      <c r="M673" s="3">
        <v>5</v>
      </c>
      <c r="N673" s="3" t="s">
        <v>33</v>
      </c>
    </row>
    <row r="674" spans="1:14" x14ac:dyDescent="0.3">
      <c r="A674" s="7" t="s">
        <v>757</v>
      </c>
      <c r="B674" s="7" t="s">
        <v>49</v>
      </c>
      <c r="C674" s="7">
        <v>5</v>
      </c>
      <c r="D674" s="10">
        <v>45.2</v>
      </c>
      <c r="E674" s="10">
        <v>226</v>
      </c>
      <c r="F674" s="9">
        <v>45686</v>
      </c>
      <c r="G674" s="9">
        <v>45688</v>
      </c>
      <c r="H674" s="7" t="s">
        <v>31</v>
      </c>
      <c r="I674" s="8" t="s">
        <v>21</v>
      </c>
      <c r="J674" s="7">
        <v>5</v>
      </c>
      <c r="K674" s="7" t="s">
        <v>38</v>
      </c>
      <c r="L674" s="7">
        <v>2</v>
      </c>
      <c r="M674" s="7">
        <v>5</v>
      </c>
      <c r="N674" s="7" t="s">
        <v>33</v>
      </c>
    </row>
    <row r="675" spans="1:14" x14ac:dyDescent="0.3">
      <c r="A675" s="3" t="s">
        <v>758</v>
      </c>
      <c r="B675" s="3" t="s">
        <v>141</v>
      </c>
      <c r="C675" s="3">
        <v>3</v>
      </c>
      <c r="D675" s="6">
        <v>24.8</v>
      </c>
      <c r="E675" s="6">
        <v>74.400000000000006</v>
      </c>
      <c r="F675" s="5">
        <v>45686</v>
      </c>
      <c r="G675" s="5">
        <v>45686</v>
      </c>
      <c r="H675" s="3"/>
      <c r="I675" s="4" t="s">
        <v>21</v>
      </c>
      <c r="J675" s="3">
        <v>3</v>
      </c>
      <c r="K675" s="3" t="s">
        <v>38</v>
      </c>
      <c r="L675" s="3">
        <v>0</v>
      </c>
      <c r="M675" s="3">
        <v>5</v>
      </c>
      <c r="N675" s="3" t="s">
        <v>23</v>
      </c>
    </row>
    <row r="676" spans="1:14" x14ac:dyDescent="0.3">
      <c r="A676" s="7" t="s">
        <v>759</v>
      </c>
      <c r="B676" s="7" t="s">
        <v>72</v>
      </c>
      <c r="C676" s="7">
        <v>4</v>
      </c>
      <c r="D676" s="10">
        <v>43.8</v>
      </c>
      <c r="E676" s="10">
        <v>175.2</v>
      </c>
      <c r="F676" s="9">
        <v>45686</v>
      </c>
      <c r="G676" s="9">
        <v>45693</v>
      </c>
      <c r="H676" s="7" t="s">
        <v>31</v>
      </c>
      <c r="I676" s="8" t="s">
        <v>40</v>
      </c>
      <c r="J676" s="7">
        <v>5</v>
      </c>
      <c r="K676" s="7" t="s">
        <v>60</v>
      </c>
      <c r="L676" s="7">
        <v>7</v>
      </c>
      <c r="M676" s="7">
        <v>5</v>
      </c>
      <c r="N676" s="7" t="s">
        <v>33</v>
      </c>
    </row>
    <row r="677" spans="1:14" x14ac:dyDescent="0.3">
      <c r="A677" s="3" t="s">
        <v>760</v>
      </c>
      <c r="B677" s="3" t="s">
        <v>25</v>
      </c>
      <c r="C677" s="3">
        <v>1</v>
      </c>
      <c r="D677" s="6">
        <v>75</v>
      </c>
      <c r="E677" s="6">
        <v>75</v>
      </c>
      <c r="F677" s="5">
        <v>45686</v>
      </c>
      <c r="G677" s="5">
        <v>45688</v>
      </c>
      <c r="H677" s="3" t="s">
        <v>31</v>
      </c>
      <c r="I677" s="4" t="s">
        <v>75</v>
      </c>
      <c r="J677" s="3">
        <v>3</v>
      </c>
      <c r="K677" s="3" t="s">
        <v>60</v>
      </c>
      <c r="L677" s="3">
        <v>2</v>
      </c>
      <c r="M677" s="3">
        <v>5</v>
      </c>
      <c r="N677" s="3" t="s">
        <v>33</v>
      </c>
    </row>
    <row r="678" spans="1:14" x14ac:dyDescent="0.3">
      <c r="A678" s="7" t="s">
        <v>761</v>
      </c>
      <c r="B678" s="7" t="s">
        <v>30</v>
      </c>
      <c r="C678" s="7">
        <v>1</v>
      </c>
      <c r="D678" s="10">
        <v>169.9</v>
      </c>
      <c r="E678" s="10">
        <v>169.9</v>
      </c>
      <c r="F678" s="9">
        <v>45686</v>
      </c>
      <c r="G678" s="9">
        <v>45687</v>
      </c>
      <c r="H678" s="7" t="s">
        <v>26</v>
      </c>
      <c r="I678" s="8" t="s">
        <v>45</v>
      </c>
      <c r="J678" s="7">
        <v>4</v>
      </c>
      <c r="K678" s="7" t="s">
        <v>60</v>
      </c>
      <c r="L678" s="7">
        <v>1</v>
      </c>
      <c r="M678" s="7">
        <v>5</v>
      </c>
      <c r="N678" s="7" t="s">
        <v>28</v>
      </c>
    </row>
    <row r="679" spans="1:14" x14ac:dyDescent="0.3">
      <c r="A679" s="3" t="s">
        <v>762</v>
      </c>
      <c r="B679" s="3" t="s">
        <v>51</v>
      </c>
      <c r="C679" s="3">
        <v>2</v>
      </c>
      <c r="D679" s="6">
        <v>72.2</v>
      </c>
      <c r="E679" s="6">
        <v>144.4</v>
      </c>
      <c r="F679" s="5">
        <v>45686</v>
      </c>
      <c r="G679" s="5">
        <v>45688</v>
      </c>
      <c r="H679" s="3" t="s">
        <v>31</v>
      </c>
      <c r="I679" s="4" t="s">
        <v>75</v>
      </c>
      <c r="J679" s="3">
        <v>3</v>
      </c>
      <c r="K679" s="3" t="s">
        <v>60</v>
      </c>
      <c r="L679" s="3">
        <v>2</v>
      </c>
      <c r="M679" s="3">
        <v>5</v>
      </c>
      <c r="N679" s="3" t="s">
        <v>33</v>
      </c>
    </row>
    <row r="680" spans="1:14" x14ac:dyDescent="0.3">
      <c r="A680" s="7" t="s">
        <v>763</v>
      </c>
      <c r="B680" s="7" t="s">
        <v>20</v>
      </c>
      <c r="C680" s="7">
        <v>1</v>
      </c>
      <c r="D680" s="10">
        <v>20</v>
      </c>
      <c r="E680" s="10">
        <v>20</v>
      </c>
      <c r="F680" s="9">
        <v>45687</v>
      </c>
      <c r="G680" s="9">
        <v>45690</v>
      </c>
      <c r="H680" s="7" t="s">
        <v>31</v>
      </c>
      <c r="I680" s="8" t="s">
        <v>45</v>
      </c>
      <c r="J680" s="7">
        <v>3</v>
      </c>
      <c r="K680" s="7" t="s">
        <v>64</v>
      </c>
      <c r="L680" s="7">
        <v>3</v>
      </c>
      <c r="M680" s="7">
        <v>5</v>
      </c>
      <c r="N680" s="7" t="s">
        <v>33</v>
      </c>
    </row>
    <row r="681" spans="1:14" x14ac:dyDescent="0.3">
      <c r="A681" s="3" t="s">
        <v>764</v>
      </c>
      <c r="B681" s="3" t="s">
        <v>51</v>
      </c>
      <c r="C681" s="3">
        <v>2</v>
      </c>
      <c r="D681" s="6">
        <v>40.799999999999997</v>
      </c>
      <c r="E681" s="6">
        <v>81.599999999999994</v>
      </c>
      <c r="F681" s="5">
        <v>45687</v>
      </c>
      <c r="G681" s="5">
        <v>45689</v>
      </c>
      <c r="H681" s="3" t="s">
        <v>31</v>
      </c>
      <c r="I681" s="4" t="s">
        <v>56</v>
      </c>
      <c r="J681" s="3">
        <v>5</v>
      </c>
      <c r="K681" s="3" t="s">
        <v>67</v>
      </c>
      <c r="L681" s="3">
        <v>2</v>
      </c>
      <c r="M681" s="3">
        <v>5</v>
      </c>
      <c r="N681" s="3" t="s">
        <v>33</v>
      </c>
    </row>
    <row r="682" spans="1:14" x14ac:dyDescent="0.3">
      <c r="A682" s="7" t="s">
        <v>765</v>
      </c>
      <c r="B682" s="7" t="s">
        <v>59</v>
      </c>
      <c r="C682" s="7">
        <v>4</v>
      </c>
      <c r="D682" s="10">
        <v>58</v>
      </c>
      <c r="E682" s="10">
        <v>232</v>
      </c>
      <c r="F682" s="9">
        <v>45687</v>
      </c>
      <c r="G682" s="9">
        <v>45691</v>
      </c>
      <c r="H682" s="7" t="s">
        <v>31</v>
      </c>
      <c r="I682" s="8" t="s">
        <v>21</v>
      </c>
      <c r="J682" s="7">
        <v>4</v>
      </c>
      <c r="K682" s="7" t="s">
        <v>67</v>
      </c>
      <c r="L682" s="7">
        <v>4</v>
      </c>
      <c r="M682" s="7">
        <v>5</v>
      </c>
      <c r="N682" s="7" t="s">
        <v>33</v>
      </c>
    </row>
    <row r="683" spans="1:14" x14ac:dyDescent="0.3">
      <c r="A683" s="3" t="s">
        <v>766</v>
      </c>
      <c r="B683" s="3" t="s">
        <v>74</v>
      </c>
      <c r="C683" s="3">
        <v>2</v>
      </c>
      <c r="D683" s="6">
        <v>43.1</v>
      </c>
      <c r="E683" s="6">
        <v>86.2</v>
      </c>
      <c r="F683" s="5">
        <v>45687</v>
      </c>
      <c r="G683" s="5">
        <v>45688</v>
      </c>
      <c r="H683" s="3" t="s">
        <v>31</v>
      </c>
      <c r="I683" s="4" t="s">
        <v>40</v>
      </c>
      <c r="J683" s="3">
        <v>5</v>
      </c>
      <c r="K683" s="3" t="s">
        <v>67</v>
      </c>
      <c r="L683" s="3">
        <v>1</v>
      </c>
      <c r="M683" s="3">
        <v>5</v>
      </c>
      <c r="N683" s="3" t="s">
        <v>33</v>
      </c>
    </row>
    <row r="684" spans="1:14" x14ac:dyDescent="0.3">
      <c r="A684" s="7" t="s">
        <v>767</v>
      </c>
      <c r="B684" s="7" t="s">
        <v>44</v>
      </c>
      <c r="C684" s="7">
        <v>9</v>
      </c>
      <c r="D684" s="10">
        <v>74.7</v>
      </c>
      <c r="E684" s="10">
        <v>672.30000000000007</v>
      </c>
      <c r="F684" s="9">
        <v>45687</v>
      </c>
      <c r="G684" s="9">
        <v>45689</v>
      </c>
      <c r="H684" s="7" t="s">
        <v>26</v>
      </c>
      <c r="I684" s="8" t="s">
        <v>21</v>
      </c>
      <c r="J684" s="7">
        <v>5</v>
      </c>
      <c r="K684" s="7" t="s">
        <v>67</v>
      </c>
      <c r="L684" s="7">
        <v>2</v>
      </c>
      <c r="M684" s="7">
        <v>5</v>
      </c>
      <c r="N684" s="7" t="s">
        <v>28</v>
      </c>
    </row>
    <row r="685" spans="1:14" x14ac:dyDescent="0.3">
      <c r="A685" s="3" t="s">
        <v>768</v>
      </c>
      <c r="B685" s="3" t="s">
        <v>44</v>
      </c>
      <c r="C685" s="3">
        <v>1</v>
      </c>
      <c r="D685" s="6">
        <v>128.19999999999999</v>
      </c>
      <c r="E685" s="6">
        <v>128.19999999999999</v>
      </c>
      <c r="F685" s="5">
        <v>45687</v>
      </c>
      <c r="G685" s="5">
        <v>45687</v>
      </c>
      <c r="H685" s="3" t="s">
        <v>26</v>
      </c>
      <c r="I685" s="4" t="s">
        <v>40</v>
      </c>
      <c r="J685" s="3">
        <v>4</v>
      </c>
      <c r="K685" s="3" t="s">
        <v>67</v>
      </c>
      <c r="L685" s="3">
        <v>0</v>
      </c>
      <c r="M685" s="3">
        <v>5</v>
      </c>
      <c r="N685" s="3" t="s">
        <v>28</v>
      </c>
    </row>
    <row r="686" spans="1:14" x14ac:dyDescent="0.3">
      <c r="A686" s="7" t="s">
        <v>769</v>
      </c>
      <c r="B686" s="7" t="s">
        <v>86</v>
      </c>
      <c r="C686" s="7">
        <v>4</v>
      </c>
      <c r="D686" s="10">
        <v>26.7</v>
      </c>
      <c r="E686" s="10">
        <v>106.8</v>
      </c>
      <c r="F686" s="9">
        <v>45687</v>
      </c>
      <c r="G686" s="9">
        <v>45688</v>
      </c>
      <c r="H686" s="7" t="s">
        <v>26</v>
      </c>
      <c r="I686" s="8" t="s">
        <v>40</v>
      </c>
      <c r="J686" s="7">
        <v>4</v>
      </c>
      <c r="K686" s="7" t="s">
        <v>67</v>
      </c>
      <c r="L686" s="7">
        <v>1</v>
      </c>
      <c r="M686" s="7">
        <v>5</v>
      </c>
      <c r="N686" s="7" t="s">
        <v>28</v>
      </c>
    </row>
    <row r="687" spans="1:14" x14ac:dyDescent="0.3">
      <c r="A687" s="3" t="s">
        <v>770</v>
      </c>
      <c r="B687" s="3" t="s">
        <v>141</v>
      </c>
      <c r="C687" s="3">
        <v>6</v>
      </c>
      <c r="D687" s="6">
        <v>31.5</v>
      </c>
      <c r="E687" s="6">
        <v>189</v>
      </c>
      <c r="F687" s="5">
        <v>45687</v>
      </c>
      <c r="G687" s="5">
        <v>45688</v>
      </c>
      <c r="H687" s="3" t="s">
        <v>31</v>
      </c>
      <c r="I687" s="4" t="s">
        <v>45</v>
      </c>
      <c r="J687" s="3">
        <v>4</v>
      </c>
      <c r="K687" s="3" t="s">
        <v>109</v>
      </c>
      <c r="L687" s="3">
        <v>1</v>
      </c>
      <c r="M687" s="3">
        <v>5</v>
      </c>
      <c r="N687" s="3" t="s">
        <v>33</v>
      </c>
    </row>
    <row r="688" spans="1:14" x14ac:dyDescent="0.3">
      <c r="A688" s="7" t="s">
        <v>771</v>
      </c>
      <c r="B688" s="7" t="s">
        <v>35</v>
      </c>
      <c r="C688" s="7">
        <v>7</v>
      </c>
      <c r="D688" s="10">
        <v>64.7</v>
      </c>
      <c r="E688" s="10">
        <v>452.9</v>
      </c>
      <c r="F688" s="9">
        <v>45687</v>
      </c>
      <c r="G688" s="9">
        <v>45688</v>
      </c>
      <c r="H688" s="7" t="s">
        <v>31</v>
      </c>
      <c r="I688" s="8" t="s">
        <v>21</v>
      </c>
      <c r="J688" s="7">
        <v>5</v>
      </c>
      <c r="K688" s="7" t="s">
        <v>77</v>
      </c>
      <c r="L688" s="7">
        <v>1</v>
      </c>
      <c r="M688" s="7">
        <v>5</v>
      </c>
      <c r="N688" s="7" t="s">
        <v>33</v>
      </c>
    </row>
    <row r="689" spans="1:14" x14ac:dyDescent="0.3">
      <c r="A689" s="3" t="s">
        <v>772</v>
      </c>
      <c r="B689" s="3" t="s">
        <v>42</v>
      </c>
      <c r="C689" s="3">
        <v>2</v>
      </c>
      <c r="D689" s="6">
        <v>55.6</v>
      </c>
      <c r="E689" s="6">
        <v>111.2</v>
      </c>
      <c r="F689" s="5">
        <v>45687</v>
      </c>
      <c r="G689" s="5">
        <v>45690</v>
      </c>
      <c r="H689" s="3" t="s">
        <v>31</v>
      </c>
      <c r="I689" s="4" t="s">
        <v>56</v>
      </c>
      <c r="J689" s="3">
        <v>4</v>
      </c>
      <c r="K689" s="3" t="s">
        <v>82</v>
      </c>
      <c r="L689" s="3">
        <v>3</v>
      </c>
      <c r="M689" s="3">
        <v>5</v>
      </c>
      <c r="N689" s="3" t="s">
        <v>33</v>
      </c>
    </row>
    <row r="690" spans="1:14" x14ac:dyDescent="0.3">
      <c r="A690" s="7" t="s">
        <v>773</v>
      </c>
      <c r="B690" s="7" t="s">
        <v>35</v>
      </c>
      <c r="C690" s="7">
        <v>2</v>
      </c>
      <c r="D690" s="10">
        <v>36.200000000000003</v>
      </c>
      <c r="E690" s="10">
        <v>72.400000000000006</v>
      </c>
      <c r="F690" s="9">
        <v>45687</v>
      </c>
      <c r="G690" s="9">
        <v>45688</v>
      </c>
      <c r="H690" s="7" t="s">
        <v>31</v>
      </c>
      <c r="I690" s="8" t="s">
        <v>56</v>
      </c>
      <c r="J690" s="7">
        <v>4</v>
      </c>
      <c r="K690" s="7" t="s">
        <v>82</v>
      </c>
      <c r="L690" s="7">
        <v>1</v>
      </c>
      <c r="M690" s="7">
        <v>5</v>
      </c>
      <c r="N690" s="7" t="s">
        <v>33</v>
      </c>
    </row>
    <row r="691" spans="1:14" x14ac:dyDescent="0.3">
      <c r="A691" s="3" t="s">
        <v>774</v>
      </c>
      <c r="B691" s="3" t="s">
        <v>20</v>
      </c>
      <c r="C691" s="3">
        <v>1</v>
      </c>
      <c r="D691" s="6">
        <v>26.6</v>
      </c>
      <c r="E691" s="6">
        <v>26.6</v>
      </c>
      <c r="F691" s="5">
        <v>45687</v>
      </c>
      <c r="G691" s="5">
        <v>45688</v>
      </c>
      <c r="H691" s="3"/>
      <c r="I691" s="4" t="s">
        <v>40</v>
      </c>
      <c r="J691" s="3">
        <v>3</v>
      </c>
      <c r="K691" s="3" t="s">
        <v>116</v>
      </c>
      <c r="L691" s="3">
        <v>1</v>
      </c>
      <c r="M691" s="3">
        <v>5</v>
      </c>
      <c r="N691" s="3" t="s">
        <v>23</v>
      </c>
    </row>
    <row r="692" spans="1:14" x14ac:dyDescent="0.3">
      <c r="A692" s="7" t="s">
        <v>775</v>
      </c>
      <c r="B692" s="7" t="s">
        <v>59</v>
      </c>
      <c r="C692" s="7">
        <v>4</v>
      </c>
      <c r="D692" s="10">
        <v>31.5</v>
      </c>
      <c r="E692" s="10">
        <v>126</v>
      </c>
      <c r="F692" s="9">
        <v>45687</v>
      </c>
      <c r="G692" s="9">
        <v>45689</v>
      </c>
      <c r="H692" s="7" t="s">
        <v>26</v>
      </c>
      <c r="I692" s="8" t="s">
        <v>21</v>
      </c>
      <c r="J692" s="7">
        <v>4</v>
      </c>
      <c r="K692" s="7" t="s">
        <v>298</v>
      </c>
      <c r="L692" s="7">
        <v>2</v>
      </c>
      <c r="M692" s="7">
        <v>5</v>
      </c>
      <c r="N692" s="7" t="s">
        <v>28</v>
      </c>
    </row>
    <row r="693" spans="1:14" x14ac:dyDescent="0.3">
      <c r="A693" s="3" t="s">
        <v>776</v>
      </c>
      <c r="B693" s="3" t="s">
        <v>59</v>
      </c>
      <c r="C693" s="3">
        <v>1</v>
      </c>
      <c r="D693" s="6">
        <v>27</v>
      </c>
      <c r="E693" s="6">
        <v>27</v>
      </c>
      <c r="F693" s="5">
        <v>45687</v>
      </c>
      <c r="G693" s="5">
        <v>45689</v>
      </c>
      <c r="H693" s="3" t="s">
        <v>31</v>
      </c>
      <c r="I693" s="4" t="s">
        <v>40</v>
      </c>
      <c r="J693" s="3">
        <v>5</v>
      </c>
      <c r="K693" s="3" t="s">
        <v>87</v>
      </c>
      <c r="L693" s="3">
        <v>2</v>
      </c>
      <c r="M693" s="3">
        <v>5</v>
      </c>
      <c r="N693" s="3" t="s">
        <v>33</v>
      </c>
    </row>
    <row r="694" spans="1:14" x14ac:dyDescent="0.3">
      <c r="A694" s="7" t="s">
        <v>777</v>
      </c>
      <c r="B694" s="7" t="s">
        <v>37</v>
      </c>
      <c r="C694" s="7">
        <v>1</v>
      </c>
      <c r="D694" s="10">
        <v>32</v>
      </c>
      <c r="E694" s="10">
        <v>32</v>
      </c>
      <c r="F694" s="9">
        <v>45687</v>
      </c>
      <c r="G694" s="9">
        <v>45690</v>
      </c>
      <c r="H694" s="7" t="s">
        <v>26</v>
      </c>
      <c r="I694" s="8" t="s">
        <v>56</v>
      </c>
      <c r="J694" s="7">
        <v>4</v>
      </c>
      <c r="K694" s="7" t="s">
        <v>121</v>
      </c>
      <c r="L694" s="7">
        <v>3</v>
      </c>
      <c r="M694" s="7">
        <v>5</v>
      </c>
      <c r="N694" s="7" t="s">
        <v>28</v>
      </c>
    </row>
    <row r="695" spans="1:14" x14ac:dyDescent="0.3">
      <c r="A695" s="3" t="s">
        <v>778</v>
      </c>
      <c r="B695" s="3" t="s">
        <v>25</v>
      </c>
      <c r="C695" s="3">
        <v>3</v>
      </c>
      <c r="D695" s="6">
        <v>48.1</v>
      </c>
      <c r="E695" s="6">
        <v>144.30000000000001</v>
      </c>
      <c r="F695" s="5">
        <v>45687</v>
      </c>
      <c r="G695" s="5">
        <v>45689</v>
      </c>
      <c r="H695" s="3" t="s">
        <v>26</v>
      </c>
      <c r="I695" s="4" t="s">
        <v>45</v>
      </c>
      <c r="J695" s="3">
        <v>3</v>
      </c>
      <c r="K695" s="3" t="s">
        <v>27</v>
      </c>
      <c r="L695" s="3">
        <v>2</v>
      </c>
      <c r="M695" s="3">
        <v>5</v>
      </c>
      <c r="N695" s="3" t="s">
        <v>28</v>
      </c>
    </row>
    <row r="696" spans="1:14" x14ac:dyDescent="0.3">
      <c r="A696" s="7" t="s">
        <v>779</v>
      </c>
      <c r="B696" s="7" t="s">
        <v>51</v>
      </c>
      <c r="C696" s="7">
        <v>2</v>
      </c>
      <c r="D696" s="10">
        <v>43.4</v>
      </c>
      <c r="E696" s="10">
        <v>86.8</v>
      </c>
      <c r="F696" s="9">
        <v>45687</v>
      </c>
      <c r="G696" s="9">
        <v>45688</v>
      </c>
      <c r="H696" s="7" t="s">
        <v>26</v>
      </c>
      <c r="I696" s="8" t="s">
        <v>40</v>
      </c>
      <c r="J696" s="7">
        <v>3</v>
      </c>
      <c r="K696" s="7" t="s">
        <v>153</v>
      </c>
      <c r="L696" s="7">
        <v>1</v>
      </c>
      <c r="M696" s="7">
        <v>5</v>
      </c>
      <c r="N696" s="7" t="s">
        <v>28</v>
      </c>
    </row>
    <row r="697" spans="1:14" x14ac:dyDescent="0.3">
      <c r="A697" s="3" t="s">
        <v>780</v>
      </c>
      <c r="B697" s="3" t="s">
        <v>44</v>
      </c>
      <c r="C697" s="3">
        <v>2</v>
      </c>
      <c r="D697" s="6">
        <v>42.6</v>
      </c>
      <c r="E697" s="6">
        <v>85.2</v>
      </c>
      <c r="F697" s="5">
        <v>45687</v>
      </c>
      <c r="G697" s="5">
        <v>45690</v>
      </c>
      <c r="H697" s="3" t="s">
        <v>31</v>
      </c>
      <c r="I697" s="4" t="s">
        <v>56</v>
      </c>
      <c r="J697" s="3">
        <v>4</v>
      </c>
      <c r="K697" s="3" t="s">
        <v>153</v>
      </c>
      <c r="L697" s="3">
        <v>3</v>
      </c>
      <c r="M697" s="3">
        <v>5</v>
      </c>
      <c r="N697" s="3" t="s">
        <v>33</v>
      </c>
    </row>
    <row r="698" spans="1:14" x14ac:dyDescent="0.3">
      <c r="A698" s="7" t="s">
        <v>781</v>
      </c>
      <c r="B698" s="7" t="s">
        <v>49</v>
      </c>
      <c r="C698" s="7">
        <v>2</v>
      </c>
      <c r="D698" s="10">
        <v>15.9</v>
      </c>
      <c r="E698" s="10">
        <v>31.8</v>
      </c>
      <c r="F698" s="9">
        <v>45687</v>
      </c>
      <c r="G698" s="9">
        <v>45688</v>
      </c>
      <c r="H698" s="7" t="s">
        <v>31</v>
      </c>
      <c r="I698" s="8" t="s">
        <v>21</v>
      </c>
      <c r="J698" s="7">
        <v>4</v>
      </c>
      <c r="K698" s="7" t="s">
        <v>22</v>
      </c>
      <c r="L698" s="7">
        <v>1</v>
      </c>
      <c r="M698" s="7">
        <v>5</v>
      </c>
      <c r="N698" s="7" t="s">
        <v>33</v>
      </c>
    </row>
    <row r="699" spans="1:14" x14ac:dyDescent="0.3">
      <c r="A699" s="3" t="s">
        <v>782</v>
      </c>
      <c r="B699" s="3" t="s">
        <v>51</v>
      </c>
      <c r="C699" s="3">
        <v>2</v>
      </c>
      <c r="D699" s="6">
        <v>63.2</v>
      </c>
      <c r="E699" s="6">
        <v>126.4</v>
      </c>
      <c r="F699" s="5">
        <v>45687</v>
      </c>
      <c r="G699" s="5">
        <v>45688</v>
      </c>
      <c r="H699" s="3" t="s">
        <v>26</v>
      </c>
      <c r="I699" s="4" t="s">
        <v>40</v>
      </c>
      <c r="J699" s="3">
        <v>4</v>
      </c>
      <c r="K699" s="3" t="s">
        <v>38</v>
      </c>
      <c r="L699" s="3">
        <v>1</v>
      </c>
      <c r="M699" s="3">
        <v>5</v>
      </c>
      <c r="N699" s="3" t="s">
        <v>28</v>
      </c>
    </row>
    <row r="700" spans="1:14" x14ac:dyDescent="0.3">
      <c r="A700" s="7" t="s">
        <v>783</v>
      </c>
      <c r="B700" s="7" t="s">
        <v>47</v>
      </c>
      <c r="C700" s="7">
        <v>4</v>
      </c>
      <c r="D700" s="10">
        <v>64.8</v>
      </c>
      <c r="E700" s="10">
        <v>259.2</v>
      </c>
      <c r="F700" s="9">
        <v>45687</v>
      </c>
      <c r="G700" s="9">
        <v>45689</v>
      </c>
      <c r="H700" s="7"/>
      <c r="I700" s="8" t="s">
        <v>75</v>
      </c>
      <c r="J700" s="7">
        <v>3</v>
      </c>
      <c r="K700" s="7" t="s">
        <v>38</v>
      </c>
      <c r="L700" s="7">
        <v>2</v>
      </c>
      <c r="M700" s="7">
        <v>5</v>
      </c>
      <c r="N700" s="7" t="s">
        <v>23</v>
      </c>
    </row>
    <row r="701" spans="1:14" x14ac:dyDescent="0.3">
      <c r="A701" s="3" t="s">
        <v>784</v>
      </c>
      <c r="B701" s="3" t="s">
        <v>47</v>
      </c>
      <c r="C701" s="3">
        <v>3</v>
      </c>
      <c r="D701" s="6">
        <v>79.8</v>
      </c>
      <c r="E701" s="6">
        <v>239.4</v>
      </c>
      <c r="F701" s="5">
        <v>45687</v>
      </c>
      <c r="G701" s="5">
        <v>45688</v>
      </c>
      <c r="H701" s="3" t="s">
        <v>26</v>
      </c>
      <c r="I701" s="4" t="s">
        <v>21</v>
      </c>
      <c r="J701" s="3">
        <v>4</v>
      </c>
      <c r="K701" s="3" t="s">
        <v>38</v>
      </c>
      <c r="L701" s="3">
        <v>1</v>
      </c>
      <c r="M701" s="3">
        <v>5</v>
      </c>
      <c r="N701" s="3" t="s">
        <v>28</v>
      </c>
    </row>
    <row r="702" spans="1:14" x14ac:dyDescent="0.3">
      <c r="A702" s="7" t="s">
        <v>785</v>
      </c>
      <c r="B702" s="7" t="s">
        <v>51</v>
      </c>
      <c r="C702" s="7">
        <v>1</v>
      </c>
      <c r="D702" s="10">
        <v>54.4</v>
      </c>
      <c r="E702" s="10">
        <v>54.4</v>
      </c>
      <c r="F702" s="9">
        <v>45687</v>
      </c>
      <c r="G702" s="9">
        <v>45689</v>
      </c>
      <c r="H702" s="7" t="s">
        <v>31</v>
      </c>
      <c r="I702" s="8" t="s">
        <v>75</v>
      </c>
      <c r="J702" s="7">
        <v>5</v>
      </c>
      <c r="K702" s="7" t="s">
        <v>38</v>
      </c>
      <c r="L702" s="7">
        <v>2</v>
      </c>
      <c r="M702" s="7">
        <v>5</v>
      </c>
      <c r="N702" s="7" t="s">
        <v>33</v>
      </c>
    </row>
    <row r="703" spans="1:14" x14ac:dyDescent="0.3">
      <c r="A703" s="3" t="s">
        <v>786</v>
      </c>
      <c r="B703" s="3" t="s">
        <v>44</v>
      </c>
      <c r="C703" s="3">
        <v>1</v>
      </c>
      <c r="D703" s="6">
        <v>87.3</v>
      </c>
      <c r="E703" s="6">
        <v>87.3</v>
      </c>
      <c r="F703" s="5">
        <v>45687</v>
      </c>
      <c r="G703" s="5">
        <v>45688</v>
      </c>
      <c r="H703" s="3" t="s">
        <v>26</v>
      </c>
      <c r="I703" s="4" t="s">
        <v>40</v>
      </c>
      <c r="J703" s="3">
        <v>4</v>
      </c>
      <c r="K703" s="3" t="s">
        <v>38</v>
      </c>
      <c r="L703" s="3">
        <v>1</v>
      </c>
      <c r="M703" s="3">
        <v>5</v>
      </c>
      <c r="N703" s="3" t="s">
        <v>28</v>
      </c>
    </row>
    <row r="704" spans="1:14" x14ac:dyDescent="0.3">
      <c r="A704" s="7" t="s">
        <v>787</v>
      </c>
      <c r="B704" s="7" t="s">
        <v>49</v>
      </c>
      <c r="C704" s="7">
        <v>4</v>
      </c>
      <c r="D704" s="10">
        <v>32.4</v>
      </c>
      <c r="E704" s="10">
        <v>129.6</v>
      </c>
      <c r="F704" s="9">
        <v>45687</v>
      </c>
      <c r="G704" s="9">
        <v>45687</v>
      </c>
      <c r="H704" s="7" t="s">
        <v>26</v>
      </c>
      <c r="I704" s="8" t="s">
        <v>40</v>
      </c>
      <c r="J704" s="7">
        <v>4</v>
      </c>
      <c r="K704" s="7" t="s">
        <v>38</v>
      </c>
      <c r="L704" s="7">
        <v>0</v>
      </c>
      <c r="M704" s="7">
        <v>5</v>
      </c>
      <c r="N704" s="7" t="s">
        <v>28</v>
      </c>
    </row>
    <row r="705" spans="1:14" x14ac:dyDescent="0.3">
      <c r="A705" s="3" t="s">
        <v>788</v>
      </c>
      <c r="B705" s="3" t="s">
        <v>30</v>
      </c>
      <c r="C705" s="3">
        <v>1</v>
      </c>
      <c r="D705" s="6">
        <v>177.4</v>
      </c>
      <c r="E705" s="6">
        <v>177.4</v>
      </c>
      <c r="F705" s="5">
        <v>45687</v>
      </c>
      <c r="G705" s="5">
        <v>45691</v>
      </c>
      <c r="H705" s="3" t="s">
        <v>26</v>
      </c>
      <c r="I705" s="4" t="s">
        <v>21</v>
      </c>
      <c r="J705" s="3">
        <v>5</v>
      </c>
      <c r="K705" s="3" t="s">
        <v>38</v>
      </c>
      <c r="L705" s="3">
        <v>4</v>
      </c>
      <c r="M705" s="3">
        <v>5</v>
      </c>
      <c r="N705" s="3" t="s">
        <v>28</v>
      </c>
    </row>
    <row r="706" spans="1:14" x14ac:dyDescent="0.3">
      <c r="A706" s="7" t="s">
        <v>789</v>
      </c>
      <c r="B706" s="7" t="s">
        <v>47</v>
      </c>
      <c r="C706" s="7">
        <v>2</v>
      </c>
      <c r="D706" s="10">
        <v>70.099999999999994</v>
      </c>
      <c r="E706" s="10">
        <v>140.19999999999999</v>
      </c>
      <c r="F706" s="9">
        <v>45687</v>
      </c>
      <c r="G706" s="9">
        <v>45688</v>
      </c>
      <c r="H706" s="7" t="s">
        <v>26</v>
      </c>
      <c r="I706" s="8" t="s">
        <v>56</v>
      </c>
      <c r="J706" s="7">
        <v>3</v>
      </c>
      <c r="K706" s="7" t="s">
        <v>38</v>
      </c>
      <c r="L706" s="7">
        <v>1</v>
      </c>
      <c r="M706" s="7">
        <v>5</v>
      </c>
      <c r="N706" s="7" t="s">
        <v>28</v>
      </c>
    </row>
    <row r="707" spans="1:14" x14ac:dyDescent="0.3">
      <c r="A707" s="3" t="s">
        <v>790</v>
      </c>
      <c r="B707" s="3" t="s">
        <v>51</v>
      </c>
      <c r="C707" s="3">
        <v>6</v>
      </c>
      <c r="D707" s="6">
        <v>51.1</v>
      </c>
      <c r="E707" s="6">
        <v>306.60000000000002</v>
      </c>
      <c r="F707" s="5">
        <v>45687</v>
      </c>
      <c r="G707" s="5">
        <v>45688</v>
      </c>
      <c r="H707" s="3" t="s">
        <v>31</v>
      </c>
      <c r="I707" s="4" t="s">
        <v>21</v>
      </c>
      <c r="J707" s="3">
        <v>4</v>
      </c>
      <c r="K707" s="3" t="s">
        <v>38</v>
      </c>
      <c r="L707" s="3">
        <v>1</v>
      </c>
      <c r="M707" s="3">
        <v>5</v>
      </c>
      <c r="N707" s="3" t="s">
        <v>33</v>
      </c>
    </row>
    <row r="708" spans="1:14" x14ac:dyDescent="0.3">
      <c r="A708" s="7" t="s">
        <v>791</v>
      </c>
      <c r="B708" s="7" t="s">
        <v>30</v>
      </c>
      <c r="C708" s="7">
        <v>5</v>
      </c>
      <c r="D708" s="10">
        <v>79.900000000000006</v>
      </c>
      <c r="E708" s="10">
        <v>399.5</v>
      </c>
      <c r="F708" s="9">
        <v>45687</v>
      </c>
      <c r="G708" s="9">
        <v>45689</v>
      </c>
      <c r="H708" s="7" t="s">
        <v>26</v>
      </c>
      <c r="I708" s="8" t="s">
        <v>56</v>
      </c>
      <c r="J708" s="7">
        <v>5</v>
      </c>
      <c r="K708" s="7" t="s">
        <v>192</v>
      </c>
      <c r="L708" s="7">
        <v>2</v>
      </c>
      <c r="M708" s="7">
        <v>5</v>
      </c>
      <c r="N708" s="7" t="s">
        <v>28</v>
      </c>
    </row>
    <row r="709" spans="1:14" x14ac:dyDescent="0.3">
      <c r="A709" s="3" t="s">
        <v>792</v>
      </c>
      <c r="B709" s="3" t="s">
        <v>44</v>
      </c>
      <c r="C709" s="3">
        <v>1</v>
      </c>
      <c r="D709" s="6">
        <v>57.6</v>
      </c>
      <c r="E709" s="6">
        <v>57.6</v>
      </c>
      <c r="F709" s="5">
        <v>45688</v>
      </c>
      <c r="G709" s="5">
        <v>45693</v>
      </c>
      <c r="H709" s="3" t="s">
        <v>26</v>
      </c>
      <c r="I709" s="4" t="s">
        <v>21</v>
      </c>
      <c r="J709" s="3">
        <v>5</v>
      </c>
      <c r="K709" s="3" t="s">
        <v>194</v>
      </c>
      <c r="L709" s="3">
        <v>5</v>
      </c>
      <c r="M709" s="3">
        <v>5</v>
      </c>
      <c r="N709" s="3" t="s">
        <v>28</v>
      </c>
    </row>
    <row r="710" spans="1:14" x14ac:dyDescent="0.3">
      <c r="A710" s="7" t="s">
        <v>793</v>
      </c>
      <c r="B710" s="7" t="s">
        <v>49</v>
      </c>
      <c r="C710" s="7">
        <v>10</v>
      </c>
      <c r="D710" s="10">
        <v>59.7</v>
      </c>
      <c r="E710" s="10">
        <v>597</v>
      </c>
      <c r="F710" s="9">
        <v>45688</v>
      </c>
      <c r="G710" s="9">
        <v>45692</v>
      </c>
      <c r="H710" s="7" t="s">
        <v>26</v>
      </c>
      <c r="I710" s="8" t="s">
        <v>45</v>
      </c>
      <c r="J710" s="7">
        <v>4</v>
      </c>
      <c r="K710" s="7" t="s">
        <v>194</v>
      </c>
      <c r="L710" s="7">
        <v>4</v>
      </c>
      <c r="M710" s="7">
        <v>5</v>
      </c>
      <c r="N710" s="7" t="s">
        <v>28</v>
      </c>
    </row>
    <row r="711" spans="1:14" x14ac:dyDescent="0.3">
      <c r="A711" s="3" t="s">
        <v>794</v>
      </c>
      <c r="B711" s="3" t="s">
        <v>49</v>
      </c>
      <c r="C711" s="3">
        <v>5</v>
      </c>
      <c r="D711" s="6">
        <v>30</v>
      </c>
      <c r="E711" s="6">
        <v>150</v>
      </c>
      <c r="F711" s="5">
        <v>45688</v>
      </c>
      <c r="G711" s="5">
        <v>45690</v>
      </c>
      <c r="H711" s="3" t="s">
        <v>26</v>
      </c>
      <c r="I711" s="4" t="s">
        <v>40</v>
      </c>
      <c r="J711" s="3">
        <v>4</v>
      </c>
      <c r="K711" s="3" t="s">
        <v>60</v>
      </c>
      <c r="L711" s="3">
        <v>2</v>
      </c>
      <c r="M711" s="3">
        <v>5</v>
      </c>
      <c r="N711" s="3" t="s">
        <v>28</v>
      </c>
    </row>
    <row r="712" spans="1:14" x14ac:dyDescent="0.3">
      <c r="A712" s="7" t="s">
        <v>795</v>
      </c>
      <c r="B712" s="7" t="s">
        <v>59</v>
      </c>
      <c r="C712" s="7">
        <v>2</v>
      </c>
      <c r="D712" s="10">
        <v>69.2</v>
      </c>
      <c r="E712" s="10">
        <v>138.4</v>
      </c>
      <c r="F712" s="9">
        <v>45688</v>
      </c>
      <c r="G712" s="9">
        <v>45690</v>
      </c>
      <c r="H712" s="7"/>
      <c r="I712" s="8" t="s">
        <v>45</v>
      </c>
      <c r="J712" s="7">
        <v>3</v>
      </c>
      <c r="K712" s="7" t="s">
        <v>60</v>
      </c>
      <c r="L712" s="7">
        <v>2</v>
      </c>
      <c r="M712" s="7">
        <v>5</v>
      </c>
      <c r="N712" s="7" t="s">
        <v>23</v>
      </c>
    </row>
    <row r="713" spans="1:14" x14ac:dyDescent="0.3">
      <c r="A713" s="3" t="s">
        <v>796</v>
      </c>
      <c r="B713" s="3" t="s">
        <v>20</v>
      </c>
      <c r="C713" s="3">
        <v>8</v>
      </c>
      <c r="D713" s="6">
        <v>10.9</v>
      </c>
      <c r="E713" s="6">
        <v>87.2</v>
      </c>
      <c r="F713" s="5">
        <v>45688</v>
      </c>
      <c r="G713" s="5">
        <v>45689</v>
      </c>
      <c r="H713" s="3" t="s">
        <v>31</v>
      </c>
      <c r="I713" s="4" t="s">
        <v>21</v>
      </c>
      <c r="J713" s="3">
        <v>5</v>
      </c>
      <c r="K713" s="3" t="s">
        <v>60</v>
      </c>
      <c r="L713" s="3">
        <v>1</v>
      </c>
      <c r="M713" s="3">
        <v>5</v>
      </c>
      <c r="N713" s="3" t="s">
        <v>33</v>
      </c>
    </row>
    <row r="714" spans="1:14" x14ac:dyDescent="0.3">
      <c r="A714" s="7" t="s">
        <v>797</v>
      </c>
      <c r="B714" s="7" t="s">
        <v>134</v>
      </c>
      <c r="C714" s="7">
        <v>2</v>
      </c>
      <c r="D714" s="10">
        <v>48.6</v>
      </c>
      <c r="E714" s="10">
        <v>97.2</v>
      </c>
      <c r="F714" s="9">
        <v>45688</v>
      </c>
      <c r="G714" s="9">
        <v>45692</v>
      </c>
      <c r="H714" s="7" t="s">
        <v>26</v>
      </c>
      <c r="I714" s="8" t="s">
        <v>40</v>
      </c>
      <c r="J714" s="7">
        <v>5</v>
      </c>
      <c r="K714" s="7" t="s">
        <v>60</v>
      </c>
      <c r="L714" s="7">
        <v>4</v>
      </c>
      <c r="M714" s="7">
        <v>5</v>
      </c>
      <c r="N714" s="7" t="s">
        <v>28</v>
      </c>
    </row>
    <row r="715" spans="1:14" x14ac:dyDescent="0.3">
      <c r="A715" s="3" t="s">
        <v>798</v>
      </c>
      <c r="B715" s="3" t="s">
        <v>30</v>
      </c>
      <c r="C715" s="3">
        <v>2</v>
      </c>
      <c r="D715" s="6">
        <v>61.1</v>
      </c>
      <c r="E715" s="6">
        <v>122.2</v>
      </c>
      <c r="F715" s="5">
        <v>45688</v>
      </c>
      <c r="G715" s="5">
        <v>45691</v>
      </c>
      <c r="H715" s="3" t="s">
        <v>31</v>
      </c>
      <c r="I715" s="4" t="s">
        <v>40</v>
      </c>
      <c r="J715" s="3">
        <v>5</v>
      </c>
      <c r="K715" s="3" t="s">
        <v>64</v>
      </c>
      <c r="L715" s="3">
        <v>3</v>
      </c>
      <c r="M715" s="3">
        <v>5</v>
      </c>
      <c r="N715" s="3" t="s">
        <v>33</v>
      </c>
    </row>
    <row r="716" spans="1:14" x14ac:dyDescent="0.3">
      <c r="A716" s="7" t="s">
        <v>799</v>
      </c>
      <c r="B716" s="7" t="s">
        <v>49</v>
      </c>
      <c r="C716" s="7">
        <v>2</v>
      </c>
      <c r="D716" s="10">
        <v>23.2</v>
      </c>
      <c r="E716" s="10">
        <v>46.4</v>
      </c>
      <c r="F716" s="9">
        <v>45688</v>
      </c>
      <c r="G716" s="9">
        <v>45689</v>
      </c>
      <c r="H716" s="7" t="s">
        <v>26</v>
      </c>
      <c r="I716" s="8" t="s">
        <v>56</v>
      </c>
      <c r="J716" s="7">
        <v>5</v>
      </c>
      <c r="K716" s="7" t="s">
        <v>67</v>
      </c>
      <c r="L716" s="7">
        <v>1</v>
      </c>
      <c r="M716" s="7">
        <v>5</v>
      </c>
      <c r="N716" s="7" t="s">
        <v>28</v>
      </c>
    </row>
    <row r="717" spans="1:14" x14ac:dyDescent="0.3">
      <c r="A717" s="3" t="s">
        <v>800</v>
      </c>
      <c r="B717" s="3" t="s">
        <v>74</v>
      </c>
      <c r="C717" s="3">
        <v>4</v>
      </c>
      <c r="D717" s="6">
        <v>55.8</v>
      </c>
      <c r="E717" s="6">
        <v>223.2</v>
      </c>
      <c r="F717" s="5">
        <v>45688</v>
      </c>
      <c r="G717" s="5">
        <v>45689</v>
      </c>
      <c r="H717" s="3" t="s">
        <v>26</v>
      </c>
      <c r="I717" s="4" t="s">
        <v>21</v>
      </c>
      <c r="J717" s="3">
        <v>4</v>
      </c>
      <c r="K717" s="3" t="s">
        <v>67</v>
      </c>
      <c r="L717" s="3">
        <v>1</v>
      </c>
      <c r="M717" s="3">
        <v>5</v>
      </c>
      <c r="N717" s="3" t="s">
        <v>28</v>
      </c>
    </row>
    <row r="718" spans="1:14" x14ac:dyDescent="0.3">
      <c r="A718" s="7" t="s">
        <v>801</v>
      </c>
      <c r="B718" s="7" t="s">
        <v>51</v>
      </c>
      <c r="C718" s="7">
        <v>4</v>
      </c>
      <c r="D718" s="10">
        <v>24.8</v>
      </c>
      <c r="E718" s="10">
        <v>99.2</v>
      </c>
      <c r="F718" s="9">
        <v>45688</v>
      </c>
      <c r="G718" s="9">
        <v>45689</v>
      </c>
      <c r="H718" s="7" t="s">
        <v>31</v>
      </c>
      <c r="I718" s="8" t="s">
        <v>21</v>
      </c>
      <c r="J718" s="7">
        <v>5</v>
      </c>
      <c r="K718" s="7" t="s">
        <v>67</v>
      </c>
      <c r="L718" s="7">
        <v>1</v>
      </c>
      <c r="M718" s="7">
        <v>5</v>
      </c>
      <c r="N718" s="7" t="s">
        <v>33</v>
      </c>
    </row>
    <row r="719" spans="1:14" x14ac:dyDescent="0.3">
      <c r="A719" s="3" t="s">
        <v>802</v>
      </c>
      <c r="B719" s="3" t="s">
        <v>59</v>
      </c>
      <c r="C719" s="3">
        <v>2</v>
      </c>
      <c r="D719" s="6">
        <v>27.9</v>
      </c>
      <c r="E719" s="6">
        <v>55.8</v>
      </c>
      <c r="F719" s="5">
        <v>45688</v>
      </c>
      <c r="G719" s="5">
        <v>45688</v>
      </c>
      <c r="H719" s="3" t="s">
        <v>26</v>
      </c>
      <c r="I719" s="4" t="s">
        <v>45</v>
      </c>
      <c r="J719" s="3">
        <v>5</v>
      </c>
      <c r="K719" s="3" t="s">
        <v>67</v>
      </c>
      <c r="L719" s="3">
        <v>0</v>
      </c>
      <c r="M719" s="3">
        <v>5</v>
      </c>
      <c r="N719" s="3" t="s">
        <v>28</v>
      </c>
    </row>
    <row r="720" spans="1:14" x14ac:dyDescent="0.3">
      <c r="A720" s="7" t="s">
        <v>803</v>
      </c>
      <c r="B720" s="7" t="s">
        <v>59</v>
      </c>
      <c r="C720" s="7">
        <v>6</v>
      </c>
      <c r="D720" s="10">
        <v>51.1</v>
      </c>
      <c r="E720" s="10">
        <v>306.60000000000002</v>
      </c>
      <c r="F720" s="9">
        <v>45688</v>
      </c>
      <c r="G720" s="9">
        <v>45688</v>
      </c>
      <c r="H720" s="7" t="s">
        <v>31</v>
      </c>
      <c r="I720" s="8" t="s">
        <v>56</v>
      </c>
      <c r="J720" s="7">
        <v>4</v>
      </c>
      <c r="K720" s="7" t="s">
        <v>67</v>
      </c>
      <c r="L720" s="7">
        <v>0</v>
      </c>
      <c r="M720" s="7">
        <v>5</v>
      </c>
      <c r="N720" s="7" t="s">
        <v>33</v>
      </c>
    </row>
    <row r="721" spans="1:14" x14ac:dyDescent="0.3">
      <c r="A721" s="3" t="s">
        <v>804</v>
      </c>
      <c r="B721" s="3" t="s">
        <v>141</v>
      </c>
      <c r="C721" s="3">
        <v>11</v>
      </c>
      <c r="D721" s="6">
        <v>32.700000000000003</v>
      </c>
      <c r="E721" s="6">
        <v>359.7</v>
      </c>
      <c r="F721" s="5">
        <v>45688</v>
      </c>
      <c r="G721" s="5">
        <v>45689</v>
      </c>
      <c r="H721" s="3" t="s">
        <v>26</v>
      </c>
      <c r="I721" s="4" t="s">
        <v>75</v>
      </c>
      <c r="J721" s="3">
        <v>5</v>
      </c>
      <c r="K721" s="3" t="s">
        <v>109</v>
      </c>
      <c r="L721" s="3">
        <v>1</v>
      </c>
      <c r="M721" s="3">
        <v>5</v>
      </c>
      <c r="N721" s="3" t="s">
        <v>28</v>
      </c>
    </row>
    <row r="722" spans="1:14" x14ac:dyDescent="0.3">
      <c r="A722" s="7" t="s">
        <v>805</v>
      </c>
      <c r="B722" s="7" t="s">
        <v>49</v>
      </c>
      <c r="C722" s="7">
        <v>4</v>
      </c>
      <c r="D722" s="10">
        <v>22.5</v>
      </c>
      <c r="E722" s="10">
        <v>90</v>
      </c>
      <c r="F722" s="9">
        <v>45688</v>
      </c>
      <c r="G722" s="9">
        <v>45688</v>
      </c>
      <c r="H722" s="7" t="s">
        <v>26</v>
      </c>
      <c r="I722" s="8" t="s">
        <v>21</v>
      </c>
      <c r="J722" s="7">
        <v>5</v>
      </c>
      <c r="K722" s="7" t="s">
        <v>207</v>
      </c>
      <c r="L722" s="7">
        <v>0</v>
      </c>
      <c r="M722" s="7">
        <v>5</v>
      </c>
      <c r="N722" s="7" t="s">
        <v>28</v>
      </c>
    </row>
    <row r="723" spans="1:14" x14ac:dyDescent="0.3">
      <c r="A723" s="3" t="s">
        <v>806</v>
      </c>
      <c r="B723" s="3" t="s">
        <v>20</v>
      </c>
      <c r="C723" s="3">
        <v>7</v>
      </c>
      <c r="D723" s="6">
        <v>14.6</v>
      </c>
      <c r="E723" s="6">
        <v>102.2</v>
      </c>
      <c r="F723" s="5">
        <v>45688</v>
      </c>
      <c r="G723" s="5">
        <v>45689</v>
      </c>
      <c r="H723" s="3" t="s">
        <v>31</v>
      </c>
      <c r="I723" s="4" t="s">
        <v>45</v>
      </c>
      <c r="J723" s="3">
        <v>4</v>
      </c>
      <c r="K723" s="3" t="s">
        <v>104</v>
      </c>
      <c r="L723" s="3">
        <v>1</v>
      </c>
      <c r="M723" s="3">
        <v>5</v>
      </c>
      <c r="N723" s="3" t="s">
        <v>33</v>
      </c>
    </row>
    <row r="724" spans="1:14" x14ac:dyDescent="0.3">
      <c r="A724" s="7" t="s">
        <v>807</v>
      </c>
      <c r="B724" s="7" t="s">
        <v>42</v>
      </c>
      <c r="C724" s="7">
        <v>3</v>
      </c>
      <c r="D724" s="10">
        <v>32.5</v>
      </c>
      <c r="E724" s="10">
        <v>97.5</v>
      </c>
      <c r="F724" s="9">
        <v>45688</v>
      </c>
      <c r="G724" s="9">
        <v>45691</v>
      </c>
      <c r="H724" s="7" t="s">
        <v>26</v>
      </c>
      <c r="I724" s="8" t="s">
        <v>21</v>
      </c>
      <c r="J724" s="7">
        <v>4</v>
      </c>
      <c r="K724" s="7" t="s">
        <v>79</v>
      </c>
      <c r="L724" s="7">
        <v>3</v>
      </c>
      <c r="M724" s="7">
        <v>5</v>
      </c>
      <c r="N724" s="7" t="s">
        <v>28</v>
      </c>
    </row>
    <row r="725" spans="1:14" x14ac:dyDescent="0.3">
      <c r="A725" s="3" t="s">
        <v>808</v>
      </c>
      <c r="B725" s="3" t="s">
        <v>152</v>
      </c>
      <c r="C725" s="3">
        <v>1</v>
      </c>
      <c r="D725" s="6">
        <v>78.099999999999994</v>
      </c>
      <c r="E725" s="6">
        <v>78.099999999999994</v>
      </c>
      <c r="F725" s="5">
        <v>45688</v>
      </c>
      <c r="G725" s="5">
        <v>45691</v>
      </c>
      <c r="H725" s="3" t="s">
        <v>26</v>
      </c>
      <c r="I725" s="4" t="s">
        <v>21</v>
      </c>
      <c r="J725" s="3">
        <v>5</v>
      </c>
      <c r="K725" s="3" t="s">
        <v>82</v>
      </c>
      <c r="L725" s="3">
        <v>3</v>
      </c>
      <c r="M725" s="3">
        <v>5</v>
      </c>
      <c r="N725" s="3" t="s">
        <v>28</v>
      </c>
    </row>
    <row r="726" spans="1:14" x14ac:dyDescent="0.3">
      <c r="A726" s="7" t="s">
        <v>809</v>
      </c>
      <c r="B726" s="7" t="s">
        <v>74</v>
      </c>
      <c r="C726" s="7">
        <v>6</v>
      </c>
      <c r="D726" s="10">
        <v>110.2</v>
      </c>
      <c r="E726" s="10">
        <v>661.2</v>
      </c>
      <c r="F726" s="9">
        <v>45688</v>
      </c>
      <c r="G726" s="9">
        <v>45688</v>
      </c>
      <c r="H726" s="7" t="s">
        <v>26</v>
      </c>
      <c r="I726" s="8" t="s">
        <v>40</v>
      </c>
      <c r="J726" s="7">
        <v>2</v>
      </c>
      <c r="K726" s="7" t="s">
        <v>87</v>
      </c>
      <c r="L726" s="7">
        <v>0</v>
      </c>
      <c r="M726" s="7">
        <v>5</v>
      </c>
      <c r="N726" s="7" t="s">
        <v>28</v>
      </c>
    </row>
    <row r="727" spans="1:14" x14ac:dyDescent="0.3">
      <c r="A727" s="3" t="s">
        <v>810</v>
      </c>
      <c r="B727" s="3" t="s">
        <v>44</v>
      </c>
      <c r="C727" s="3">
        <v>3</v>
      </c>
      <c r="D727" s="6">
        <v>86.3</v>
      </c>
      <c r="E727" s="6">
        <v>258.89999999999998</v>
      </c>
      <c r="F727" s="5">
        <v>45688</v>
      </c>
      <c r="G727" s="5">
        <v>45690</v>
      </c>
      <c r="H727" s="3" t="s">
        <v>31</v>
      </c>
      <c r="I727" s="4" t="s">
        <v>56</v>
      </c>
      <c r="J727" s="3">
        <v>4</v>
      </c>
      <c r="K727" s="3" t="s">
        <v>121</v>
      </c>
      <c r="L727" s="3">
        <v>2</v>
      </c>
      <c r="M727" s="3">
        <v>5</v>
      </c>
      <c r="N727" s="3" t="s">
        <v>33</v>
      </c>
    </row>
    <row r="728" spans="1:14" x14ac:dyDescent="0.3">
      <c r="A728" s="7" t="s">
        <v>811</v>
      </c>
      <c r="B728" s="7" t="s">
        <v>25</v>
      </c>
      <c r="C728" s="7">
        <v>6</v>
      </c>
      <c r="D728" s="10">
        <v>73.599999999999994</v>
      </c>
      <c r="E728" s="10">
        <v>441.6</v>
      </c>
      <c r="F728" s="9">
        <v>45688</v>
      </c>
      <c r="G728" s="9">
        <v>45690</v>
      </c>
      <c r="H728" s="7" t="s">
        <v>94</v>
      </c>
      <c r="I728" s="8" t="s">
        <v>56</v>
      </c>
      <c r="J728" s="7">
        <v>2</v>
      </c>
      <c r="K728" s="7" t="s">
        <v>119</v>
      </c>
      <c r="L728" s="7">
        <v>2</v>
      </c>
      <c r="M728" s="7">
        <v>5</v>
      </c>
      <c r="N728" s="7" t="s">
        <v>95</v>
      </c>
    </row>
    <row r="729" spans="1:14" x14ac:dyDescent="0.3">
      <c r="A729" s="3" t="s">
        <v>812</v>
      </c>
      <c r="B729" s="3" t="s">
        <v>44</v>
      </c>
      <c r="C729" s="3">
        <v>13</v>
      </c>
      <c r="D729" s="6">
        <v>67.7</v>
      </c>
      <c r="E729" s="6">
        <v>880.1</v>
      </c>
      <c r="F729" s="5">
        <v>45688</v>
      </c>
      <c r="G729" s="5">
        <v>45690</v>
      </c>
      <c r="H729" s="3" t="s">
        <v>31</v>
      </c>
      <c r="I729" s="4" t="s">
        <v>21</v>
      </c>
      <c r="J729" s="3">
        <v>5</v>
      </c>
      <c r="K729" s="3" t="s">
        <v>38</v>
      </c>
      <c r="L729" s="3">
        <v>2</v>
      </c>
      <c r="M729" s="3">
        <v>5</v>
      </c>
      <c r="N729" s="3" t="s">
        <v>33</v>
      </c>
    </row>
    <row r="730" spans="1:14" x14ac:dyDescent="0.3">
      <c r="A730" s="7" t="s">
        <v>813</v>
      </c>
      <c r="B730" s="7" t="s">
        <v>47</v>
      </c>
      <c r="C730" s="7">
        <v>6</v>
      </c>
      <c r="D730" s="10">
        <v>142.19999999999999</v>
      </c>
      <c r="E730" s="10">
        <v>853.19999999999993</v>
      </c>
      <c r="F730" s="9">
        <v>45688</v>
      </c>
      <c r="G730" s="9">
        <v>45689</v>
      </c>
      <c r="H730" s="7" t="s">
        <v>31</v>
      </c>
      <c r="I730" s="8" t="s">
        <v>45</v>
      </c>
      <c r="J730" s="7">
        <v>2</v>
      </c>
      <c r="K730" s="7" t="s">
        <v>38</v>
      </c>
      <c r="L730" s="7">
        <v>1</v>
      </c>
      <c r="M730" s="7">
        <v>5</v>
      </c>
      <c r="N730" s="7" t="s">
        <v>33</v>
      </c>
    </row>
    <row r="731" spans="1:14" x14ac:dyDescent="0.3">
      <c r="A731" s="3" t="s">
        <v>814</v>
      </c>
      <c r="B731" s="3" t="s">
        <v>25</v>
      </c>
      <c r="C731" s="3">
        <v>9</v>
      </c>
      <c r="D731" s="6">
        <v>45.8</v>
      </c>
      <c r="E731" s="6">
        <v>412.2</v>
      </c>
      <c r="F731" s="5">
        <v>45688</v>
      </c>
      <c r="G731" s="5">
        <v>45690</v>
      </c>
      <c r="H731" s="3" t="s">
        <v>31</v>
      </c>
      <c r="I731" s="4" t="s">
        <v>40</v>
      </c>
      <c r="J731" s="3">
        <v>5</v>
      </c>
      <c r="K731" s="3" t="s">
        <v>38</v>
      </c>
      <c r="L731" s="3">
        <v>2</v>
      </c>
      <c r="M731" s="3">
        <v>5</v>
      </c>
      <c r="N731" s="3" t="s">
        <v>33</v>
      </c>
    </row>
    <row r="732" spans="1:14" x14ac:dyDescent="0.3">
      <c r="A732" s="7" t="s">
        <v>815</v>
      </c>
      <c r="B732" s="7" t="s">
        <v>59</v>
      </c>
      <c r="C732" s="7">
        <v>2</v>
      </c>
      <c r="D732" s="10">
        <v>24.2</v>
      </c>
      <c r="E732" s="10">
        <v>48.4</v>
      </c>
      <c r="F732" s="9">
        <v>45689</v>
      </c>
      <c r="G732" s="9">
        <v>45692</v>
      </c>
      <c r="H732" s="7" t="s">
        <v>31</v>
      </c>
      <c r="I732" s="8" t="s">
        <v>56</v>
      </c>
      <c r="J732" s="7">
        <v>5</v>
      </c>
      <c r="K732" s="7" t="s">
        <v>38</v>
      </c>
      <c r="L732" s="7">
        <v>3</v>
      </c>
      <c r="M732" s="7">
        <v>5</v>
      </c>
      <c r="N732" s="7" t="s">
        <v>33</v>
      </c>
    </row>
    <row r="733" spans="1:14" x14ac:dyDescent="0.3">
      <c r="A733" s="3" t="s">
        <v>816</v>
      </c>
      <c r="B733" s="3" t="s">
        <v>30</v>
      </c>
      <c r="C733" s="3">
        <v>3</v>
      </c>
      <c r="D733" s="6">
        <v>144.9</v>
      </c>
      <c r="E733" s="6">
        <v>434.7</v>
      </c>
      <c r="F733" s="5">
        <v>45689</v>
      </c>
      <c r="G733" s="5">
        <v>45690</v>
      </c>
      <c r="H733" s="3" t="s">
        <v>94</v>
      </c>
      <c r="I733" s="4" t="s">
        <v>45</v>
      </c>
      <c r="J733" s="3">
        <v>5</v>
      </c>
      <c r="K733" s="3" t="s">
        <v>38</v>
      </c>
      <c r="L733" s="3">
        <v>1</v>
      </c>
      <c r="M733" s="3">
        <v>5</v>
      </c>
      <c r="N733" s="3" t="s">
        <v>95</v>
      </c>
    </row>
    <row r="734" spans="1:14" x14ac:dyDescent="0.3">
      <c r="A734" s="7" t="s">
        <v>817</v>
      </c>
      <c r="B734" s="7" t="s">
        <v>72</v>
      </c>
      <c r="C734" s="7">
        <v>5</v>
      </c>
      <c r="D734" s="10">
        <v>32.799999999999997</v>
      </c>
      <c r="E734" s="10">
        <v>164</v>
      </c>
      <c r="F734" s="9">
        <v>45689</v>
      </c>
      <c r="G734" s="9">
        <v>45692</v>
      </c>
      <c r="H734" s="7" t="s">
        <v>31</v>
      </c>
      <c r="I734" s="8" t="s">
        <v>45</v>
      </c>
      <c r="J734" s="7">
        <v>4</v>
      </c>
      <c r="K734" s="7" t="s">
        <v>164</v>
      </c>
      <c r="L734" s="7">
        <v>3</v>
      </c>
      <c r="M734" s="7">
        <v>5</v>
      </c>
      <c r="N734" s="7" t="s">
        <v>33</v>
      </c>
    </row>
    <row r="735" spans="1:14" x14ac:dyDescent="0.3">
      <c r="A735" s="3" t="s">
        <v>818</v>
      </c>
      <c r="B735" s="3" t="s">
        <v>47</v>
      </c>
      <c r="C735" s="3">
        <v>10</v>
      </c>
      <c r="D735" s="6">
        <v>35.700000000000003</v>
      </c>
      <c r="E735" s="6">
        <v>357</v>
      </c>
      <c r="F735" s="5">
        <v>45689</v>
      </c>
      <c r="G735" s="5">
        <v>45689</v>
      </c>
      <c r="H735" s="3" t="s">
        <v>31</v>
      </c>
      <c r="I735" s="4" t="s">
        <v>21</v>
      </c>
      <c r="J735" s="3">
        <v>3</v>
      </c>
      <c r="K735" s="3" t="s">
        <v>60</v>
      </c>
      <c r="L735" s="3">
        <v>0</v>
      </c>
      <c r="M735" s="3">
        <v>5</v>
      </c>
      <c r="N735" s="3" t="s">
        <v>33</v>
      </c>
    </row>
    <row r="736" spans="1:14" x14ac:dyDescent="0.3">
      <c r="A736" s="7" t="s">
        <v>819</v>
      </c>
      <c r="B736" s="7" t="s">
        <v>51</v>
      </c>
      <c r="C736" s="7">
        <v>2</v>
      </c>
      <c r="D736" s="10">
        <v>54.6</v>
      </c>
      <c r="E736" s="10">
        <v>109.2</v>
      </c>
      <c r="F736" s="9">
        <v>45689</v>
      </c>
      <c r="G736" s="9">
        <v>45690</v>
      </c>
      <c r="H736" s="7" t="s">
        <v>31</v>
      </c>
      <c r="I736" s="8" t="s">
        <v>45</v>
      </c>
      <c r="J736" s="7">
        <v>4</v>
      </c>
      <c r="K736" s="7" t="s">
        <v>60</v>
      </c>
      <c r="L736" s="7">
        <v>1</v>
      </c>
      <c r="M736" s="7">
        <v>5</v>
      </c>
      <c r="N736" s="7" t="s">
        <v>33</v>
      </c>
    </row>
    <row r="737" spans="1:14" x14ac:dyDescent="0.3">
      <c r="A737" s="3" t="s">
        <v>820</v>
      </c>
      <c r="B737" s="3" t="s">
        <v>49</v>
      </c>
      <c r="C737" s="3">
        <v>2</v>
      </c>
      <c r="D737" s="6">
        <v>35.700000000000003</v>
      </c>
      <c r="E737" s="6">
        <v>71.400000000000006</v>
      </c>
      <c r="F737" s="5">
        <v>45689</v>
      </c>
      <c r="G737" s="5">
        <v>45692</v>
      </c>
      <c r="H737" s="3"/>
      <c r="I737" s="4" t="s">
        <v>21</v>
      </c>
      <c r="J737" s="3">
        <v>3</v>
      </c>
      <c r="K737" s="3" t="s">
        <v>60</v>
      </c>
      <c r="L737" s="3">
        <v>3</v>
      </c>
      <c r="M737" s="3">
        <v>5</v>
      </c>
      <c r="N737" s="3" t="s">
        <v>23</v>
      </c>
    </row>
    <row r="738" spans="1:14" x14ac:dyDescent="0.3">
      <c r="A738" s="7" t="s">
        <v>821</v>
      </c>
      <c r="B738" s="7" t="s">
        <v>59</v>
      </c>
      <c r="C738" s="7">
        <v>2</v>
      </c>
      <c r="D738" s="10">
        <v>52.4</v>
      </c>
      <c r="E738" s="10">
        <v>104.8</v>
      </c>
      <c r="F738" s="9">
        <v>45689</v>
      </c>
      <c r="G738" s="9">
        <v>45689</v>
      </c>
      <c r="H738" s="7" t="s">
        <v>31</v>
      </c>
      <c r="I738" s="8" t="s">
        <v>21</v>
      </c>
      <c r="J738" s="7">
        <v>1</v>
      </c>
      <c r="K738" s="7" t="s">
        <v>60</v>
      </c>
      <c r="L738" s="7">
        <v>0</v>
      </c>
      <c r="M738" s="7">
        <v>5</v>
      </c>
      <c r="N738" s="7" t="s">
        <v>33</v>
      </c>
    </row>
    <row r="739" spans="1:14" x14ac:dyDescent="0.3">
      <c r="A739" s="3" t="s">
        <v>822</v>
      </c>
      <c r="B739" s="3" t="s">
        <v>49</v>
      </c>
      <c r="C739" s="3">
        <v>14</v>
      </c>
      <c r="D739" s="6">
        <v>16.2</v>
      </c>
      <c r="E739" s="6">
        <v>226.8</v>
      </c>
      <c r="F739" s="5">
        <v>45689</v>
      </c>
      <c r="G739" s="5">
        <v>45690</v>
      </c>
      <c r="H739" s="3"/>
      <c r="I739" s="4" t="s">
        <v>21</v>
      </c>
      <c r="J739" s="3">
        <v>3</v>
      </c>
      <c r="K739" s="3" t="s">
        <v>67</v>
      </c>
      <c r="L739" s="3">
        <v>1</v>
      </c>
      <c r="M739" s="3">
        <v>5</v>
      </c>
      <c r="N739" s="3" t="s">
        <v>23</v>
      </c>
    </row>
    <row r="740" spans="1:14" x14ac:dyDescent="0.3">
      <c r="A740" s="7" t="s">
        <v>823</v>
      </c>
      <c r="B740" s="7" t="s">
        <v>44</v>
      </c>
      <c r="C740" s="7">
        <v>47</v>
      </c>
      <c r="D740" s="10">
        <v>42.8</v>
      </c>
      <c r="E740" s="10">
        <v>2011.6</v>
      </c>
      <c r="F740" s="9">
        <v>45689</v>
      </c>
      <c r="G740" s="9">
        <v>45690</v>
      </c>
      <c r="H740" s="7" t="s">
        <v>31</v>
      </c>
      <c r="I740" s="8" t="s">
        <v>21</v>
      </c>
      <c r="J740" s="7">
        <v>4</v>
      </c>
      <c r="K740" s="7" t="s">
        <v>67</v>
      </c>
      <c r="L740" s="7">
        <v>1</v>
      </c>
      <c r="M740" s="7">
        <v>5</v>
      </c>
      <c r="N740" s="7" t="s">
        <v>33</v>
      </c>
    </row>
    <row r="741" spans="1:14" x14ac:dyDescent="0.3">
      <c r="A741" s="3" t="s">
        <v>824</v>
      </c>
      <c r="B741" s="3" t="s">
        <v>44</v>
      </c>
      <c r="C741" s="3">
        <v>9</v>
      </c>
      <c r="D741" s="6">
        <v>144.4</v>
      </c>
      <c r="E741" s="6">
        <v>1299.5999999999999</v>
      </c>
      <c r="F741" s="5">
        <v>45689</v>
      </c>
      <c r="G741" s="5">
        <v>45692</v>
      </c>
      <c r="H741" s="3" t="s">
        <v>31</v>
      </c>
      <c r="I741" s="4" t="s">
        <v>75</v>
      </c>
      <c r="J741" s="3">
        <v>4</v>
      </c>
      <c r="K741" s="3" t="s">
        <v>67</v>
      </c>
      <c r="L741" s="3">
        <v>3</v>
      </c>
      <c r="M741" s="3">
        <v>5</v>
      </c>
      <c r="N741" s="3" t="s">
        <v>33</v>
      </c>
    </row>
    <row r="742" spans="1:14" x14ac:dyDescent="0.3">
      <c r="A742" s="7" t="s">
        <v>825</v>
      </c>
      <c r="B742" s="7" t="s">
        <v>35</v>
      </c>
      <c r="C742" s="7">
        <v>36</v>
      </c>
      <c r="D742" s="10">
        <v>30.6</v>
      </c>
      <c r="E742" s="10">
        <v>1101.5999999999999</v>
      </c>
      <c r="F742" s="9">
        <v>45689</v>
      </c>
      <c r="G742" s="9">
        <v>45693</v>
      </c>
      <c r="H742" s="7" t="s">
        <v>31</v>
      </c>
      <c r="I742" s="8" t="s">
        <v>45</v>
      </c>
      <c r="J742" s="7">
        <v>5</v>
      </c>
      <c r="K742" s="7" t="s">
        <v>82</v>
      </c>
      <c r="L742" s="7">
        <v>4</v>
      </c>
      <c r="M742" s="7">
        <v>5</v>
      </c>
      <c r="N742" s="7" t="s">
        <v>33</v>
      </c>
    </row>
    <row r="743" spans="1:14" x14ac:dyDescent="0.3">
      <c r="A743" s="3" t="s">
        <v>826</v>
      </c>
      <c r="B743" s="3" t="s">
        <v>30</v>
      </c>
      <c r="C743" s="3">
        <v>2</v>
      </c>
      <c r="D743" s="6">
        <v>117.5</v>
      </c>
      <c r="E743" s="6">
        <v>235</v>
      </c>
      <c r="F743" s="5">
        <v>45689</v>
      </c>
      <c r="G743" s="5">
        <v>45690</v>
      </c>
      <c r="H743" s="3" t="s">
        <v>26</v>
      </c>
      <c r="I743" s="4" t="s">
        <v>21</v>
      </c>
      <c r="J743" s="3">
        <v>4</v>
      </c>
      <c r="K743" s="3" t="s">
        <v>116</v>
      </c>
      <c r="L743" s="3">
        <v>1</v>
      </c>
      <c r="M743" s="3">
        <v>5</v>
      </c>
      <c r="N743" s="3" t="s">
        <v>28</v>
      </c>
    </row>
    <row r="744" spans="1:14" x14ac:dyDescent="0.3">
      <c r="A744" s="7" t="s">
        <v>827</v>
      </c>
      <c r="B744" s="7" t="s">
        <v>44</v>
      </c>
      <c r="C744" s="7">
        <v>2</v>
      </c>
      <c r="D744" s="10">
        <v>105.7</v>
      </c>
      <c r="E744" s="10">
        <v>211.4</v>
      </c>
      <c r="F744" s="9">
        <v>45689</v>
      </c>
      <c r="G744" s="9">
        <v>45690</v>
      </c>
      <c r="H744" s="7" t="s">
        <v>31</v>
      </c>
      <c r="I744" s="8" t="s">
        <v>45</v>
      </c>
      <c r="J744" s="7">
        <v>5</v>
      </c>
      <c r="K744" s="7" t="s">
        <v>121</v>
      </c>
      <c r="L744" s="7">
        <v>1</v>
      </c>
      <c r="M744" s="7">
        <v>5</v>
      </c>
      <c r="N744" s="7" t="s">
        <v>33</v>
      </c>
    </row>
    <row r="745" spans="1:14" x14ac:dyDescent="0.3">
      <c r="A745" s="3" t="s">
        <v>828</v>
      </c>
      <c r="B745" s="3" t="s">
        <v>35</v>
      </c>
      <c r="C745" s="3">
        <v>3</v>
      </c>
      <c r="D745" s="6">
        <v>133.69999999999999</v>
      </c>
      <c r="E745" s="6">
        <v>401.1</v>
      </c>
      <c r="F745" s="5">
        <v>45689</v>
      </c>
      <c r="G745" s="5">
        <v>45690</v>
      </c>
      <c r="H745" s="3"/>
      <c r="I745" s="4" t="s">
        <v>75</v>
      </c>
      <c r="J745" s="3">
        <v>5</v>
      </c>
      <c r="K745" s="3" t="s">
        <v>121</v>
      </c>
      <c r="L745" s="3">
        <v>1</v>
      </c>
      <c r="M745" s="3">
        <v>5</v>
      </c>
      <c r="N745" s="3" t="s">
        <v>23</v>
      </c>
    </row>
    <row r="746" spans="1:14" x14ac:dyDescent="0.3">
      <c r="A746" s="7" t="s">
        <v>829</v>
      </c>
      <c r="B746" s="7" t="s">
        <v>37</v>
      </c>
      <c r="C746" s="7">
        <v>5</v>
      </c>
      <c r="D746" s="10">
        <v>46.8</v>
      </c>
      <c r="E746" s="10">
        <v>234</v>
      </c>
      <c r="F746" s="9">
        <v>45690</v>
      </c>
      <c r="G746" s="9">
        <v>45698</v>
      </c>
      <c r="H746" s="7" t="s">
        <v>31</v>
      </c>
      <c r="I746" s="8" t="s">
        <v>21</v>
      </c>
      <c r="J746" s="7">
        <v>3</v>
      </c>
      <c r="K746" s="7" t="s">
        <v>121</v>
      </c>
      <c r="L746" s="7">
        <v>8</v>
      </c>
      <c r="M746" s="7">
        <v>6</v>
      </c>
      <c r="N746" s="7" t="s">
        <v>33</v>
      </c>
    </row>
    <row r="747" spans="1:14" x14ac:dyDescent="0.3">
      <c r="A747" s="3" t="s">
        <v>830</v>
      </c>
      <c r="B747" s="3" t="s">
        <v>59</v>
      </c>
      <c r="C747" s="3">
        <v>3</v>
      </c>
      <c r="D747" s="6">
        <v>58.4</v>
      </c>
      <c r="E747" s="6">
        <v>175.2</v>
      </c>
      <c r="F747" s="5">
        <v>45690</v>
      </c>
      <c r="G747" s="5">
        <v>45692</v>
      </c>
      <c r="H747" s="3" t="s">
        <v>31</v>
      </c>
      <c r="I747" s="4" t="s">
        <v>21</v>
      </c>
      <c r="J747" s="3">
        <v>4</v>
      </c>
      <c r="K747" s="3" t="s">
        <v>27</v>
      </c>
      <c r="L747" s="3">
        <v>2</v>
      </c>
      <c r="M747" s="3">
        <v>6</v>
      </c>
      <c r="N747" s="3" t="s">
        <v>33</v>
      </c>
    </row>
    <row r="748" spans="1:14" x14ac:dyDescent="0.3">
      <c r="A748" s="7" t="s">
        <v>831</v>
      </c>
      <c r="B748" s="7" t="s">
        <v>44</v>
      </c>
      <c r="C748" s="7">
        <v>9</v>
      </c>
      <c r="D748" s="10">
        <v>65.099999999999994</v>
      </c>
      <c r="E748" s="10">
        <v>585.9</v>
      </c>
      <c r="F748" s="9">
        <v>45690</v>
      </c>
      <c r="G748" s="9">
        <v>45694</v>
      </c>
      <c r="H748" s="7" t="s">
        <v>26</v>
      </c>
      <c r="I748" s="8" t="s">
        <v>40</v>
      </c>
      <c r="J748" s="7">
        <v>5</v>
      </c>
      <c r="K748" s="7" t="s">
        <v>153</v>
      </c>
      <c r="L748" s="7">
        <v>4</v>
      </c>
      <c r="M748" s="7">
        <v>6</v>
      </c>
      <c r="N748" s="7" t="s">
        <v>28</v>
      </c>
    </row>
    <row r="749" spans="1:14" x14ac:dyDescent="0.3">
      <c r="A749" s="3" t="s">
        <v>832</v>
      </c>
      <c r="B749" s="3" t="s">
        <v>49</v>
      </c>
      <c r="C749" s="3">
        <v>1</v>
      </c>
      <c r="D749" s="6">
        <v>18.600000000000001</v>
      </c>
      <c r="E749" s="6">
        <v>18.600000000000001</v>
      </c>
      <c r="F749" s="5">
        <v>45690</v>
      </c>
      <c r="G749" s="5">
        <v>45693</v>
      </c>
      <c r="H749" s="3" t="s">
        <v>31</v>
      </c>
      <c r="I749" s="4" t="s">
        <v>21</v>
      </c>
      <c r="J749" s="3">
        <v>2</v>
      </c>
      <c r="K749" s="3" t="s">
        <v>153</v>
      </c>
      <c r="L749" s="3">
        <v>3</v>
      </c>
      <c r="M749" s="3">
        <v>6</v>
      </c>
      <c r="N749" s="3" t="s">
        <v>33</v>
      </c>
    </row>
    <row r="750" spans="1:14" x14ac:dyDescent="0.3">
      <c r="A750" s="7" t="s">
        <v>833</v>
      </c>
      <c r="B750" s="7" t="s">
        <v>25</v>
      </c>
      <c r="C750" s="7">
        <v>11</v>
      </c>
      <c r="D750" s="10">
        <v>92.3</v>
      </c>
      <c r="E750" s="10">
        <v>1015.3</v>
      </c>
      <c r="F750" s="9">
        <v>45690</v>
      </c>
      <c r="G750" s="9">
        <v>45692</v>
      </c>
      <c r="H750" s="7" t="s">
        <v>26</v>
      </c>
      <c r="I750" s="8" t="s">
        <v>40</v>
      </c>
      <c r="J750" s="7">
        <v>4</v>
      </c>
      <c r="K750" s="7" t="s">
        <v>38</v>
      </c>
      <c r="L750" s="7">
        <v>2</v>
      </c>
      <c r="M750" s="7">
        <v>6</v>
      </c>
      <c r="N750" s="7" t="s">
        <v>28</v>
      </c>
    </row>
    <row r="751" spans="1:14" x14ac:dyDescent="0.3">
      <c r="A751" s="3" t="s">
        <v>834</v>
      </c>
      <c r="B751" s="3" t="s">
        <v>44</v>
      </c>
      <c r="C751" s="3">
        <v>3</v>
      </c>
      <c r="D751" s="6">
        <v>81.7</v>
      </c>
      <c r="E751" s="6">
        <v>245.1</v>
      </c>
      <c r="F751" s="5">
        <v>45690</v>
      </c>
      <c r="G751" s="5">
        <v>45691</v>
      </c>
      <c r="H751" s="3"/>
      <c r="I751" s="4" t="s">
        <v>75</v>
      </c>
      <c r="J751" s="3">
        <v>2</v>
      </c>
      <c r="K751" s="3" t="s">
        <v>38</v>
      </c>
      <c r="L751" s="3">
        <v>1</v>
      </c>
      <c r="M751" s="3">
        <v>6</v>
      </c>
      <c r="N751" s="3" t="s">
        <v>23</v>
      </c>
    </row>
    <row r="752" spans="1:14" x14ac:dyDescent="0.3">
      <c r="A752" s="7" t="s">
        <v>835</v>
      </c>
      <c r="B752" s="7" t="s">
        <v>49</v>
      </c>
      <c r="C752" s="7">
        <v>2</v>
      </c>
      <c r="D752" s="10">
        <v>40.9</v>
      </c>
      <c r="E752" s="10">
        <v>81.8</v>
      </c>
      <c r="F752" s="9">
        <v>45690</v>
      </c>
      <c r="G752" s="9">
        <v>45692</v>
      </c>
      <c r="H752" s="7" t="s">
        <v>26</v>
      </c>
      <c r="I752" s="8" t="s">
        <v>21</v>
      </c>
      <c r="J752" s="7">
        <v>3</v>
      </c>
      <c r="K752" s="7" t="s">
        <v>38</v>
      </c>
      <c r="L752" s="7">
        <v>2</v>
      </c>
      <c r="M752" s="7">
        <v>6</v>
      </c>
      <c r="N752" s="7" t="s">
        <v>28</v>
      </c>
    </row>
    <row r="753" spans="1:14" x14ac:dyDescent="0.3">
      <c r="A753" s="3" t="s">
        <v>836</v>
      </c>
      <c r="B753" s="3" t="s">
        <v>44</v>
      </c>
      <c r="C753" s="3">
        <v>4</v>
      </c>
      <c r="D753" s="6">
        <v>43.2</v>
      </c>
      <c r="E753" s="6">
        <v>172.8</v>
      </c>
      <c r="F753" s="5">
        <v>45690</v>
      </c>
      <c r="G753" s="5">
        <v>45696</v>
      </c>
      <c r="H753" s="3" t="s">
        <v>31</v>
      </c>
      <c r="I753" s="4" t="s">
        <v>21</v>
      </c>
      <c r="J753" s="3">
        <v>3</v>
      </c>
      <c r="K753" s="3" t="s">
        <v>38</v>
      </c>
      <c r="L753" s="3">
        <v>6</v>
      </c>
      <c r="M753" s="3">
        <v>6</v>
      </c>
      <c r="N753" s="3" t="s">
        <v>33</v>
      </c>
    </row>
    <row r="754" spans="1:14" x14ac:dyDescent="0.3">
      <c r="A754" s="7" t="s">
        <v>837</v>
      </c>
      <c r="B754" s="7" t="s">
        <v>49</v>
      </c>
      <c r="C754" s="7">
        <v>11</v>
      </c>
      <c r="D754" s="10">
        <v>25.8</v>
      </c>
      <c r="E754" s="10">
        <v>283.8</v>
      </c>
      <c r="F754" s="9">
        <v>45690</v>
      </c>
      <c r="G754" s="9">
        <v>45693</v>
      </c>
      <c r="H754" s="7" t="s">
        <v>26</v>
      </c>
      <c r="I754" s="8" t="s">
        <v>45</v>
      </c>
      <c r="J754" s="7">
        <v>3</v>
      </c>
      <c r="K754" s="7" t="s">
        <v>38</v>
      </c>
      <c r="L754" s="7">
        <v>3</v>
      </c>
      <c r="M754" s="7">
        <v>6</v>
      </c>
      <c r="N754" s="7" t="s">
        <v>28</v>
      </c>
    </row>
    <row r="755" spans="1:14" x14ac:dyDescent="0.3">
      <c r="A755" s="3" t="s">
        <v>838</v>
      </c>
      <c r="B755" s="3" t="s">
        <v>129</v>
      </c>
      <c r="C755" s="3">
        <v>4</v>
      </c>
      <c r="D755" s="6">
        <v>36.4</v>
      </c>
      <c r="E755" s="6">
        <v>145.6</v>
      </c>
      <c r="F755" s="5">
        <v>45690</v>
      </c>
      <c r="G755" s="5">
        <v>45691</v>
      </c>
      <c r="H755" s="3" t="s">
        <v>26</v>
      </c>
      <c r="I755" s="4" t="s">
        <v>21</v>
      </c>
      <c r="J755" s="3">
        <v>4</v>
      </c>
      <c r="K755" s="3" t="s">
        <v>38</v>
      </c>
      <c r="L755" s="3">
        <v>1</v>
      </c>
      <c r="M755" s="3">
        <v>6</v>
      </c>
      <c r="N755" s="3" t="s">
        <v>28</v>
      </c>
    </row>
    <row r="756" spans="1:14" x14ac:dyDescent="0.3">
      <c r="A756" s="7" t="s">
        <v>839</v>
      </c>
      <c r="B756" s="7" t="s">
        <v>59</v>
      </c>
      <c r="C756" s="7">
        <v>1</v>
      </c>
      <c r="D756" s="10">
        <v>59.1</v>
      </c>
      <c r="E756" s="10">
        <v>59.1</v>
      </c>
      <c r="F756" s="9">
        <v>45690</v>
      </c>
      <c r="G756" s="9">
        <v>45691</v>
      </c>
      <c r="H756" s="7" t="s">
        <v>31</v>
      </c>
      <c r="I756" s="8" t="s">
        <v>45</v>
      </c>
      <c r="J756" s="7">
        <v>4</v>
      </c>
      <c r="K756" s="7" t="s">
        <v>64</v>
      </c>
      <c r="L756" s="7">
        <v>1</v>
      </c>
      <c r="M756" s="7">
        <v>6</v>
      </c>
      <c r="N756" s="7" t="s">
        <v>33</v>
      </c>
    </row>
    <row r="757" spans="1:14" x14ac:dyDescent="0.3">
      <c r="A757" s="3" t="s">
        <v>840</v>
      </c>
      <c r="B757" s="3" t="s">
        <v>30</v>
      </c>
      <c r="C757" s="3">
        <v>17</v>
      </c>
      <c r="D757" s="6">
        <v>74.5</v>
      </c>
      <c r="E757" s="6">
        <v>1266.5</v>
      </c>
      <c r="F757" s="5">
        <v>45690</v>
      </c>
      <c r="G757" s="5">
        <v>45692</v>
      </c>
      <c r="H757" s="3" t="s">
        <v>26</v>
      </c>
      <c r="I757" s="4" t="s">
        <v>75</v>
      </c>
      <c r="J757" s="3">
        <v>4</v>
      </c>
      <c r="K757" s="3" t="s">
        <v>114</v>
      </c>
      <c r="L757" s="3">
        <v>2</v>
      </c>
      <c r="M757" s="3">
        <v>6</v>
      </c>
      <c r="N757" s="3" t="s">
        <v>28</v>
      </c>
    </row>
    <row r="758" spans="1:14" x14ac:dyDescent="0.3">
      <c r="A758" s="7" t="s">
        <v>841</v>
      </c>
      <c r="B758" s="7" t="s">
        <v>42</v>
      </c>
      <c r="C758" s="7">
        <v>1</v>
      </c>
      <c r="D758" s="10">
        <v>72.8</v>
      </c>
      <c r="E758" s="10">
        <v>72.8</v>
      </c>
      <c r="F758" s="9">
        <v>45690</v>
      </c>
      <c r="G758" s="9">
        <v>45691</v>
      </c>
      <c r="H758" s="7" t="s">
        <v>31</v>
      </c>
      <c r="I758" s="8" t="s">
        <v>21</v>
      </c>
      <c r="J758" s="7">
        <v>3</v>
      </c>
      <c r="K758" s="7" t="s">
        <v>116</v>
      </c>
      <c r="L758" s="7">
        <v>1</v>
      </c>
      <c r="M758" s="7">
        <v>6</v>
      </c>
      <c r="N758" s="7" t="s">
        <v>33</v>
      </c>
    </row>
    <row r="759" spans="1:14" x14ac:dyDescent="0.3">
      <c r="A759" s="3" t="s">
        <v>842</v>
      </c>
      <c r="B759" s="3" t="s">
        <v>44</v>
      </c>
      <c r="C759" s="3">
        <v>4</v>
      </c>
      <c r="D759" s="6">
        <v>137.30000000000001</v>
      </c>
      <c r="E759" s="6">
        <v>549.20000000000005</v>
      </c>
      <c r="F759" s="5">
        <v>45690</v>
      </c>
      <c r="G759" s="5">
        <v>45693</v>
      </c>
      <c r="H759" s="3" t="s">
        <v>31</v>
      </c>
      <c r="I759" s="4" t="s">
        <v>21</v>
      </c>
      <c r="J759" s="3">
        <v>4</v>
      </c>
      <c r="K759" s="3" t="s">
        <v>87</v>
      </c>
      <c r="L759" s="3">
        <v>3</v>
      </c>
      <c r="M759" s="3">
        <v>6</v>
      </c>
      <c r="N759" s="3" t="s">
        <v>33</v>
      </c>
    </row>
    <row r="760" spans="1:14" x14ac:dyDescent="0.3">
      <c r="A760" s="7" t="s">
        <v>843</v>
      </c>
      <c r="B760" s="7" t="s">
        <v>25</v>
      </c>
      <c r="C760" s="7">
        <v>3</v>
      </c>
      <c r="D760" s="10">
        <v>48.7</v>
      </c>
      <c r="E760" s="10">
        <v>146.1</v>
      </c>
      <c r="F760" s="9">
        <v>45690</v>
      </c>
      <c r="G760" s="9">
        <v>45695</v>
      </c>
      <c r="H760" s="7" t="s">
        <v>31</v>
      </c>
      <c r="I760" s="8" t="s">
        <v>21</v>
      </c>
      <c r="J760" s="7">
        <v>3</v>
      </c>
      <c r="K760" s="7" t="s">
        <v>121</v>
      </c>
      <c r="L760" s="7">
        <v>5</v>
      </c>
      <c r="M760" s="7">
        <v>6</v>
      </c>
      <c r="N760" s="7" t="s">
        <v>33</v>
      </c>
    </row>
    <row r="761" spans="1:14" x14ac:dyDescent="0.3">
      <c r="A761" s="3" t="s">
        <v>844</v>
      </c>
      <c r="B761" s="3" t="s">
        <v>44</v>
      </c>
      <c r="C761" s="3">
        <v>4</v>
      </c>
      <c r="D761" s="6">
        <v>53.7</v>
      </c>
      <c r="E761" s="6">
        <v>214.8</v>
      </c>
      <c r="F761" s="5">
        <v>45690</v>
      </c>
      <c r="G761" s="5">
        <v>45694</v>
      </c>
      <c r="H761" s="3" t="s">
        <v>26</v>
      </c>
      <c r="I761" s="4" t="s">
        <v>40</v>
      </c>
      <c r="J761" s="3">
        <v>2</v>
      </c>
      <c r="K761" s="3" t="s">
        <v>32</v>
      </c>
      <c r="L761" s="3">
        <v>4</v>
      </c>
      <c r="M761" s="3">
        <v>6</v>
      </c>
      <c r="N761" s="3" t="s">
        <v>28</v>
      </c>
    </row>
    <row r="762" spans="1:14" x14ac:dyDescent="0.3">
      <c r="A762" s="7" t="s">
        <v>845</v>
      </c>
      <c r="B762" s="7" t="s">
        <v>30</v>
      </c>
      <c r="C762" s="7">
        <v>7</v>
      </c>
      <c r="D762" s="10">
        <v>100.9</v>
      </c>
      <c r="E762" s="10">
        <v>706.30000000000007</v>
      </c>
      <c r="F762" s="9">
        <v>45690</v>
      </c>
      <c r="G762" s="9">
        <v>45692</v>
      </c>
      <c r="H762" s="7" t="s">
        <v>31</v>
      </c>
      <c r="I762" s="8" t="s">
        <v>21</v>
      </c>
      <c r="J762" s="7">
        <v>3</v>
      </c>
      <c r="K762" s="7" t="s">
        <v>32</v>
      </c>
      <c r="L762" s="7">
        <v>2</v>
      </c>
      <c r="M762" s="7">
        <v>6</v>
      </c>
      <c r="N762" s="7" t="s">
        <v>33</v>
      </c>
    </row>
    <row r="763" spans="1:14" x14ac:dyDescent="0.3">
      <c r="A763" s="3" t="s">
        <v>846</v>
      </c>
      <c r="B763" s="3" t="s">
        <v>59</v>
      </c>
      <c r="C763" s="3">
        <v>2</v>
      </c>
      <c r="D763" s="6">
        <v>41.8</v>
      </c>
      <c r="E763" s="6">
        <v>83.6</v>
      </c>
      <c r="F763" s="5">
        <v>45690</v>
      </c>
      <c r="G763" s="5">
        <v>45694</v>
      </c>
      <c r="H763" s="3" t="s">
        <v>26</v>
      </c>
      <c r="I763" s="4" t="s">
        <v>56</v>
      </c>
      <c r="J763" s="3">
        <v>5</v>
      </c>
      <c r="K763" s="3" t="s">
        <v>153</v>
      </c>
      <c r="L763" s="3">
        <v>4</v>
      </c>
      <c r="M763" s="3">
        <v>6</v>
      </c>
      <c r="N763" s="3" t="s">
        <v>28</v>
      </c>
    </row>
    <row r="764" spans="1:14" x14ac:dyDescent="0.3">
      <c r="A764" s="7" t="s">
        <v>847</v>
      </c>
      <c r="B764" s="7" t="s">
        <v>37</v>
      </c>
      <c r="C764" s="7">
        <v>8</v>
      </c>
      <c r="D764" s="10">
        <v>28.5</v>
      </c>
      <c r="E764" s="10">
        <v>228</v>
      </c>
      <c r="F764" s="9">
        <v>45690</v>
      </c>
      <c r="G764" s="9">
        <v>45692</v>
      </c>
      <c r="H764" s="7" t="s">
        <v>26</v>
      </c>
      <c r="I764" s="8" t="s">
        <v>45</v>
      </c>
      <c r="J764" s="7">
        <v>3</v>
      </c>
      <c r="K764" s="7" t="s">
        <v>38</v>
      </c>
      <c r="L764" s="7">
        <v>2</v>
      </c>
      <c r="M764" s="7">
        <v>6</v>
      </c>
      <c r="N764" s="7" t="s">
        <v>28</v>
      </c>
    </row>
    <row r="765" spans="1:14" x14ac:dyDescent="0.3">
      <c r="A765" s="3" t="s">
        <v>848</v>
      </c>
      <c r="B765" s="3" t="s">
        <v>47</v>
      </c>
      <c r="C765" s="3">
        <v>4</v>
      </c>
      <c r="D765" s="6">
        <v>88.9</v>
      </c>
      <c r="E765" s="6">
        <v>355.6</v>
      </c>
      <c r="F765" s="5">
        <v>45690</v>
      </c>
      <c r="G765" s="5">
        <v>45693</v>
      </c>
      <c r="H765" s="3" t="s">
        <v>31</v>
      </c>
      <c r="I765" s="4" t="s">
        <v>21</v>
      </c>
      <c r="J765" s="3">
        <v>5</v>
      </c>
      <c r="K765" s="3" t="s">
        <v>38</v>
      </c>
      <c r="L765" s="3">
        <v>3</v>
      </c>
      <c r="M765" s="3">
        <v>6</v>
      </c>
      <c r="N765" s="3" t="s">
        <v>33</v>
      </c>
    </row>
    <row r="766" spans="1:14" x14ac:dyDescent="0.3">
      <c r="A766" s="7" t="s">
        <v>849</v>
      </c>
      <c r="B766" s="7" t="s">
        <v>44</v>
      </c>
      <c r="C766" s="7">
        <v>1</v>
      </c>
      <c r="D766" s="10">
        <v>62.5</v>
      </c>
      <c r="E766" s="10">
        <v>62.5</v>
      </c>
      <c r="F766" s="9">
        <v>45690</v>
      </c>
      <c r="G766" s="9">
        <v>45699</v>
      </c>
      <c r="H766" s="7" t="s">
        <v>31</v>
      </c>
      <c r="I766" s="8" t="s">
        <v>21</v>
      </c>
      <c r="J766" s="7">
        <v>5</v>
      </c>
      <c r="K766" s="7" t="s">
        <v>38</v>
      </c>
      <c r="L766" s="7">
        <v>9</v>
      </c>
      <c r="M766" s="7">
        <v>6</v>
      </c>
      <c r="N766" s="7" t="s">
        <v>33</v>
      </c>
    </row>
    <row r="767" spans="1:14" x14ac:dyDescent="0.3">
      <c r="A767" s="3" t="s">
        <v>850</v>
      </c>
      <c r="B767" s="3" t="s">
        <v>25</v>
      </c>
      <c r="C767" s="3">
        <v>3</v>
      </c>
      <c r="D767" s="6">
        <v>46.9</v>
      </c>
      <c r="E767" s="6">
        <v>140.69999999999999</v>
      </c>
      <c r="F767" s="5">
        <v>45690</v>
      </c>
      <c r="G767" s="5">
        <v>45691</v>
      </c>
      <c r="H767" s="3" t="s">
        <v>26</v>
      </c>
      <c r="I767" s="4" t="s">
        <v>21</v>
      </c>
      <c r="J767" s="3">
        <v>5</v>
      </c>
      <c r="K767" s="3" t="s">
        <v>38</v>
      </c>
      <c r="L767" s="3">
        <v>1</v>
      </c>
      <c r="M767" s="3">
        <v>6</v>
      </c>
      <c r="N767" s="3" t="s">
        <v>28</v>
      </c>
    </row>
    <row r="768" spans="1:14" x14ac:dyDescent="0.3">
      <c r="A768" s="7" t="s">
        <v>851</v>
      </c>
      <c r="B768" s="7" t="s">
        <v>49</v>
      </c>
      <c r="C768" s="7">
        <v>3</v>
      </c>
      <c r="D768" s="10">
        <v>45</v>
      </c>
      <c r="E768" s="10">
        <v>135</v>
      </c>
      <c r="F768" s="9">
        <v>45690</v>
      </c>
      <c r="G768" s="9">
        <v>45704</v>
      </c>
      <c r="H768" s="7" t="s">
        <v>26</v>
      </c>
      <c r="I768" s="8" t="s">
        <v>40</v>
      </c>
      <c r="J768" s="7">
        <v>4</v>
      </c>
      <c r="K768" s="7" t="s">
        <v>38</v>
      </c>
      <c r="L768" s="7">
        <v>14</v>
      </c>
      <c r="M768" s="7">
        <v>6</v>
      </c>
      <c r="N768" s="7" t="s">
        <v>28</v>
      </c>
    </row>
    <row r="769" spans="1:14" x14ac:dyDescent="0.3">
      <c r="A769" s="3" t="s">
        <v>852</v>
      </c>
      <c r="B769" s="3" t="s">
        <v>44</v>
      </c>
      <c r="C769" s="3">
        <v>3</v>
      </c>
      <c r="D769" s="6">
        <v>45.2</v>
      </c>
      <c r="E769" s="6">
        <v>135.6</v>
      </c>
      <c r="F769" s="5">
        <v>45690</v>
      </c>
      <c r="G769" s="5">
        <v>45692</v>
      </c>
      <c r="H769" s="3" t="s">
        <v>26</v>
      </c>
      <c r="I769" s="4" t="s">
        <v>75</v>
      </c>
      <c r="J769" s="3">
        <v>5</v>
      </c>
      <c r="K769" s="3" t="s">
        <v>38</v>
      </c>
      <c r="L769" s="3">
        <v>2</v>
      </c>
      <c r="M769" s="3">
        <v>6</v>
      </c>
      <c r="N769" s="3" t="s">
        <v>28</v>
      </c>
    </row>
    <row r="770" spans="1:14" x14ac:dyDescent="0.3">
      <c r="A770" s="7" t="s">
        <v>853</v>
      </c>
      <c r="B770" s="7" t="s">
        <v>37</v>
      </c>
      <c r="C770" s="7">
        <v>2</v>
      </c>
      <c r="D770" s="10">
        <v>60.1</v>
      </c>
      <c r="E770" s="10">
        <v>120.2</v>
      </c>
      <c r="F770" s="9">
        <v>45690</v>
      </c>
      <c r="G770" s="9">
        <v>45691</v>
      </c>
      <c r="H770" s="7" t="s">
        <v>31</v>
      </c>
      <c r="I770" s="8" t="s">
        <v>21</v>
      </c>
      <c r="J770" s="7">
        <v>5</v>
      </c>
      <c r="K770" s="7" t="s">
        <v>38</v>
      </c>
      <c r="L770" s="7">
        <v>1</v>
      </c>
      <c r="M770" s="7">
        <v>6</v>
      </c>
      <c r="N770" s="7" t="s">
        <v>33</v>
      </c>
    </row>
    <row r="771" spans="1:14" x14ac:dyDescent="0.3">
      <c r="A771" s="3" t="s">
        <v>854</v>
      </c>
      <c r="B771" s="3" t="s">
        <v>74</v>
      </c>
      <c r="C771" s="3">
        <v>4</v>
      </c>
      <c r="D771" s="6">
        <v>118.7</v>
      </c>
      <c r="E771" s="6">
        <v>474.8</v>
      </c>
      <c r="F771" s="5">
        <v>45690</v>
      </c>
      <c r="G771" s="5">
        <v>45692</v>
      </c>
      <c r="H771" s="3" t="s">
        <v>31</v>
      </c>
      <c r="I771" s="4" t="s">
        <v>21</v>
      </c>
      <c r="J771" s="3">
        <v>4</v>
      </c>
      <c r="K771" s="3" t="s">
        <v>38</v>
      </c>
      <c r="L771" s="3">
        <v>2</v>
      </c>
      <c r="M771" s="3">
        <v>6</v>
      </c>
      <c r="N771" s="3" t="s">
        <v>33</v>
      </c>
    </row>
    <row r="772" spans="1:14" x14ac:dyDescent="0.3">
      <c r="A772" s="7" t="s">
        <v>855</v>
      </c>
      <c r="B772" s="7" t="s">
        <v>51</v>
      </c>
      <c r="C772" s="7">
        <v>1</v>
      </c>
      <c r="D772" s="10">
        <v>57.8</v>
      </c>
      <c r="E772" s="10">
        <v>57.8</v>
      </c>
      <c r="F772" s="9">
        <v>45690</v>
      </c>
      <c r="G772" s="9">
        <v>45699</v>
      </c>
      <c r="H772" s="7" t="s">
        <v>31</v>
      </c>
      <c r="I772" s="8" t="s">
        <v>40</v>
      </c>
      <c r="J772" s="7">
        <v>4</v>
      </c>
      <c r="K772" s="7" t="s">
        <v>38</v>
      </c>
      <c r="L772" s="7">
        <v>9</v>
      </c>
      <c r="M772" s="7">
        <v>6</v>
      </c>
      <c r="N772" s="7" t="s">
        <v>33</v>
      </c>
    </row>
    <row r="773" spans="1:14" x14ac:dyDescent="0.3">
      <c r="A773" s="3" t="s">
        <v>856</v>
      </c>
      <c r="B773" s="3" t="s">
        <v>37</v>
      </c>
      <c r="C773" s="3">
        <v>1</v>
      </c>
      <c r="D773" s="6">
        <v>19.5</v>
      </c>
      <c r="E773" s="6">
        <v>19.5</v>
      </c>
      <c r="F773" s="5">
        <v>45690</v>
      </c>
      <c r="G773" s="5">
        <v>45691</v>
      </c>
      <c r="H773" s="3" t="s">
        <v>26</v>
      </c>
      <c r="I773" s="4" t="s">
        <v>40</v>
      </c>
      <c r="J773" s="3">
        <v>3</v>
      </c>
      <c r="K773" s="3" t="s">
        <v>38</v>
      </c>
      <c r="L773" s="3">
        <v>1</v>
      </c>
      <c r="M773" s="3">
        <v>6</v>
      </c>
      <c r="N773" s="3" t="s">
        <v>28</v>
      </c>
    </row>
    <row r="774" spans="1:14" x14ac:dyDescent="0.3">
      <c r="A774" s="7" t="s">
        <v>857</v>
      </c>
      <c r="B774" s="7" t="s">
        <v>74</v>
      </c>
      <c r="C774" s="7">
        <v>1</v>
      </c>
      <c r="D774" s="10">
        <v>42.6</v>
      </c>
      <c r="E774" s="10">
        <v>42.6</v>
      </c>
      <c r="F774" s="9">
        <v>45690</v>
      </c>
      <c r="G774" s="9">
        <v>45691</v>
      </c>
      <c r="H774" s="7" t="s">
        <v>26</v>
      </c>
      <c r="I774" s="8" t="s">
        <v>21</v>
      </c>
      <c r="J774" s="7">
        <v>3</v>
      </c>
      <c r="K774" s="7" t="s">
        <v>38</v>
      </c>
      <c r="L774" s="7">
        <v>1</v>
      </c>
      <c r="M774" s="7">
        <v>6</v>
      </c>
      <c r="N774" s="7" t="s">
        <v>28</v>
      </c>
    </row>
    <row r="775" spans="1:14" x14ac:dyDescent="0.3">
      <c r="A775" s="3" t="s">
        <v>858</v>
      </c>
      <c r="B775" s="3" t="s">
        <v>44</v>
      </c>
      <c r="C775" s="3">
        <v>2</v>
      </c>
      <c r="D775" s="6">
        <v>74.8</v>
      </c>
      <c r="E775" s="6">
        <v>149.6</v>
      </c>
      <c r="F775" s="5">
        <v>45690</v>
      </c>
      <c r="G775" s="5">
        <v>45691</v>
      </c>
      <c r="H775" s="3" t="s">
        <v>31</v>
      </c>
      <c r="I775" s="4" t="s">
        <v>56</v>
      </c>
      <c r="J775" s="3">
        <v>5</v>
      </c>
      <c r="K775" s="3" t="s">
        <v>79</v>
      </c>
      <c r="L775" s="3">
        <v>1</v>
      </c>
      <c r="M775" s="3">
        <v>6</v>
      </c>
      <c r="N775" s="3" t="s">
        <v>33</v>
      </c>
    </row>
    <row r="776" spans="1:14" x14ac:dyDescent="0.3">
      <c r="A776" s="7" t="s">
        <v>859</v>
      </c>
      <c r="B776" s="7" t="s">
        <v>49</v>
      </c>
      <c r="C776" s="7">
        <v>3</v>
      </c>
      <c r="D776" s="10">
        <v>32.5</v>
      </c>
      <c r="E776" s="10">
        <v>97.5</v>
      </c>
      <c r="F776" s="9">
        <v>45690</v>
      </c>
      <c r="G776" s="9">
        <v>45691</v>
      </c>
      <c r="H776" s="7" t="s">
        <v>26</v>
      </c>
      <c r="I776" s="8" t="s">
        <v>45</v>
      </c>
      <c r="J776" s="7">
        <v>2</v>
      </c>
      <c r="K776" s="7" t="s">
        <v>104</v>
      </c>
      <c r="L776" s="7">
        <v>1</v>
      </c>
      <c r="M776" s="7">
        <v>6</v>
      </c>
      <c r="N776" s="7" t="s">
        <v>28</v>
      </c>
    </row>
    <row r="777" spans="1:14" x14ac:dyDescent="0.3">
      <c r="A777" s="3" t="s">
        <v>860</v>
      </c>
      <c r="B777" s="3" t="s">
        <v>30</v>
      </c>
      <c r="C777" s="3">
        <v>3</v>
      </c>
      <c r="D777" s="6">
        <v>60.5</v>
      </c>
      <c r="E777" s="6">
        <v>181.5</v>
      </c>
      <c r="F777" s="5">
        <v>45690</v>
      </c>
      <c r="G777" s="5">
        <v>45690</v>
      </c>
      <c r="H777" s="3" t="s">
        <v>31</v>
      </c>
      <c r="I777" s="4" t="s">
        <v>40</v>
      </c>
      <c r="J777" s="3">
        <v>5</v>
      </c>
      <c r="K777" s="3" t="s">
        <v>194</v>
      </c>
      <c r="L777" s="3">
        <v>0</v>
      </c>
      <c r="M777" s="3">
        <v>6</v>
      </c>
      <c r="N777" s="3" t="s">
        <v>33</v>
      </c>
    </row>
    <row r="778" spans="1:14" x14ac:dyDescent="0.3">
      <c r="A778" s="7" t="s">
        <v>861</v>
      </c>
      <c r="B778" s="7" t="s">
        <v>25</v>
      </c>
      <c r="C778" s="7">
        <v>7</v>
      </c>
      <c r="D778" s="10">
        <v>57.2</v>
      </c>
      <c r="E778" s="10">
        <v>400.4</v>
      </c>
      <c r="F778" s="9">
        <v>45690</v>
      </c>
      <c r="G778" s="9">
        <v>45692</v>
      </c>
      <c r="H778" s="7"/>
      <c r="I778" s="8" t="s">
        <v>45</v>
      </c>
      <c r="J778" s="7">
        <v>4</v>
      </c>
      <c r="K778" s="7" t="s">
        <v>194</v>
      </c>
      <c r="L778" s="7">
        <v>2</v>
      </c>
      <c r="M778" s="7">
        <v>6</v>
      </c>
      <c r="N778" s="7" t="s">
        <v>23</v>
      </c>
    </row>
    <row r="779" spans="1:14" x14ac:dyDescent="0.3">
      <c r="A779" s="3" t="s">
        <v>862</v>
      </c>
      <c r="B779" s="3" t="s">
        <v>134</v>
      </c>
      <c r="C779" s="3">
        <v>2</v>
      </c>
      <c r="D779" s="6">
        <v>112</v>
      </c>
      <c r="E779" s="6">
        <v>224</v>
      </c>
      <c r="F779" s="5">
        <v>45690</v>
      </c>
      <c r="G779" s="5">
        <v>45691</v>
      </c>
      <c r="H779" s="3" t="s">
        <v>31</v>
      </c>
      <c r="I779" s="4" t="s">
        <v>40</v>
      </c>
      <c r="J779" s="3">
        <v>3</v>
      </c>
      <c r="K779" s="3" t="s">
        <v>57</v>
      </c>
      <c r="L779" s="3">
        <v>1</v>
      </c>
      <c r="M779" s="3">
        <v>6</v>
      </c>
      <c r="N779" s="3" t="s">
        <v>33</v>
      </c>
    </row>
    <row r="780" spans="1:14" x14ac:dyDescent="0.3">
      <c r="A780" s="7" t="s">
        <v>863</v>
      </c>
      <c r="B780" s="7" t="s">
        <v>47</v>
      </c>
      <c r="C780" s="7">
        <v>10</v>
      </c>
      <c r="D780" s="10">
        <v>49</v>
      </c>
      <c r="E780" s="10">
        <v>490</v>
      </c>
      <c r="F780" s="9">
        <v>45690</v>
      </c>
      <c r="G780" s="9">
        <v>45691</v>
      </c>
      <c r="H780" s="7" t="s">
        <v>94</v>
      </c>
      <c r="I780" s="8" t="s">
        <v>45</v>
      </c>
      <c r="J780" s="7">
        <v>3</v>
      </c>
      <c r="K780" s="7" t="s">
        <v>60</v>
      </c>
      <c r="L780" s="7">
        <v>1</v>
      </c>
      <c r="M780" s="7">
        <v>6</v>
      </c>
      <c r="N780" s="7" t="s">
        <v>95</v>
      </c>
    </row>
    <row r="781" spans="1:14" x14ac:dyDescent="0.3">
      <c r="A781" s="3" t="s">
        <v>864</v>
      </c>
      <c r="B781" s="3" t="s">
        <v>20</v>
      </c>
      <c r="C781" s="3">
        <v>2</v>
      </c>
      <c r="D781" s="6">
        <v>33.700000000000003</v>
      </c>
      <c r="E781" s="6">
        <v>67.400000000000006</v>
      </c>
      <c r="F781" s="5">
        <v>45690</v>
      </c>
      <c r="G781" s="5">
        <v>45694</v>
      </c>
      <c r="H781" s="3" t="s">
        <v>31</v>
      </c>
      <c r="I781" s="4" t="s">
        <v>56</v>
      </c>
      <c r="J781" s="3">
        <v>4</v>
      </c>
      <c r="K781" s="3" t="s">
        <v>60</v>
      </c>
      <c r="L781" s="3">
        <v>4</v>
      </c>
      <c r="M781" s="3">
        <v>6</v>
      </c>
      <c r="N781" s="3" t="s">
        <v>33</v>
      </c>
    </row>
    <row r="782" spans="1:14" x14ac:dyDescent="0.3">
      <c r="A782" s="7" t="s">
        <v>865</v>
      </c>
      <c r="B782" s="7" t="s">
        <v>37</v>
      </c>
      <c r="C782" s="7">
        <v>3</v>
      </c>
      <c r="D782" s="10">
        <v>35.6</v>
      </c>
      <c r="E782" s="10">
        <v>106.8</v>
      </c>
      <c r="F782" s="9">
        <v>45690</v>
      </c>
      <c r="G782" s="9">
        <v>45693</v>
      </c>
      <c r="H782" s="7" t="s">
        <v>31</v>
      </c>
      <c r="I782" s="8" t="s">
        <v>21</v>
      </c>
      <c r="J782" s="7">
        <v>5</v>
      </c>
      <c r="K782" s="7" t="s">
        <v>60</v>
      </c>
      <c r="L782" s="7">
        <v>3</v>
      </c>
      <c r="M782" s="7">
        <v>6</v>
      </c>
      <c r="N782" s="7" t="s">
        <v>33</v>
      </c>
    </row>
    <row r="783" spans="1:14" x14ac:dyDescent="0.3">
      <c r="A783" s="3" t="s">
        <v>866</v>
      </c>
      <c r="B783" s="3" t="s">
        <v>37</v>
      </c>
      <c r="C783" s="3">
        <v>35</v>
      </c>
      <c r="D783" s="6">
        <v>30.4</v>
      </c>
      <c r="E783" s="6">
        <v>1064</v>
      </c>
      <c r="F783" s="5">
        <v>45691</v>
      </c>
      <c r="G783" s="5">
        <v>45691</v>
      </c>
      <c r="H783" s="3" t="s">
        <v>31</v>
      </c>
      <c r="I783" s="4" t="s">
        <v>21</v>
      </c>
      <c r="J783" s="3">
        <v>3</v>
      </c>
      <c r="K783" s="3" t="s">
        <v>64</v>
      </c>
      <c r="L783" s="3">
        <v>0</v>
      </c>
      <c r="M783" s="3">
        <v>6</v>
      </c>
      <c r="N783" s="3" t="s">
        <v>33</v>
      </c>
    </row>
    <row r="784" spans="1:14" x14ac:dyDescent="0.3">
      <c r="A784" s="7" t="s">
        <v>867</v>
      </c>
      <c r="B784" s="7" t="s">
        <v>59</v>
      </c>
      <c r="C784" s="7">
        <v>12</v>
      </c>
      <c r="D784" s="10">
        <v>50.2</v>
      </c>
      <c r="E784" s="10">
        <v>602.40000000000009</v>
      </c>
      <c r="F784" s="9">
        <v>45691</v>
      </c>
      <c r="G784" s="9">
        <v>45692</v>
      </c>
      <c r="H784" s="7" t="s">
        <v>26</v>
      </c>
      <c r="I784" s="8" t="s">
        <v>75</v>
      </c>
      <c r="J784" s="7">
        <v>4</v>
      </c>
      <c r="K784" s="7" t="s">
        <v>67</v>
      </c>
      <c r="L784" s="7">
        <v>1</v>
      </c>
      <c r="M784" s="7">
        <v>6</v>
      </c>
      <c r="N784" s="7" t="s">
        <v>28</v>
      </c>
    </row>
    <row r="785" spans="1:14" x14ac:dyDescent="0.3">
      <c r="A785" s="3" t="s">
        <v>868</v>
      </c>
      <c r="B785" s="3" t="s">
        <v>25</v>
      </c>
      <c r="C785" s="3">
        <v>2</v>
      </c>
      <c r="D785" s="6">
        <v>43.7</v>
      </c>
      <c r="E785" s="6">
        <v>87.4</v>
      </c>
      <c r="F785" s="5">
        <v>45691</v>
      </c>
      <c r="G785" s="5">
        <v>45693</v>
      </c>
      <c r="H785" s="3" t="s">
        <v>31</v>
      </c>
      <c r="I785" s="4" t="s">
        <v>21</v>
      </c>
      <c r="J785" s="3">
        <v>4</v>
      </c>
      <c r="K785" s="3" t="s">
        <v>67</v>
      </c>
      <c r="L785" s="3">
        <v>2</v>
      </c>
      <c r="M785" s="3">
        <v>6</v>
      </c>
      <c r="N785" s="3" t="s">
        <v>33</v>
      </c>
    </row>
    <row r="786" spans="1:14" x14ac:dyDescent="0.3">
      <c r="A786" s="7" t="s">
        <v>869</v>
      </c>
      <c r="B786" s="7" t="s">
        <v>59</v>
      </c>
      <c r="C786" s="7">
        <v>1</v>
      </c>
      <c r="D786" s="10">
        <v>33.299999999999997</v>
      </c>
      <c r="E786" s="10">
        <v>33.299999999999997</v>
      </c>
      <c r="F786" s="9">
        <v>45691</v>
      </c>
      <c r="G786" s="9">
        <v>45692</v>
      </c>
      <c r="H786" s="7" t="s">
        <v>31</v>
      </c>
      <c r="I786" s="8" t="s">
        <v>45</v>
      </c>
      <c r="J786" s="7">
        <v>3</v>
      </c>
      <c r="K786" s="7" t="s">
        <v>67</v>
      </c>
      <c r="L786" s="7">
        <v>1</v>
      </c>
      <c r="M786" s="7">
        <v>6</v>
      </c>
      <c r="N786" s="7" t="s">
        <v>33</v>
      </c>
    </row>
    <row r="787" spans="1:14" x14ac:dyDescent="0.3">
      <c r="A787" s="3" t="s">
        <v>870</v>
      </c>
      <c r="B787" s="3" t="s">
        <v>49</v>
      </c>
      <c r="C787" s="3">
        <v>4</v>
      </c>
      <c r="D787" s="6">
        <v>15.1</v>
      </c>
      <c r="E787" s="6">
        <v>60.4</v>
      </c>
      <c r="F787" s="5">
        <v>45691</v>
      </c>
      <c r="G787" s="5">
        <v>45693</v>
      </c>
      <c r="H787" s="3" t="s">
        <v>31</v>
      </c>
      <c r="I787" s="4" t="s">
        <v>75</v>
      </c>
      <c r="J787" s="3">
        <v>5</v>
      </c>
      <c r="K787" s="3" t="s">
        <v>67</v>
      </c>
      <c r="L787" s="3">
        <v>2</v>
      </c>
      <c r="M787" s="3">
        <v>6</v>
      </c>
      <c r="N787" s="3" t="s">
        <v>33</v>
      </c>
    </row>
    <row r="788" spans="1:14" x14ac:dyDescent="0.3">
      <c r="A788" s="7" t="s">
        <v>871</v>
      </c>
      <c r="B788" s="7" t="s">
        <v>44</v>
      </c>
      <c r="C788" s="7">
        <v>5</v>
      </c>
      <c r="D788" s="10">
        <v>118.2</v>
      </c>
      <c r="E788" s="10">
        <v>591</v>
      </c>
      <c r="F788" s="9">
        <v>45691</v>
      </c>
      <c r="G788" s="9">
        <v>45692</v>
      </c>
      <c r="H788" s="7" t="s">
        <v>31</v>
      </c>
      <c r="I788" s="8" t="s">
        <v>56</v>
      </c>
      <c r="J788" s="7">
        <v>2</v>
      </c>
      <c r="K788" s="7" t="s">
        <v>67</v>
      </c>
      <c r="L788" s="7">
        <v>1</v>
      </c>
      <c r="M788" s="7">
        <v>6</v>
      </c>
      <c r="N788" s="7" t="s">
        <v>33</v>
      </c>
    </row>
    <row r="789" spans="1:14" x14ac:dyDescent="0.3">
      <c r="A789" s="3" t="s">
        <v>872</v>
      </c>
      <c r="B789" s="3" t="s">
        <v>59</v>
      </c>
      <c r="C789" s="3">
        <v>3</v>
      </c>
      <c r="D789" s="6">
        <v>28.9</v>
      </c>
      <c r="E789" s="6">
        <v>86.699999999999989</v>
      </c>
      <c r="F789" s="5">
        <v>45691</v>
      </c>
      <c r="G789" s="5">
        <v>45693</v>
      </c>
      <c r="H789" s="3" t="s">
        <v>31</v>
      </c>
      <c r="I789" s="4" t="s">
        <v>45</v>
      </c>
      <c r="J789" s="3">
        <v>3</v>
      </c>
      <c r="K789" s="3" t="s">
        <v>67</v>
      </c>
      <c r="L789" s="3">
        <v>2</v>
      </c>
      <c r="M789" s="3">
        <v>6</v>
      </c>
      <c r="N789" s="3" t="s">
        <v>33</v>
      </c>
    </row>
    <row r="790" spans="1:14" x14ac:dyDescent="0.3">
      <c r="A790" s="7" t="s">
        <v>873</v>
      </c>
      <c r="B790" s="7" t="s">
        <v>37</v>
      </c>
      <c r="C790" s="7">
        <v>3</v>
      </c>
      <c r="D790" s="10">
        <v>55.6</v>
      </c>
      <c r="E790" s="10">
        <v>166.8</v>
      </c>
      <c r="F790" s="9">
        <v>45691</v>
      </c>
      <c r="G790" s="9">
        <v>45692</v>
      </c>
      <c r="H790" s="7" t="s">
        <v>26</v>
      </c>
      <c r="I790" s="8" t="s">
        <v>21</v>
      </c>
      <c r="J790" s="7">
        <v>3</v>
      </c>
      <c r="K790" s="7" t="s">
        <v>67</v>
      </c>
      <c r="L790" s="7">
        <v>1</v>
      </c>
      <c r="M790" s="7">
        <v>6</v>
      </c>
      <c r="N790" s="7" t="s">
        <v>28</v>
      </c>
    </row>
    <row r="791" spans="1:14" x14ac:dyDescent="0.3">
      <c r="A791" s="3" t="s">
        <v>874</v>
      </c>
      <c r="B791" s="3" t="s">
        <v>51</v>
      </c>
      <c r="C791" s="3">
        <v>4</v>
      </c>
      <c r="D791" s="6">
        <v>25.6</v>
      </c>
      <c r="E791" s="6">
        <v>102.4</v>
      </c>
      <c r="F791" s="5">
        <v>45691</v>
      </c>
      <c r="G791" s="5">
        <v>45693</v>
      </c>
      <c r="H791" s="3" t="s">
        <v>31</v>
      </c>
      <c r="I791" s="4" t="s">
        <v>21</v>
      </c>
      <c r="J791" s="3">
        <v>3</v>
      </c>
      <c r="K791" s="3" t="s">
        <v>67</v>
      </c>
      <c r="L791" s="3">
        <v>2</v>
      </c>
      <c r="M791" s="3">
        <v>6</v>
      </c>
      <c r="N791" s="3" t="s">
        <v>33</v>
      </c>
    </row>
    <row r="792" spans="1:14" x14ac:dyDescent="0.3">
      <c r="A792" s="7" t="s">
        <v>875</v>
      </c>
      <c r="B792" s="7" t="s">
        <v>47</v>
      </c>
      <c r="C792" s="7">
        <v>3</v>
      </c>
      <c r="D792" s="10">
        <v>31.3</v>
      </c>
      <c r="E792" s="10">
        <v>93.9</v>
      </c>
      <c r="F792" s="9">
        <v>45691</v>
      </c>
      <c r="G792" s="9">
        <v>45692</v>
      </c>
      <c r="H792" s="7" t="s">
        <v>26</v>
      </c>
      <c r="I792" s="8" t="s">
        <v>21</v>
      </c>
      <c r="J792" s="7">
        <v>4</v>
      </c>
      <c r="K792" s="7" t="s">
        <v>109</v>
      </c>
      <c r="L792" s="7">
        <v>1</v>
      </c>
      <c r="M792" s="7">
        <v>6</v>
      </c>
      <c r="N792" s="7" t="s">
        <v>28</v>
      </c>
    </row>
    <row r="793" spans="1:14" x14ac:dyDescent="0.3">
      <c r="A793" s="3" t="s">
        <v>876</v>
      </c>
      <c r="B793" s="3" t="s">
        <v>20</v>
      </c>
      <c r="C793" s="3">
        <v>3</v>
      </c>
      <c r="D793" s="6">
        <v>22.1</v>
      </c>
      <c r="E793" s="6">
        <v>66.300000000000011</v>
      </c>
      <c r="F793" s="5">
        <v>45691</v>
      </c>
      <c r="G793" s="5">
        <v>45695</v>
      </c>
      <c r="H793" s="3" t="s">
        <v>26</v>
      </c>
      <c r="I793" s="4" t="s">
        <v>21</v>
      </c>
      <c r="J793" s="3">
        <v>4</v>
      </c>
      <c r="K793" s="3" t="s">
        <v>109</v>
      </c>
      <c r="L793" s="3">
        <v>4</v>
      </c>
      <c r="M793" s="3">
        <v>6</v>
      </c>
      <c r="N793" s="3" t="s">
        <v>28</v>
      </c>
    </row>
    <row r="794" spans="1:14" x14ac:dyDescent="0.3">
      <c r="A794" s="7" t="s">
        <v>877</v>
      </c>
      <c r="B794" s="7" t="s">
        <v>30</v>
      </c>
      <c r="C794" s="7">
        <v>14</v>
      </c>
      <c r="D794" s="10">
        <v>99.4</v>
      </c>
      <c r="E794" s="10">
        <v>1391.6</v>
      </c>
      <c r="F794" s="9">
        <v>45691</v>
      </c>
      <c r="G794" s="9">
        <v>45692</v>
      </c>
      <c r="H794" s="7" t="s">
        <v>26</v>
      </c>
      <c r="I794" s="8" t="s">
        <v>40</v>
      </c>
      <c r="J794" s="7">
        <v>4</v>
      </c>
      <c r="K794" s="7" t="s">
        <v>82</v>
      </c>
      <c r="L794" s="7">
        <v>1</v>
      </c>
      <c r="M794" s="7">
        <v>6</v>
      </c>
      <c r="N794" s="7" t="s">
        <v>28</v>
      </c>
    </row>
    <row r="795" spans="1:14" x14ac:dyDescent="0.3">
      <c r="A795" s="3" t="s">
        <v>878</v>
      </c>
      <c r="B795" s="3" t="s">
        <v>47</v>
      </c>
      <c r="C795" s="3">
        <v>6</v>
      </c>
      <c r="D795" s="6">
        <v>66.599999999999994</v>
      </c>
      <c r="E795" s="6">
        <v>399.6</v>
      </c>
      <c r="F795" s="5">
        <v>45691</v>
      </c>
      <c r="G795" s="5">
        <v>45692</v>
      </c>
      <c r="H795" s="3" t="s">
        <v>31</v>
      </c>
      <c r="I795" s="4" t="s">
        <v>21</v>
      </c>
      <c r="J795" s="3">
        <v>4</v>
      </c>
      <c r="K795" s="3" t="s">
        <v>82</v>
      </c>
      <c r="L795" s="3">
        <v>1</v>
      </c>
      <c r="M795" s="3">
        <v>6</v>
      </c>
      <c r="N795" s="3" t="s">
        <v>33</v>
      </c>
    </row>
    <row r="796" spans="1:14" x14ac:dyDescent="0.3">
      <c r="A796" s="7" t="s">
        <v>879</v>
      </c>
      <c r="B796" s="7" t="s">
        <v>49</v>
      </c>
      <c r="C796" s="7">
        <v>2</v>
      </c>
      <c r="D796" s="10">
        <v>22.6</v>
      </c>
      <c r="E796" s="10">
        <v>45.2</v>
      </c>
      <c r="F796" s="9">
        <v>45691</v>
      </c>
      <c r="G796" s="9">
        <v>45694</v>
      </c>
      <c r="H796" s="7" t="s">
        <v>26</v>
      </c>
      <c r="I796" s="8" t="s">
        <v>21</v>
      </c>
      <c r="J796" s="7">
        <v>4</v>
      </c>
      <c r="K796" s="7" t="s">
        <v>82</v>
      </c>
      <c r="L796" s="7">
        <v>3</v>
      </c>
      <c r="M796" s="7">
        <v>6</v>
      </c>
      <c r="N796" s="7" t="s">
        <v>28</v>
      </c>
    </row>
    <row r="797" spans="1:14" x14ac:dyDescent="0.3">
      <c r="A797" s="3" t="s">
        <v>880</v>
      </c>
      <c r="B797" s="3" t="s">
        <v>30</v>
      </c>
      <c r="C797" s="3">
        <v>18</v>
      </c>
      <c r="D797" s="6">
        <v>66.8</v>
      </c>
      <c r="E797" s="6">
        <v>1202.4000000000001</v>
      </c>
      <c r="F797" s="5">
        <v>45691</v>
      </c>
      <c r="G797" s="5">
        <v>45692</v>
      </c>
      <c r="H797" s="3" t="s">
        <v>31</v>
      </c>
      <c r="I797" s="4" t="s">
        <v>21</v>
      </c>
      <c r="J797" s="3">
        <v>2</v>
      </c>
      <c r="K797" s="3" t="s">
        <v>87</v>
      </c>
      <c r="L797" s="3">
        <v>1</v>
      </c>
      <c r="M797" s="3">
        <v>6</v>
      </c>
      <c r="N797" s="3" t="s">
        <v>33</v>
      </c>
    </row>
    <row r="798" spans="1:14" x14ac:dyDescent="0.3">
      <c r="A798" s="7" t="s">
        <v>881</v>
      </c>
      <c r="B798" s="7" t="s">
        <v>20</v>
      </c>
      <c r="C798" s="7">
        <v>4</v>
      </c>
      <c r="D798" s="10">
        <v>20.8</v>
      </c>
      <c r="E798" s="10">
        <v>83.2</v>
      </c>
      <c r="F798" s="9">
        <v>45691</v>
      </c>
      <c r="G798" s="9">
        <v>45698</v>
      </c>
      <c r="H798" s="7" t="s">
        <v>26</v>
      </c>
      <c r="I798" s="8" t="s">
        <v>40</v>
      </c>
      <c r="J798" s="7">
        <v>2</v>
      </c>
      <c r="K798" s="7" t="s">
        <v>27</v>
      </c>
      <c r="L798" s="7">
        <v>7</v>
      </c>
      <c r="M798" s="7">
        <v>6</v>
      </c>
      <c r="N798" s="7" t="s">
        <v>28</v>
      </c>
    </row>
    <row r="799" spans="1:14" x14ac:dyDescent="0.3">
      <c r="A799" s="3" t="s">
        <v>882</v>
      </c>
      <c r="B799" s="3" t="s">
        <v>30</v>
      </c>
      <c r="C799" s="3">
        <v>7</v>
      </c>
      <c r="D799" s="6">
        <v>102.5</v>
      </c>
      <c r="E799" s="6">
        <v>717.5</v>
      </c>
      <c r="F799" s="5">
        <v>45691</v>
      </c>
      <c r="G799" s="5">
        <v>45692</v>
      </c>
      <c r="H799" s="3" t="s">
        <v>31</v>
      </c>
      <c r="I799" s="4" t="s">
        <v>75</v>
      </c>
      <c r="J799" s="3">
        <v>5</v>
      </c>
      <c r="K799" s="3" t="s">
        <v>38</v>
      </c>
      <c r="L799" s="3">
        <v>1</v>
      </c>
      <c r="M799" s="3">
        <v>6</v>
      </c>
      <c r="N799" s="3" t="s">
        <v>33</v>
      </c>
    </row>
    <row r="800" spans="1:14" x14ac:dyDescent="0.3">
      <c r="A800" s="7" t="s">
        <v>883</v>
      </c>
      <c r="B800" s="7" t="s">
        <v>20</v>
      </c>
      <c r="C800" s="7">
        <v>18</v>
      </c>
      <c r="D800" s="10">
        <v>24.8</v>
      </c>
      <c r="E800" s="10">
        <v>446.4</v>
      </c>
      <c r="F800" s="9">
        <v>45691</v>
      </c>
      <c r="G800" s="9">
        <v>45695</v>
      </c>
      <c r="H800" s="7" t="s">
        <v>31</v>
      </c>
      <c r="I800" s="8" t="s">
        <v>21</v>
      </c>
      <c r="J800" s="7">
        <v>4</v>
      </c>
      <c r="K800" s="7" t="s">
        <v>38</v>
      </c>
      <c r="L800" s="7">
        <v>4</v>
      </c>
      <c r="M800" s="7">
        <v>6</v>
      </c>
      <c r="N800" s="7" t="s">
        <v>33</v>
      </c>
    </row>
    <row r="801" spans="1:14" x14ac:dyDescent="0.3">
      <c r="A801" s="3" t="s">
        <v>884</v>
      </c>
      <c r="B801" s="3" t="s">
        <v>37</v>
      </c>
      <c r="C801" s="3">
        <v>31</v>
      </c>
      <c r="D801" s="6">
        <v>31.4</v>
      </c>
      <c r="E801" s="6">
        <v>973.4</v>
      </c>
      <c r="F801" s="5">
        <v>45691</v>
      </c>
      <c r="G801" s="5">
        <v>45692</v>
      </c>
      <c r="H801" s="3" t="s">
        <v>31</v>
      </c>
      <c r="I801" s="4" t="s">
        <v>56</v>
      </c>
      <c r="J801" s="3">
        <v>4</v>
      </c>
      <c r="K801" s="3" t="s">
        <v>38</v>
      </c>
      <c r="L801" s="3">
        <v>1</v>
      </c>
      <c r="M801" s="3">
        <v>6</v>
      </c>
      <c r="N801" s="3" t="s">
        <v>33</v>
      </c>
    </row>
    <row r="802" spans="1:14" x14ac:dyDescent="0.3">
      <c r="A802" s="7" t="s">
        <v>885</v>
      </c>
      <c r="B802" s="7" t="s">
        <v>51</v>
      </c>
      <c r="C802" s="7">
        <v>5</v>
      </c>
      <c r="D802" s="10">
        <v>59.3</v>
      </c>
      <c r="E802" s="10">
        <v>296.5</v>
      </c>
      <c r="F802" s="9">
        <v>45691</v>
      </c>
      <c r="G802" s="9">
        <v>45694</v>
      </c>
      <c r="H802" s="7" t="s">
        <v>26</v>
      </c>
      <c r="I802" s="8" t="s">
        <v>40</v>
      </c>
      <c r="J802" s="7">
        <v>5</v>
      </c>
      <c r="K802" s="7" t="s">
        <v>116</v>
      </c>
      <c r="L802" s="7">
        <v>3</v>
      </c>
      <c r="M802" s="7">
        <v>6</v>
      </c>
      <c r="N802" s="7" t="s">
        <v>28</v>
      </c>
    </row>
    <row r="803" spans="1:14" x14ac:dyDescent="0.3">
      <c r="A803" s="3" t="s">
        <v>886</v>
      </c>
      <c r="B803" s="3" t="s">
        <v>72</v>
      </c>
      <c r="C803" s="3">
        <v>6</v>
      </c>
      <c r="D803" s="6">
        <v>39</v>
      </c>
      <c r="E803" s="6">
        <v>234</v>
      </c>
      <c r="F803" s="5">
        <v>45691</v>
      </c>
      <c r="G803" s="5">
        <v>45694</v>
      </c>
      <c r="H803" s="3" t="s">
        <v>26</v>
      </c>
      <c r="I803" s="4" t="s">
        <v>40</v>
      </c>
      <c r="J803" s="3">
        <v>4</v>
      </c>
      <c r="K803" s="3" t="s">
        <v>60</v>
      </c>
      <c r="L803" s="3">
        <v>3</v>
      </c>
      <c r="M803" s="3">
        <v>6</v>
      </c>
      <c r="N803" s="3" t="s">
        <v>28</v>
      </c>
    </row>
    <row r="804" spans="1:14" x14ac:dyDescent="0.3">
      <c r="A804" s="7" t="s">
        <v>887</v>
      </c>
      <c r="B804" s="7" t="s">
        <v>42</v>
      </c>
      <c r="C804" s="7">
        <v>6</v>
      </c>
      <c r="D804" s="10">
        <v>98.6</v>
      </c>
      <c r="E804" s="10">
        <v>591.59999999999991</v>
      </c>
      <c r="F804" s="9">
        <v>45691</v>
      </c>
      <c r="G804" s="9">
        <v>45693</v>
      </c>
      <c r="H804" s="7" t="s">
        <v>31</v>
      </c>
      <c r="I804" s="8" t="s">
        <v>40</v>
      </c>
      <c r="J804" s="7">
        <v>4</v>
      </c>
      <c r="K804" s="7" t="s">
        <v>60</v>
      </c>
      <c r="L804" s="7">
        <v>2</v>
      </c>
      <c r="M804" s="7">
        <v>6</v>
      </c>
      <c r="N804" s="7" t="s">
        <v>33</v>
      </c>
    </row>
    <row r="805" spans="1:14" x14ac:dyDescent="0.3">
      <c r="A805" s="3" t="s">
        <v>888</v>
      </c>
      <c r="B805" s="3" t="s">
        <v>49</v>
      </c>
      <c r="C805" s="3">
        <v>1</v>
      </c>
      <c r="D805" s="6">
        <v>20</v>
      </c>
      <c r="E805" s="6">
        <v>20</v>
      </c>
      <c r="F805" s="5">
        <v>45692</v>
      </c>
      <c r="G805" s="5">
        <v>45693</v>
      </c>
      <c r="H805" s="3" t="s">
        <v>26</v>
      </c>
      <c r="I805" s="4" t="s">
        <v>56</v>
      </c>
      <c r="J805" s="3">
        <v>5</v>
      </c>
      <c r="K805" s="3" t="s">
        <v>67</v>
      </c>
      <c r="L805" s="3">
        <v>1</v>
      </c>
      <c r="M805" s="3">
        <v>6</v>
      </c>
      <c r="N805" s="3" t="s">
        <v>28</v>
      </c>
    </row>
    <row r="806" spans="1:14" x14ac:dyDescent="0.3">
      <c r="A806" s="7" t="s">
        <v>889</v>
      </c>
      <c r="B806" s="7" t="s">
        <v>25</v>
      </c>
      <c r="C806" s="7">
        <v>2</v>
      </c>
      <c r="D806" s="10">
        <v>42.9</v>
      </c>
      <c r="E806" s="10">
        <v>85.8</v>
      </c>
      <c r="F806" s="9">
        <v>45692</v>
      </c>
      <c r="G806" s="9">
        <v>45694</v>
      </c>
      <c r="H806" s="7" t="s">
        <v>31</v>
      </c>
      <c r="I806" s="8" t="s">
        <v>21</v>
      </c>
      <c r="J806" s="7">
        <v>5</v>
      </c>
      <c r="K806" s="7" t="s">
        <v>67</v>
      </c>
      <c r="L806" s="7">
        <v>2</v>
      </c>
      <c r="M806" s="7">
        <v>6</v>
      </c>
      <c r="N806" s="7" t="s">
        <v>33</v>
      </c>
    </row>
    <row r="807" spans="1:14" x14ac:dyDescent="0.3">
      <c r="A807" s="3" t="s">
        <v>890</v>
      </c>
      <c r="B807" s="3" t="s">
        <v>47</v>
      </c>
      <c r="C807" s="3">
        <v>7</v>
      </c>
      <c r="D807" s="6">
        <v>55.6</v>
      </c>
      <c r="E807" s="6">
        <v>389.2</v>
      </c>
      <c r="F807" s="5">
        <v>45692</v>
      </c>
      <c r="G807" s="5">
        <v>45694</v>
      </c>
      <c r="H807" s="3" t="s">
        <v>31</v>
      </c>
      <c r="I807" s="4" t="s">
        <v>45</v>
      </c>
      <c r="J807" s="3">
        <v>3</v>
      </c>
      <c r="K807" s="3" t="s">
        <v>67</v>
      </c>
      <c r="L807" s="3">
        <v>2</v>
      </c>
      <c r="M807" s="3">
        <v>6</v>
      </c>
      <c r="N807" s="3" t="s">
        <v>33</v>
      </c>
    </row>
    <row r="808" spans="1:14" x14ac:dyDescent="0.3">
      <c r="A808" s="7" t="s">
        <v>891</v>
      </c>
      <c r="B808" s="7" t="s">
        <v>49</v>
      </c>
      <c r="C808" s="7">
        <v>4</v>
      </c>
      <c r="D808" s="10">
        <v>19.2</v>
      </c>
      <c r="E808" s="10">
        <v>76.8</v>
      </c>
      <c r="F808" s="9">
        <v>45692</v>
      </c>
      <c r="G808" s="9">
        <v>45697</v>
      </c>
      <c r="H808" s="7" t="s">
        <v>31</v>
      </c>
      <c r="I808" s="8" t="s">
        <v>21</v>
      </c>
      <c r="J808" s="7">
        <v>4</v>
      </c>
      <c r="K808" s="7" t="s">
        <v>104</v>
      </c>
      <c r="L808" s="7">
        <v>5</v>
      </c>
      <c r="M808" s="7">
        <v>6</v>
      </c>
      <c r="N808" s="7" t="s">
        <v>33</v>
      </c>
    </row>
    <row r="809" spans="1:14" x14ac:dyDescent="0.3">
      <c r="A809" s="3" t="s">
        <v>892</v>
      </c>
      <c r="B809" s="3" t="s">
        <v>42</v>
      </c>
      <c r="C809" s="3">
        <v>2</v>
      </c>
      <c r="D809" s="6">
        <v>28.8</v>
      </c>
      <c r="E809" s="6">
        <v>57.6</v>
      </c>
      <c r="F809" s="5">
        <v>45692</v>
      </c>
      <c r="G809" s="5">
        <v>45694</v>
      </c>
      <c r="H809" s="3" t="s">
        <v>26</v>
      </c>
      <c r="I809" s="4" t="s">
        <v>40</v>
      </c>
      <c r="J809" s="3">
        <v>4</v>
      </c>
      <c r="K809" s="3" t="s">
        <v>114</v>
      </c>
      <c r="L809" s="3">
        <v>2</v>
      </c>
      <c r="M809" s="3">
        <v>6</v>
      </c>
      <c r="N809" s="3" t="s">
        <v>28</v>
      </c>
    </row>
    <row r="810" spans="1:14" x14ac:dyDescent="0.3">
      <c r="A810" s="7" t="s">
        <v>893</v>
      </c>
      <c r="B810" s="7" t="s">
        <v>37</v>
      </c>
      <c r="C810" s="7">
        <v>1</v>
      </c>
      <c r="D810" s="10">
        <v>29.7</v>
      </c>
      <c r="E810" s="10">
        <v>29.7</v>
      </c>
      <c r="F810" s="9">
        <v>45692</v>
      </c>
      <c r="G810" s="9">
        <v>45694</v>
      </c>
      <c r="H810" s="7" t="s">
        <v>31</v>
      </c>
      <c r="I810" s="8" t="s">
        <v>45</v>
      </c>
      <c r="J810" s="7">
        <v>2</v>
      </c>
      <c r="K810" s="7" t="s">
        <v>119</v>
      </c>
      <c r="L810" s="7">
        <v>2</v>
      </c>
      <c r="M810" s="7">
        <v>6</v>
      </c>
      <c r="N810" s="7" t="s">
        <v>33</v>
      </c>
    </row>
    <row r="811" spans="1:14" x14ac:dyDescent="0.3">
      <c r="A811" s="3" t="s">
        <v>894</v>
      </c>
      <c r="B811" s="3" t="s">
        <v>44</v>
      </c>
      <c r="C811" s="3">
        <v>6</v>
      </c>
      <c r="D811" s="6">
        <v>63.3</v>
      </c>
      <c r="E811" s="6">
        <v>379.8</v>
      </c>
      <c r="F811" s="5">
        <v>45692</v>
      </c>
      <c r="G811" s="5">
        <v>45693</v>
      </c>
      <c r="H811" s="3"/>
      <c r="I811" s="4" t="s">
        <v>21</v>
      </c>
      <c r="J811" s="3">
        <v>5</v>
      </c>
      <c r="K811" s="3" t="s">
        <v>121</v>
      </c>
      <c r="L811" s="3">
        <v>1</v>
      </c>
      <c r="M811" s="3">
        <v>6</v>
      </c>
      <c r="N811" s="3" t="s">
        <v>23</v>
      </c>
    </row>
    <row r="812" spans="1:14" x14ac:dyDescent="0.3">
      <c r="A812" s="7" t="s">
        <v>895</v>
      </c>
      <c r="B812" s="7" t="s">
        <v>37</v>
      </c>
      <c r="C812" s="7">
        <v>1</v>
      </c>
      <c r="D812" s="10">
        <v>46</v>
      </c>
      <c r="E812" s="10">
        <v>46</v>
      </c>
      <c r="F812" s="9">
        <v>45692</v>
      </c>
      <c r="G812" s="9">
        <v>45693</v>
      </c>
      <c r="H812" s="7" t="s">
        <v>31</v>
      </c>
      <c r="I812" s="8" t="s">
        <v>21</v>
      </c>
      <c r="J812" s="7">
        <v>5</v>
      </c>
      <c r="K812" s="7" t="s">
        <v>121</v>
      </c>
      <c r="L812" s="7">
        <v>1</v>
      </c>
      <c r="M812" s="7">
        <v>6</v>
      </c>
      <c r="N812" s="7" t="s">
        <v>33</v>
      </c>
    </row>
    <row r="813" spans="1:14" x14ac:dyDescent="0.3">
      <c r="A813" s="3" t="s">
        <v>896</v>
      </c>
      <c r="B813" s="3" t="s">
        <v>72</v>
      </c>
      <c r="C813" s="3">
        <v>3</v>
      </c>
      <c r="D813" s="6">
        <v>38</v>
      </c>
      <c r="E813" s="6">
        <v>114</v>
      </c>
      <c r="F813" s="5">
        <v>45692</v>
      </c>
      <c r="G813" s="5">
        <v>45694</v>
      </c>
      <c r="H813" s="3" t="s">
        <v>31</v>
      </c>
      <c r="I813" s="4" t="s">
        <v>40</v>
      </c>
      <c r="J813" s="3">
        <v>5</v>
      </c>
      <c r="K813" s="3" t="s">
        <v>121</v>
      </c>
      <c r="L813" s="3">
        <v>2</v>
      </c>
      <c r="M813" s="3">
        <v>6</v>
      </c>
      <c r="N813" s="3" t="s">
        <v>33</v>
      </c>
    </row>
    <row r="814" spans="1:14" x14ac:dyDescent="0.3">
      <c r="A814" s="7" t="s">
        <v>897</v>
      </c>
      <c r="B814" s="7" t="s">
        <v>59</v>
      </c>
      <c r="C814" s="7">
        <v>13</v>
      </c>
      <c r="D814" s="10">
        <v>34.6</v>
      </c>
      <c r="E814" s="10">
        <v>449.8</v>
      </c>
      <c r="F814" s="9">
        <v>45692</v>
      </c>
      <c r="G814" s="9">
        <v>45694</v>
      </c>
      <c r="H814" s="7" t="s">
        <v>31</v>
      </c>
      <c r="I814" s="8" t="s">
        <v>21</v>
      </c>
      <c r="J814" s="7">
        <v>3</v>
      </c>
      <c r="K814" s="7" t="s">
        <v>121</v>
      </c>
      <c r="L814" s="7">
        <v>2</v>
      </c>
      <c r="M814" s="7">
        <v>6</v>
      </c>
      <c r="N814" s="7" t="s">
        <v>33</v>
      </c>
    </row>
    <row r="815" spans="1:14" x14ac:dyDescent="0.3">
      <c r="A815" s="3" t="s">
        <v>898</v>
      </c>
      <c r="B815" s="3" t="s">
        <v>35</v>
      </c>
      <c r="C815" s="3">
        <v>10</v>
      </c>
      <c r="D815" s="6">
        <v>79.7</v>
      </c>
      <c r="E815" s="6">
        <v>797</v>
      </c>
      <c r="F815" s="5">
        <v>45692</v>
      </c>
      <c r="G815" s="5">
        <v>45693</v>
      </c>
      <c r="H815" s="3" t="s">
        <v>31</v>
      </c>
      <c r="I815" s="4" t="s">
        <v>75</v>
      </c>
      <c r="J815" s="3">
        <v>3</v>
      </c>
      <c r="K815" s="3" t="s">
        <v>121</v>
      </c>
      <c r="L815" s="3">
        <v>1</v>
      </c>
      <c r="M815" s="3">
        <v>6</v>
      </c>
      <c r="N815" s="3" t="s">
        <v>33</v>
      </c>
    </row>
    <row r="816" spans="1:14" x14ac:dyDescent="0.3">
      <c r="A816" s="7" t="s">
        <v>899</v>
      </c>
      <c r="B816" s="7" t="s">
        <v>49</v>
      </c>
      <c r="C816" s="7">
        <v>8</v>
      </c>
      <c r="D816" s="10">
        <v>30.5</v>
      </c>
      <c r="E816" s="10">
        <v>244</v>
      </c>
      <c r="F816" s="9">
        <v>45692</v>
      </c>
      <c r="G816" s="9">
        <v>45696</v>
      </c>
      <c r="H816" s="7" t="s">
        <v>26</v>
      </c>
      <c r="I816" s="8" t="s">
        <v>56</v>
      </c>
      <c r="J816" s="7">
        <v>4</v>
      </c>
      <c r="K816" s="7" t="s">
        <v>27</v>
      </c>
      <c r="L816" s="7">
        <v>4</v>
      </c>
      <c r="M816" s="7">
        <v>6</v>
      </c>
      <c r="N816" s="7" t="s">
        <v>28</v>
      </c>
    </row>
    <row r="817" spans="1:14" x14ac:dyDescent="0.3">
      <c r="A817" s="3" t="s">
        <v>900</v>
      </c>
      <c r="B817" s="3" t="s">
        <v>20</v>
      </c>
      <c r="C817" s="3">
        <v>2</v>
      </c>
      <c r="D817" s="6">
        <v>20.8</v>
      </c>
      <c r="E817" s="6">
        <v>41.6</v>
      </c>
      <c r="F817" s="5">
        <v>45692</v>
      </c>
      <c r="G817" s="5">
        <v>45693</v>
      </c>
      <c r="H817" s="3" t="s">
        <v>31</v>
      </c>
      <c r="I817" s="4" t="s">
        <v>21</v>
      </c>
      <c r="J817" s="3">
        <v>4</v>
      </c>
      <c r="K817" s="3" t="s">
        <v>32</v>
      </c>
      <c r="L817" s="3">
        <v>1</v>
      </c>
      <c r="M817" s="3">
        <v>6</v>
      </c>
      <c r="N817" s="3" t="s">
        <v>33</v>
      </c>
    </row>
    <row r="818" spans="1:14" x14ac:dyDescent="0.3">
      <c r="A818" s="7" t="s">
        <v>901</v>
      </c>
      <c r="B818" s="7" t="s">
        <v>72</v>
      </c>
      <c r="C818" s="7">
        <v>7</v>
      </c>
      <c r="D818" s="10">
        <v>48.5</v>
      </c>
      <c r="E818" s="10">
        <v>339.5</v>
      </c>
      <c r="F818" s="9">
        <v>45692</v>
      </c>
      <c r="G818" s="9">
        <v>45696</v>
      </c>
      <c r="H818" s="7" t="s">
        <v>31</v>
      </c>
      <c r="I818" s="8" t="s">
        <v>45</v>
      </c>
      <c r="J818" s="7">
        <v>5</v>
      </c>
      <c r="K818" s="7" t="s">
        <v>32</v>
      </c>
      <c r="L818" s="7">
        <v>4</v>
      </c>
      <c r="M818" s="7">
        <v>6</v>
      </c>
      <c r="N818" s="7" t="s">
        <v>33</v>
      </c>
    </row>
    <row r="819" spans="1:14" x14ac:dyDescent="0.3">
      <c r="A819" s="3" t="s">
        <v>902</v>
      </c>
      <c r="B819" s="3" t="s">
        <v>30</v>
      </c>
      <c r="C819" s="3">
        <v>4</v>
      </c>
      <c r="D819" s="6">
        <v>61.8</v>
      </c>
      <c r="E819" s="6">
        <v>247.2</v>
      </c>
      <c r="F819" s="5">
        <v>45692</v>
      </c>
      <c r="G819" s="5">
        <v>45696</v>
      </c>
      <c r="H819" s="3" t="s">
        <v>31</v>
      </c>
      <c r="I819" s="4" t="s">
        <v>75</v>
      </c>
      <c r="J819" s="3">
        <v>4</v>
      </c>
      <c r="K819" s="3" t="s">
        <v>153</v>
      </c>
      <c r="L819" s="3">
        <v>4</v>
      </c>
      <c r="M819" s="3">
        <v>6</v>
      </c>
      <c r="N819" s="3" t="s">
        <v>33</v>
      </c>
    </row>
    <row r="820" spans="1:14" x14ac:dyDescent="0.3">
      <c r="A820" s="7" t="s">
        <v>903</v>
      </c>
      <c r="B820" s="7" t="s">
        <v>59</v>
      </c>
      <c r="C820" s="7">
        <v>1</v>
      </c>
      <c r="D820" s="10">
        <v>46.1</v>
      </c>
      <c r="E820" s="10">
        <v>46.1</v>
      </c>
      <c r="F820" s="9">
        <v>45692</v>
      </c>
      <c r="G820" s="9">
        <v>45693</v>
      </c>
      <c r="H820" s="7" t="s">
        <v>94</v>
      </c>
      <c r="I820" s="8" t="s">
        <v>45</v>
      </c>
      <c r="J820" s="7">
        <v>4</v>
      </c>
      <c r="K820" s="7" t="s">
        <v>38</v>
      </c>
      <c r="L820" s="7">
        <v>1</v>
      </c>
      <c r="M820" s="7">
        <v>6</v>
      </c>
      <c r="N820" s="7" t="s">
        <v>95</v>
      </c>
    </row>
    <row r="821" spans="1:14" x14ac:dyDescent="0.3">
      <c r="A821" s="3" t="s">
        <v>904</v>
      </c>
      <c r="B821" s="3" t="s">
        <v>37</v>
      </c>
      <c r="C821" s="3">
        <v>6</v>
      </c>
      <c r="D821" s="6">
        <v>44</v>
      </c>
      <c r="E821" s="6">
        <v>264</v>
      </c>
      <c r="F821" s="5">
        <v>45692</v>
      </c>
      <c r="G821" s="5">
        <v>45693</v>
      </c>
      <c r="H821" s="3" t="s">
        <v>31</v>
      </c>
      <c r="I821" s="4" t="s">
        <v>21</v>
      </c>
      <c r="J821" s="3">
        <v>4</v>
      </c>
      <c r="K821" s="3" t="s">
        <v>38</v>
      </c>
      <c r="L821" s="3">
        <v>1</v>
      </c>
      <c r="M821" s="3">
        <v>6</v>
      </c>
      <c r="N821" s="3" t="s">
        <v>33</v>
      </c>
    </row>
    <row r="822" spans="1:14" x14ac:dyDescent="0.3">
      <c r="A822" s="7" t="s">
        <v>905</v>
      </c>
      <c r="B822" s="7" t="s">
        <v>152</v>
      </c>
      <c r="C822" s="7">
        <v>2</v>
      </c>
      <c r="D822" s="10">
        <v>95.7</v>
      </c>
      <c r="E822" s="10">
        <v>191.4</v>
      </c>
      <c r="F822" s="9">
        <v>45692</v>
      </c>
      <c r="G822" s="9">
        <v>45698</v>
      </c>
      <c r="H822" s="7" t="s">
        <v>31</v>
      </c>
      <c r="I822" s="8" t="s">
        <v>56</v>
      </c>
      <c r="J822" s="7">
        <v>5</v>
      </c>
      <c r="K822" s="7" t="s">
        <v>38</v>
      </c>
      <c r="L822" s="7">
        <v>6</v>
      </c>
      <c r="M822" s="7">
        <v>6</v>
      </c>
      <c r="N822" s="7" t="s">
        <v>33</v>
      </c>
    </row>
    <row r="823" spans="1:14" x14ac:dyDescent="0.3">
      <c r="A823" s="3" t="s">
        <v>906</v>
      </c>
      <c r="B823" s="3" t="s">
        <v>47</v>
      </c>
      <c r="C823" s="3">
        <v>5</v>
      </c>
      <c r="D823" s="6">
        <v>46.4</v>
      </c>
      <c r="E823" s="6">
        <v>232</v>
      </c>
      <c r="F823" s="5">
        <v>45692</v>
      </c>
      <c r="G823" s="5">
        <v>45695</v>
      </c>
      <c r="H823" s="3" t="s">
        <v>31</v>
      </c>
      <c r="I823" s="4" t="s">
        <v>21</v>
      </c>
      <c r="J823" s="3">
        <v>4</v>
      </c>
      <c r="K823" s="3" t="s">
        <v>38</v>
      </c>
      <c r="L823" s="3">
        <v>3</v>
      </c>
      <c r="M823" s="3">
        <v>6</v>
      </c>
      <c r="N823" s="3" t="s">
        <v>33</v>
      </c>
    </row>
    <row r="824" spans="1:14" x14ac:dyDescent="0.3">
      <c r="A824" s="7" t="s">
        <v>907</v>
      </c>
      <c r="B824" s="7" t="s">
        <v>44</v>
      </c>
      <c r="C824" s="7">
        <v>2</v>
      </c>
      <c r="D824" s="10">
        <v>47.2</v>
      </c>
      <c r="E824" s="10">
        <v>94.4</v>
      </c>
      <c r="F824" s="9">
        <v>45692</v>
      </c>
      <c r="G824" s="9">
        <v>45694</v>
      </c>
      <c r="H824" s="7" t="s">
        <v>31</v>
      </c>
      <c r="I824" s="8" t="s">
        <v>21</v>
      </c>
      <c r="J824" s="7">
        <v>5</v>
      </c>
      <c r="K824" s="7" t="s">
        <v>38</v>
      </c>
      <c r="L824" s="7">
        <v>2</v>
      </c>
      <c r="M824" s="7">
        <v>6</v>
      </c>
      <c r="N824" s="7" t="s">
        <v>33</v>
      </c>
    </row>
    <row r="825" spans="1:14" x14ac:dyDescent="0.3">
      <c r="A825" s="3" t="s">
        <v>908</v>
      </c>
      <c r="B825" s="3" t="s">
        <v>47</v>
      </c>
      <c r="C825" s="3">
        <v>2</v>
      </c>
      <c r="D825" s="6">
        <v>58.6</v>
      </c>
      <c r="E825" s="6">
        <v>117.2</v>
      </c>
      <c r="F825" s="5">
        <v>45692</v>
      </c>
      <c r="G825" s="5">
        <v>45693</v>
      </c>
      <c r="H825" s="3" t="s">
        <v>31</v>
      </c>
      <c r="I825" s="4" t="s">
        <v>45</v>
      </c>
      <c r="J825" s="3">
        <v>3</v>
      </c>
      <c r="K825" s="3" t="s">
        <v>38</v>
      </c>
      <c r="L825" s="3">
        <v>1</v>
      </c>
      <c r="M825" s="3">
        <v>6</v>
      </c>
      <c r="N825" s="3" t="s">
        <v>33</v>
      </c>
    </row>
    <row r="826" spans="1:14" x14ac:dyDescent="0.3">
      <c r="A826" s="7" t="s">
        <v>909</v>
      </c>
      <c r="B826" s="7" t="s">
        <v>37</v>
      </c>
      <c r="C826" s="7">
        <v>3</v>
      </c>
      <c r="D826" s="10">
        <v>57</v>
      </c>
      <c r="E826" s="10">
        <v>171</v>
      </c>
      <c r="F826" s="9">
        <v>45692</v>
      </c>
      <c r="G826" s="9">
        <v>45693</v>
      </c>
      <c r="H826" s="7" t="s">
        <v>26</v>
      </c>
      <c r="I826" s="8" t="s">
        <v>21</v>
      </c>
      <c r="J826" s="7">
        <v>5</v>
      </c>
      <c r="K826" s="7" t="s">
        <v>38</v>
      </c>
      <c r="L826" s="7">
        <v>1</v>
      </c>
      <c r="M826" s="7">
        <v>6</v>
      </c>
      <c r="N826" s="7" t="s">
        <v>28</v>
      </c>
    </row>
    <row r="827" spans="1:14" x14ac:dyDescent="0.3">
      <c r="A827" s="3" t="s">
        <v>910</v>
      </c>
      <c r="B827" s="3" t="s">
        <v>49</v>
      </c>
      <c r="C827" s="3">
        <v>4</v>
      </c>
      <c r="D827" s="6">
        <v>28.9</v>
      </c>
      <c r="E827" s="6">
        <v>115.6</v>
      </c>
      <c r="F827" s="5">
        <v>45692</v>
      </c>
      <c r="G827" s="5">
        <v>45696</v>
      </c>
      <c r="H827" s="3" t="s">
        <v>26</v>
      </c>
      <c r="I827" s="4" t="s">
        <v>45</v>
      </c>
      <c r="J827" s="3">
        <v>4</v>
      </c>
      <c r="K827" s="3" t="s">
        <v>38</v>
      </c>
      <c r="L827" s="3">
        <v>4</v>
      </c>
      <c r="M827" s="3">
        <v>6</v>
      </c>
      <c r="N827" s="3" t="s">
        <v>28</v>
      </c>
    </row>
    <row r="828" spans="1:14" x14ac:dyDescent="0.3">
      <c r="A828" s="7" t="s">
        <v>911</v>
      </c>
      <c r="B828" s="7" t="s">
        <v>74</v>
      </c>
      <c r="C828" s="7">
        <v>5</v>
      </c>
      <c r="D828" s="10">
        <v>60.7</v>
      </c>
      <c r="E828" s="10">
        <v>303.5</v>
      </c>
      <c r="F828" s="9">
        <v>45692</v>
      </c>
      <c r="G828" s="9">
        <v>45696</v>
      </c>
      <c r="H828" s="7"/>
      <c r="I828" s="8" t="s">
        <v>40</v>
      </c>
      <c r="J828" s="7">
        <v>3</v>
      </c>
      <c r="K828" s="7" t="s">
        <v>38</v>
      </c>
      <c r="L828" s="7">
        <v>4</v>
      </c>
      <c r="M828" s="7">
        <v>6</v>
      </c>
      <c r="N828" s="7" t="s">
        <v>23</v>
      </c>
    </row>
    <row r="829" spans="1:14" x14ac:dyDescent="0.3">
      <c r="A829" s="3" t="s">
        <v>912</v>
      </c>
      <c r="B829" s="3" t="s">
        <v>44</v>
      </c>
      <c r="C829" s="3">
        <v>5</v>
      </c>
      <c r="D829" s="6">
        <v>60.8</v>
      </c>
      <c r="E829" s="6">
        <v>304</v>
      </c>
      <c r="F829" s="5">
        <v>45692</v>
      </c>
      <c r="G829" s="5">
        <v>45696</v>
      </c>
      <c r="H829" s="3" t="s">
        <v>26</v>
      </c>
      <c r="I829" s="4" t="s">
        <v>21</v>
      </c>
      <c r="J829" s="3">
        <v>3</v>
      </c>
      <c r="K829" s="3" t="s">
        <v>38</v>
      </c>
      <c r="L829" s="3">
        <v>4</v>
      </c>
      <c r="M829" s="3">
        <v>6</v>
      </c>
      <c r="N829" s="3" t="s">
        <v>28</v>
      </c>
    </row>
    <row r="830" spans="1:14" x14ac:dyDescent="0.3">
      <c r="A830" s="7" t="s">
        <v>913</v>
      </c>
      <c r="B830" s="7" t="s">
        <v>44</v>
      </c>
      <c r="C830" s="7">
        <v>5</v>
      </c>
      <c r="D830" s="10">
        <v>64.599999999999994</v>
      </c>
      <c r="E830" s="10">
        <v>323</v>
      </c>
      <c r="F830" s="9">
        <v>45692</v>
      </c>
      <c r="G830" s="9">
        <v>45693</v>
      </c>
      <c r="H830" s="7" t="s">
        <v>31</v>
      </c>
      <c r="I830" s="8" t="s">
        <v>56</v>
      </c>
      <c r="J830" s="7">
        <v>4</v>
      </c>
      <c r="K830" s="7" t="s">
        <v>38</v>
      </c>
      <c r="L830" s="7">
        <v>1</v>
      </c>
      <c r="M830" s="7">
        <v>6</v>
      </c>
      <c r="N830" s="7" t="s">
        <v>33</v>
      </c>
    </row>
    <row r="831" spans="1:14" x14ac:dyDescent="0.3">
      <c r="A831" s="3" t="s">
        <v>914</v>
      </c>
      <c r="B831" s="3" t="s">
        <v>49</v>
      </c>
      <c r="C831" s="3">
        <v>1</v>
      </c>
      <c r="D831" s="6">
        <v>21.9</v>
      </c>
      <c r="E831" s="6">
        <v>21.9</v>
      </c>
      <c r="F831" s="5">
        <v>45692</v>
      </c>
      <c r="G831" s="5">
        <v>45695</v>
      </c>
      <c r="H831" s="3" t="s">
        <v>26</v>
      </c>
      <c r="I831" s="4" t="s">
        <v>40</v>
      </c>
      <c r="J831" s="3">
        <v>5</v>
      </c>
      <c r="K831" s="3" t="s">
        <v>54</v>
      </c>
      <c r="L831" s="3">
        <v>3</v>
      </c>
      <c r="M831" s="3">
        <v>6</v>
      </c>
      <c r="N831" s="3" t="s">
        <v>28</v>
      </c>
    </row>
    <row r="832" spans="1:14" x14ac:dyDescent="0.3">
      <c r="A832" s="7" t="s">
        <v>915</v>
      </c>
      <c r="B832" s="7" t="s">
        <v>37</v>
      </c>
      <c r="C832" s="7">
        <v>12</v>
      </c>
      <c r="D832" s="10">
        <v>33.4</v>
      </c>
      <c r="E832" s="10">
        <v>400.8</v>
      </c>
      <c r="F832" s="9">
        <v>45692</v>
      </c>
      <c r="G832" s="9">
        <v>45694</v>
      </c>
      <c r="H832" s="7" t="s">
        <v>31</v>
      </c>
      <c r="I832" s="8" t="s">
        <v>21</v>
      </c>
      <c r="J832" s="7">
        <v>4</v>
      </c>
      <c r="K832" s="7" t="s">
        <v>164</v>
      </c>
      <c r="L832" s="7">
        <v>2</v>
      </c>
      <c r="M832" s="7">
        <v>6</v>
      </c>
      <c r="N832" s="7" t="s">
        <v>33</v>
      </c>
    </row>
    <row r="833" spans="1:14" x14ac:dyDescent="0.3">
      <c r="A833" s="3" t="s">
        <v>916</v>
      </c>
      <c r="B833" s="3" t="s">
        <v>30</v>
      </c>
      <c r="C833" s="3">
        <v>1</v>
      </c>
      <c r="D833" s="6">
        <v>51.7</v>
      </c>
      <c r="E833" s="6">
        <v>51.7</v>
      </c>
      <c r="F833" s="5">
        <v>45692</v>
      </c>
      <c r="G833" s="5">
        <v>45693</v>
      </c>
      <c r="H833" s="3"/>
      <c r="I833" s="4" t="s">
        <v>21</v>
      </c>
      <c r="J833" s="3">
        <v>4</v>
      </c>
      <c r="K833" s="3" t="s">
        <v>60</v>
      </c>
      <c r="L833" s="3">
        <v>1</v>
      </c>
      <c r="M833" s="3">
        <v>6</v>
      </c>
      <c r="N833" s="3" t="s">
        <v>23</v>
      </c>
    </row>
    <row r="834" spans="1:14" x14ac:dyDescent="0.3">
      <c r="A834" s="7" t="s">
        <v>917</v>
      </c>
      <c r="B834" s="7" t="s">
        <v>25</v>
      </c>
      <c r="C834" s="7">
        <v>4</v>
      </c>
      <c r="D834" s="10">
        <v>84.9</v>
      </c>
      <c r="E834" s="10">
        <v>339.6</v>
      </c>
      <c r="F834" s="9">
        <v>45692</v>
      </c>
      <c r="G834" s="9">
        <v>45693</v>
      </c>
      <c r="H834" s="7" t="s">
        <v>31</v>
      </c>
      <c r="I834" s="8" t="s">
        <v>40</v>
      </c>
      <c r="J834" s="7">
        <v>3</v>
      </c>
      <c r="K834" s="7" t="s">
        <v>60</v>
      </c>
      <c r="L834" s="7">
        <v>1</v>
      </c>
      <c r="M834" s="7">
        <v>6</v>
      </c>
      <c r="N834" s="7" t="s">
        <v>33</v>
      </c>
    </row>
    <row r="835" spans="1:14" x14ac:dyDescent="0.3">
      <c r="A835" s="3" t="s">
        <v>918</v>
      </c>
      <c r="B835" s="3" t="s">
        <v>25</v>
      </c>
      <c r="C835" s="3">
        <v>11</v>
      </c>
      <c r="D835" s="6">
        <v>62.3</v>
      </c>
      <c r="E835" s="6">
        <v>685.3</v>
      </c>
      <c r="F835" s="5">
        <v>45692</v>
      </c>
      <c r="G835" s="5">
        <v>45693</v>
      </c>
      <c r="H835" s="3" t="s">
        <v>31</v>
      </c>
      <c r="I835" s="4" t="s">
        <v>45</v>
      </c>
      <c r="J835" s="3">
        <v>5</v>
      </c>
      <c r="K835" s="3" t="s">
        <v>64</v>
      </c>
      <c r="L835" s="3">
        <v>1</v>
      </c>
      <c r="M835" s="3">
        <v>6</v>
      </c>
      <c r="N835" s="3" t="s">
        <v>33</v>
      </c>
    </row>
    <row r="836" spans="1:14" x14ac:dyDescent="0.3">
      <c r="A836" s="7" t="s">
        <v>919</v>
      </c>
      <c r="B836" s="7" t="s">
        <v>37</v>
      </c>
      <c r="C836" s="7">
        <v>1</v>
      </c>
      <c r="D836" s="10">
        <v>50.7</v>
      </c>
      <c r="E836" s="10">
        <v>50.7</v>
      </c>
      <c r="F836" s="9">
        <v>45692</v>
      </c>
      <c r="G836" s="9">
        <v>45694</v>
      </c>
      <c r="H836" s="7" t="s">
        <v>26</v>
      </c>
      <c r="I836" s="8" t="s">
        <v>45</v>
      </c>
      <c r="J836" s="7">
        <v>5</v>
      </c>
      <c r="K836" s="7" t="s">
        <v>67</v>
      </c>
      <c r="L836" s="7">
        <v>2</v>
      </c>
      <c r="M836" s="7">
        <v>6</v>
      </c>
      <c r="N836" s="7" t="s">
        <v>28</v>
      </c>
    </row>
    <row r="837" spans="1:14" x14ac:dyDescent="0.3">
      <c r="A837" s="3" t="s">
        <v>920</v>
      </c>
      <c r="B837" s="3" t="s">
        <v>152</v>
      </c>
      <c r="C837" s="3">
        <v>1</v>
      </c>
      <c r="D837" s="6">
        <v>39.5</v>
      </c>
      <c r="E837" s="6">
        <v>39.5</v>
      </c>
      <c r="F837" s="5">
        <v>45692</v>
      </c>
      <c r="G837" s="5">
        <v>45693</v>
      </c>
      <c r="H837" s="3" t="s">
        <v>26</v>
      </c>
      <c r="I837" s="4" t="s">
        <v>75</v>
      </c>
      <c r="J837" s="3">
        <v>3</v>
      </c>
      <c r="K837" s="3" t="s">
        <v>67</v>
      </c>
      <c r="L837" s="3">
        <v>1</v>
      </c>
      <c r="M837" s="3">
        <v>6</v>
      </c>
      <c r="N837" s="3" t="s">
        <v>28</v>
      </c>
    </row>
    <row r="838" spans="1:14" x14ac:dyDescent="0.3">
      <c r="A838" s="7" t="s">
        <v>921</v>
      </c>
      <c r="B838" s="7" t="s">
        <v>74</v>
      </c>
      <c r="C838" s="7">
        <v>3</v>
      </c>
      <c r="D838" s="10">
        <v>30.9</v>
      </c>
      <c r="E838" s="10">
        <v>92.699999999999989</v>
      </c>
      <c r="F838" s="9">
        <v>45692</v>
      </c>
      <c r="G838" s="9">
        <v>45693</v>
      </c>
      <c r="H838" s="7"/>
      <c r="I838" s="8" t="s">
        <v>75</v>
      </c>
      <c r="J838" s="7">
        <v>5</v>
      </c>
      <c r="K838" s="7" t="s">
        <v>67</v>
      </c>
      <c r="L838" s="7">
        <v>1</v>
      </c>
      <c r="M838" s="7">
        <v>6</v>
      </c>
      <c r="N838" s="7" t="s">
        <v>23</v>
      </c>
    </row>
    <row r="839" spans="1:14" x14ac:dyDescent="0.3">
      <c r="A839" s="3" t="s">
        <v>922</v>
      </c>
      <c r="B839" s="3" t="s">
        <v>25</v>
      </c>
      <c r="C839" s="3">
        <v>7</v>
      </c>
      <c r="D839" s="6">
        <v>36.4</v>
      </c>
      <c r="E839" s="6">
        <v>254.8</v>
      </c>
      <c r="F839" s="5">
        <v>45692</v>
      </c>
      <c r="G839" s="5">
        <v>45695</v>
      </c>
      <c r="H839" s="3" t="s">
        <v>31</v>
      </c>
      <c r="I839" s="4" t="s">
        <v>21</v>
      </c>
      <c r="J839" s="3">
        <v>5</v>
      </c>
      <c r="K839" s="3" t="s">
        <v>67</v>
      </c>
      <c r="L839" s="3">
        <v>3</v>
      </c>
      <c r="M839" s="3">
        <v>6</v>
      </c>
      <c r="N839" s="3" t="s">
        <v>33</v>
      </c>
    </row>
    <row r="840" spans="1:14" x14ac:dyDescent="0.3">
      <c r="A840" s="7" t="s">
        <v>923</v>
      </c>
      <c r="B840" s="7" t="s">
        <v>44</v>
      </c>
      <c r="C840" s="7">
        <v>8</v>
      </c>
      <c r="D840" s="10">
        <v>105.6</v>
      </c>
      <c r="E840" s="10">
        <v>844.8</v>
      </c>
      <c r="F840" s="9">
        <v>45692</v>
      </c>
      <c r="G840" s="9">
        <v>45702</v>
      </c>
      <c r="H840" s="7" t="s">
        <v>31</v>
      </c>
      <c r="I840" s="8" t="s">
        <v>21</v>
      </c>
      <c r="J840" s="7">
        <v>4</v>
      </c>
      <c r="K840" s="7" t="s">
        <v>67</v>
      </c>
      <c r="L840" s="7">
        <v>10</v>
      </c>
      <c r="M840" s="7">
        <v>6</v>
      </c>
      <c r="N840" s="7" t="s">
        <v>33</v>
      </c>
    </row>
    <row r="841" spans="1:14" x14ac:dyDescent="0.3">
      <c r="A841" s="3" t="s">
        <v>924</v>
      </c>
      <c r="B841" s="3" t="s">
        <v>49</v>
      </c>
      <c r="C841" s="3">
        <v>2</v>
      </c>
      <c r="D841" s="6">
        <v>22.1</v>
      </c>
      <c r="E841" s="6">
        <v>44.2</v>
      </c>
      <c r="F841" s="5">
        <v>45692</v>
      </c>
      <c r="G841" s="5">
        <v>45693</v>
      </c>
      <c r="H841" s="3" t="s">
        <v>31</v>
      </c>
      <c r="I841" s="4" t="s">
        <v>21</v>
      </c>
      <c r="J841" s="3">
        <v>5</v>
      </c>
      <c r="K841" s="3" t="s">
        <v>109</v>
      </c>
      <c r="L841" s="3">
        <v>1</v>
      </c>
      <c r="M841" s="3">
        <v>6</v>
      </c>
      <c r="N841" s="3" t="s">
        <v>33</v>
      </c>
    </row>
    <row r="842" spans="1:14" x14ac:dyDescent="0.3">
      <c r="A842" s="7" t="s">
        <v>925</v>
      </c>
      <c r="B842" s="7" t="s">
        <v>20</v>
      </c>
      <c r="C842" s="7">
        <v>3</v>
      </c>
      <c r="D842" s="10">
        <v>22.6</v>
      </c>
      <c r="E842" s="10">
        <v>67.800000000000011</v>
      </c>
      <c r="F842" s="9">
        <v>45692</v>
      </c>
      <c r="G842" s="9">
        <v>45693</v>
      </c>
      <c r="H842" s="7" t="s">
        <v>31</v>
      </c>
      <c r="I842" s="8" t="s">
        <v>45</v>
      </c>
      <c r="J842" s="7">
        <v>4</v>
      </c>
      <c r="K842" s="7" t="s">
        <v>109</v>
      </c>
      <c r="L842" s="7">
        <v>1</v>
      </c>
      <c r="M842" s="7">
        <v>6</v>
      </c>
      <c r="N842" s="7" t="s">
        <v>33</v>
      </c>
    </row>
    <row r="843" spans="1:14" x14ac:dyDescent="0.3">
      <c r="A843" s="3" t="s">
        <v>926</v>
      </c>
      <c r="B843" s="3" t="s">
        <v>59</v>
      </c>
      <c r="C843" s="3">
        <v>6</v>
      </c>
      <c r="D843" s="6">
        <v>26.3</v>
      </c>
      <c r="E843" s="6">
        <v>157.80000000000001</v>
      </c>
      <c r="F843" s="5">
        <v>45692</v>
      </c>
      <c r="G843" s="5">
        <v>45692</v>
      </c>
      <c r="H843" s="3" t="s">
        <v>31</v>
      </c>
      <c r="I843" s="4" t="s">
        <v>45</v>
      </c>
      <c r="J843" s="3">
        <v>4</v>
      </c>
      <c r="K843" s="3" t="s">
        <v>77</v>
      </c>
      <c r="L843" s="3">
        <v>0</v>
      </c>
      <c r="M843" s="3">
        <v>6</v>
      </c>
      <c r="N843" s="3" t="s">
        <v>33</v>
      </c>
    </row>
    <row r="844" spans="1:14" x14ac:dyDescent="0.3">
      <c r="A844" s="7" t="s">
        <v>927</v>
      </c>
      <c r="B844" s="7" t="s">
        <v>25</v>
      </c>
      <c r="C844" s="7">
        <v>4</v>
      </c>
      <c r="D844" s="10">
        <v>37.799999999999997</v>
      </c>
      <c r="E844" s="10">
        <v>151.19999999999999</v>
      </c>
      <c r="F844" s="9">
        <v>45692</v>
      </c>
      <c r="G844" s="9">
        <v>45693</v>
      </c>
      <c r="H844" s="7" t="s">
        <v>31</v>
      </c>
      <c r="I844" s="8" t="s">
        <v>21</v>
      </c>
      <c r="J844" s="7">
        <v>5</v>
      </c>
      <c r="K844" s="7" t="s">
        <v>82</v>
      </c>
      <c r="L844" s="7">
        <v>1</v>
      </c>
      <c r="M844" s="7">
        <v>6</v>
      </c>
      <c r="N844" s="7" t="s">
        <v>33</v>
      </c>
    </row>
    <row r="845" spans="1:14" x14ac:dyDescent="0.3">
      <c r="A845" s="3" t="s">
        <v>928</v>
      </c>
      <c r="B845" s="3" t="s">
        <v>44</v>
      </c>
      <c r="C845" s="3">
        <v>17</v>
      </c>
      <c r="D845" s="6">
        <v>96</v>
      </c>
      <c r="E845" s="6">
        <v>1632</v>
      </c>
      <c r="F845" s="5">
        <v>45692</v>
      </c>
      <c r="G845" s="5">
        <v>45695</v>
      </c>
      <c r="H845" s="3" t="s">
        <v>31</v>
      </c>
      <c r="I845" s="4" t="s">
        <v>75</v>
      </c>
      <c r="J845" s="3">
        <v>3</v>
      </c>
      <c r="K845" s="3" t="s">
        <v>114</v>
      </c>
      <c r="L845" s="3">
        <v>3</v>
      </c>
      <c r="M845" s="3">
        <v>6</v>
      </c>
      <c r="N845" s="3" t="s">
        <v>33</v>
      </c>
    </row>
    <row r="846" spans="1:14" x14ac:dyDescent="0.3">
      <c r="A846" s="7" t="s">
        <v>929</v>
      </c>
      <c r="B846" s="7" t="s">
        <v>25</v>
      </c>
      <c r="C846" s="7">
        <v>1</v>
      </c>
      <c r="D846" s="10">
        <v>83.6</v>
      </c>
      <c r="E846" s="10">
        <v>83.6</v>
      </c>
      <c r="F846" s="9">
        <v>45692</v>
      </c>
      <c r="G846" s="9">
        <v>45695</v>
      </c>
      <c r="H846" s="7" t="s">
        <v>31</v>
      </c>
      <c r="I846" s="8" t="s">
        <v>45</v>
      </c>
      <c r="J846" s="7">
        <v>3</v>
      </c>
      <c r="K846" s="7" t="s">
        <v>116</v>
      </c>
      <c r="L846" s="7">
        <v>3</v>
      </c>
      <c r="M846" s="7">
        <v>6</v>
      </c>
      <c r="N846" s="7" t="s">
        <v>33</v>
      </c>
    </row>
    <row r="847" spans="1:14" x14ac:dyDescent="0.3">
      <c r="A847" s="3" t="s">
        <v>930</v>
      </c>
      <c r="B847" s="3" t="s">
        <v>30</v>
      </c>
      <c r="C847" s="3">
        <v>6</v>
      </c>
      <c r="D847" s="6">
        <v>72.599999999999994</v>
      </c>
      <c r="E847" s="6">
        <v>435.6</v>
      </c>
      <c r="F847" s="5">
        <v>45692</v>
      </c>
      <c r="G847" s="5">
        <v>45693</v>
      </c>
      <c r="H847" s="3" t="s">
        <v>31</v>
      </c>
      <c r="I847" s="4" t="s">
        <v>21</v>
      </c>
      <c r="J847" s="3">
        <v>4</v>
      </c>
      <c r="K847" s="3" t="s">
        <v>121</v>
      </c>
      <c r="L847" s="3">
        <v>1</v>
      </c>
      <c r="M847" s="3">
        <v>6</v>
      </c>
      <c r="N847" s="3" t="s">
        <v>33</v>
      </c>
    </row>
    <row r="848" spans="1:14" x14ac:dyDescent="0.3">
      <c r="A848" s="7" t="s">
        <v>931</v>
      </c>
      <c r="B848" s="7" t="s">
        <v>42</v>
      </c>
      <c r="C848" s="7">
        <v>20</v>
      </c>
      <c r="D848" s="10">
        <v>69.099999999999994</v>
      </c>
      <c r="E848" s="10">
        <v>1382</v>
      </c>
      <c r="F848" s="9">
        <v>45693</v>
      </c>
      <c r="G848" s="9">
        <v>45699</v>
      </c>
      <c r="H848" s="7" t="s">
        <v>26</v>
      </c>
      <c r="I848" s="8" t="s">
        <v>21</v>
      </c>
      <c r="J848" s="7">
        <v>5</v>
      </c>
      <c r="K848" s="7" t="s">
        <v>121</v>
      </c>
      <c r="L848" s="7">
        <v>6</v>
      </c>
      <c r="M848" s="7">
        <v>6</v>
      </c>
      <c r="N848" s="7" t="s">
        <v>28</v>
      </c>
    </row>
    <row r="849" spans="1:14" x14ac:dyDescent="0.3">
      <c r="A849" s="3" t="s">
        <v>932</v>
      </c>
      <c r="B849" s="3" t="s">
        <v>37</v>
      </c>
      <c r="C849" s="3">
        <v>2</v>
      </c>
      <c r="D849" s="6">
        <v>22.6</v>
      </c>
      <c r="E849" s="6">
        <v>45.2</v>
      </c>
      <c r="F849" s="5">
        <v>45693</v>
      </c>
      <c r="G849" s="5">
        <v>45695</v>
      </c>
      <c r="H849" s="3" t="s">
        <v>31</v>
      </c>
      <c r="I849" s="4" t="s">
        <v>40</v>
      </c>
      <c r="J849" s="3">
        <v>5</v>
      </c>
      <c r="K849" s="3" t="s">
        <v>121</v>
      </c>
      <c r="L849" s="3">
        <v>2</v>
      </c>
      <c r="M849" s="3">
        <v>6</v>
      </c>
      <c r="N849" s="3" t="s">
        <v>33</v>
      </c>
    </row>
    <row r="850" spans="1:14" x14ac:dyDescent="0.3">
      <c r="A850" s="7" t="s">
        <v>933</v>
      </c>
      <c r="B850" s="7" t="s">
        <v>44</v>
      </c>
      <c r="C850" s="7">
        <v>2</v>
      </c>
      <c r="D850" s="10">
        <v>45.3</v>
      </c>
      <c r="E850" s="10">
        <v>90.6</v>
      </c>
      <c r="F850" s="9">
        <v>45693</v>
      </c>
      <c r="G850" s="9">
        <v>45697</v>
      </c>
      <c r="H850" s="7" t="s">
        <v>26</v>
      </c>
      <c r="I850" s="8" t="s">
        <v>75</v>
      </c>
      <c r="J850" s="7">
        <v>5</v>
      </c>
      <c r="K850" s="7" t="s">
        <v>121</v>
      </c>
      <c r="L850" s="7">
        <v>4</v>
      </c>
      <c r="M850" s="7">
        <v>6</v>
      </c>
      <c r="N850" s="7" t="s">
        <v>28</v>
      </c>
    </row>
    <row r="851" spans="1:14" x14ac:dyDescent="0.3">
      <c r="A851" s="3" t="s">
        <v>934</v>
      </c>
      <c r="B851" s="3" t="s">
        <v>30</v>
      </c>
      <c r="C851" s="3">
        <v>2</v>
      </c>
      <c r="D851" s="6">
        <v>115.1</v>
      </c>
      <c r="E851" s="6">
        <v>230.2</v>
      </c>
      <c r="F851" s="5">
        <v>45693</v>
      </c>
      <c r="G851" s="5">
        <v>45694</v>
      </c>
      <c r="H851" s="3" t="s">
        <v>31</v>
      </c>
      <c r="I851" s="4" t="s">
        <v>40</v>
      </c>
      <c r="J851" s="3">
        <v>4</v>
      </c>
      <c r="K851" s="3" t="s">
        <v>27</v>
      </c>
      <c r="L851" s="3">
        <v>1</v>
      </c>
      <c r="M851" s="3">
        <v>6</v>
      </c>
      <c r="N851" s="3" t="s">
        <v>33</v>
      </c>
    </row>
    <row r="852" spans="1:14" x14ac:dyDescent="0.3">
      <c r="A852" s="7" t="s">
        <v>935</v>
      </c>
      <c r="B852" s="7" t="s">
        <v>152</v>
      </c>
      <c r="C852" s="7">
        <v>4</v>
      </c>
      <c r="D852" s="10">
        <v>79</v>
      </c>
      <c r="E852" s="10">
        <v>316</v>
      </c>
      <c r="F852" s="9">
        <v>45693</v>
      </c>
      <c r="G852" s="9">
        <v>45695</v>
      </c>
      <c r="H852" s="7" t="s">
        <v>26</v>
      </c>
      <c r="I852" s="8" t="s">
        <v>45</v>
      </c>
      <c r="J852" s="7">
        <v>2</v>
      </c>
      <c r="K852" s="7" t="s">
        <v>27</v>
      </c>
      <c r="L852" s="7">
        <v>2</v>
      </c>
      <c r="M852" s="7">
        <v>6</v>
      </c>
      <c r="N852" s="7" t="s">
        <v>28</v>
      </c>
    </row>
    <row r="853" spans="1:14" x14ac:dyDescent="0.3">
      <c r="A853" s="3" t="s">
        <v>936</v>
      </c>
      <c r="B853" s="3" t="s">
        <v>44</v>
      </c>
      <c r="C853" s="3">
        <v>5</v>
      </c>
      <c r="D853" s="6">
        <v>52.8</v>
      </c>
      <c r="E853" s="6">
        <v>264</v>
      </c>
      <c r="F853" s="5">
        <v>45693</v>
      </c>
      <c r="G853" s="5">
        <v>45694</v>
      </c>
      <c r="H853" s="3" t="s">
        <v>31</v>
      </c>
      <c r="I853" s="4" t="s">
        <v>21</v>
      </c>
      <c r="J853" s="3">
        <v>4</v>
      </c>
      <c r="K853" s="3" t="s">
        <v>114</v>
      </c>
      <c r="L853" s="3">
        <v>1</v>
      </c>
      <c r="M853" s="3">
        <v>6</v>
      </c>
      <c r="N853" s="3" t="s">
        <v>33</v>
      </c>
    </row>
    <row r="854" spans="1:14" x14ac:dyDescent="0.3">
      <c r="A854" s="7" t="s">
        <v>937</v>
      </c>
      <c r="B854" s="7" t="s">
        <v>49</v>
      </c>
      <c r="C854" s="7">
        <v>2</v>
      </c>
      <c r="D854" s="10">
        <v>34.1</v>
      </c>
      <c r="E854" s="10">
        <v>68.2</v>
      </c>
      <c r="F854" s="9">
        <v>45693</v>
      </c>
      <c r="G854" s="9">
        <v>45694</v>
      </c>
      <c r="H854" s="7" t="s">
        <v>26</v>
      </c>
      <c r="I854" s="8" t="s">
        <v>56</v>
      </c>
      <c r="J854" s="7">
        <v>5</v>
      </c>
      <c r="K854" s="7" t="s">
        <v>119</v>
      </c>
      <c r="L854" s="7">
        <v>1</v>
      </c>
      <c r="M854" s="7">
        <v>6</v>
      </c>
      <c r="N854" s="7" t="s">
        <v>28</v>
      </c>
    </row>
    <row r="855" spans="1:14" x14ac:dyDescent="0.3">
      <c r="A855" s="3" t="s">
        <v>938</v>
      </c>
      <c r="B855" s="3" t="s">
        <v>44</v>
      </c>
      <c r="C855" s="3">
        <v>5</v>
      </c>
      <c r="D855" s="6">
        <v>107.9</v>
      </c>
      <c r="E855" s="6">
        <v>539.5</v>
      </c>
      <c r="F855" s="5">
        <v>45693</v>
      </c>
      <c r="G855" s="5">
        <v>45693</v>
      </c>
      <c r="H855" s="3" t="s">
        <v>31</v>
      </c>
      <c r="I855" s="4" t="s">
        <v>21</v>
      </c>
      <c r="J855" s="3">
        <v>5</v>
      </c>
      <c r="K855" s="3" t="s">
        <v>207</v>
      </c>
      <c r="L855" s="3">
        <v>0</v>
      </c>
      <c r="M855" s="3">
        <v>6</v>
      </c>
      <c r="N855" s="3" t="s">
        <v>33</v>
      </c>
    </row>
    <row r="856" spans="1:14" x14ac:dyDescent="0.3">
      <c r="A856" s="7" t="s">
        <v>939</v>
      </c>
      <c r="B856" s="7" t="s">
        <v>49</v>
      </c>
      <c r="C856" s="7">
        <v>13</v>
      </c>
      <c r="D856" s="10">
        <v>48.5</v>
      </c>
      <c r="E856" s="10">
        <v>630.5</v>
      </c>
      <c r="F856" s="9">
        <v>45693</v>
      </c>
      <c r="G856" s="9">
        <v>45693</v>
      </c>
      <c r="H856" s="7" t="s">
        <v>26</v>
      </c>
      <c r="I856" s="8" t="s">
        <v>45</v>
      </c>
      <c r="J856" s="7">
        <v>5</v>
      </c>
      <c r="K856" s="7" t="s">
        <v>38</v>
      </c>
      <c r="L856" s="7">
        <v>0</v>
      </c>
      <c r="M856" s="7">
        <v>6</v>
      </c>
      <c r="N856" s="7" t="s">
        <v>28</v>
      </c>
    </row>
    <row r="857" spans="1:14" x14ac:dyDescent="0.3">
      <c r="A857" s="3" t="s">
        <v>940</v>
      </c>
      <c r="B857" s="3" t="s">
        <v>42</v>
      </c>
      <c r="C857" s="3">
        <v>3</v>
      </c>
      <c r="D857" s="6">
        <v>34.700000000000003</v>
      </c>
      <c r="E857" s="6">
        <v>104.1</v>
      </c>
      <c r="F857" s="5">
        <v>45693</v>
      </c>
      <c r="G857" s="5">
        <v>45694</v>
      </c>
      <c r="H857" s="3"/>
      <c r="I857" s="4" t="s">
        <v>75</v>
      </c>
      <c r="J857" s="3">
        <v>3</v>
      </c>
      <c r="K857" s="3" t="s">
        <v>38</v>
      </c>
      <c r="L857" s="3">
        <v>1</v>
      </c>
      <c r="M857" s="3">
        <v>6</v>
      </c>
      <c r="N857" s="3" t="s">
        <v>23</v>
      </c>
    </row>
    <row r="858" spans="1:14" x14ac:dyDescent="0.3">
      <c r="A858" s="7" t="s">
        <v>941</v>
      </c>
      <c r="B858" s="7" t="s">
        <v>49</v>
      </c>
      <c r="C858" s="7">
        <v>1</v>
      </c>
      <c r="D858" s="10">
        <v>16.8</v>
      </c>
      <c r="E858" s="10">
        <v>16.8</v>
      </c>
      <c r="F858" s="9">
        <v>45693</v>
      </c>
      <c r="G858" s="9">
        <v>45695</v>
      </c>
      <c r="H858" s="7" t="s">
        <v>31</v>
      </c>
      <c r="I858" s="8" t="s">
        <v>56</v>
      </c>
      <c r="J858" s="7">
        <v>4</v>
      </c>
      <c r="K858" s="7" t="s">
        <v>38</v>
      </c>
      <c r="L858" s="7">
        <v>2</v>
      </c>
      <c r="M858" s="7">
        <v>6</v>
      </c>
      <c r="N858" s="7" t="s">
        <v>33</v>
      </c>
    </row>
    <row r="859" spans="1:14" x14ac:dyDescent="0.3">
      <c r="A859" s="3" t="s">
        <v>942</v>
      </c>
      <c r="B859" s="3" t="s">
        <v>49</v>
      </c>
      <c r="C859" s="3">
        <v>6</v>
      </c>
      <c r="D859" s="6">
        <v>18.3</v>
      </c>
      <c r="E859" s="6">
        <v>109.8</v>
      </c>
      <c r="F859" s="5">
        <v>45693</v>
      </c>
      <c r="G859" s="5">
        <v>45696</v>
      </c>
      <c r="H859" s="3" t="s">
        <v>31</v>
      </c>
      <c r="I859" s="4" t="s">
        <v>21</v>
      </c>
      <c r="J859" s="3">
        <v>4</v>
      </c>
      <c r="K859" s="3" t="s">
        <v>38</v>
      </c>
      <c r="L859" s="3">
        <v>3</v>
      </c>
      <c r="M859" s="3">
        <v>6</v>
      </c>
      <c r="N859" s="3" t="s">
        <v>33</v>
      </c>
    </row>
    <row r="860" spans="1:14" x14ac:dyDescent="0.3">
      <c r="A860" s="7" t="s">
        <v>943</v>
      </c>
      <c r="B860" s="7" t="s">
        <v>152</v>
      </c>
      <c r="C860" s="7">
        <v>3</v>
      </c>
      <c r="D860" s="10">
        <v>55.9</v>
      </c>
      <c r="E860" s="10">
        <v>167.7</v>
      </c>
      <c r="F860" s="9">
        <v>45693</v>
      </c>
      <c r="G860" s="9">
        <v>45699</v>
      </c>
      <c r="H860" s="7" t="s">
        <v>26</v>
      </c>
      <c r="I860" s="8" t="s">
        <v>56</v>
      </c>
      <c r="J860" s="7">
        <v>3</v>
      </c>
      <c r="K860" s="7" t="s">
        <v>38</v>
      </c>
      <c r="L860" s="7">
        <v>6</v>
      </c>
      <c r="M860" s="7">
        <v>6</v>
      </c>
      <c r="N860" s="7" t="s">
        <v>28</v>
      </c>
    </row>
    <row r="861" spans="1:14" x14ac:dyDescent="0.3">
      <c r="A861" s="3" t="s">
        <v>944</v>
      </c>
      <c r="B861" s="3" t="s">
        <v>49</v>
      </c>
      <c r="C861" s="3">
        <v>3</v>
      </c>
      <c r="D861" s="6">
        <v>39.200000000000003</v>
      </c>
      <c r="E861" s="6">
        <v>117.6</v>
      </c>
      <c r="F861" s="5">
        <v>45693</v>
      </c>
      <c r="G861" s="5">
        <v>45695</v>
      </c>
      <c r="H861" s="3" t="s">
        <v>31</v>
      </c>
      <c r="I861" s="4" t="s">
        <v>21</v>
      </c>
      <c r="J861" s="3">
        <v>3</v>
      </c>
      <c r="K861" s="3" t="s">
        <v>38</v>
      </c>
      <c r="L861" s="3">
        <v>2</v>
      </c>
      <c r="M861" s="3">
        <v>6</v>
      </c>
      <c r="N861" s="3" t="s">
        <v>33</v>
      </c>
    </row>
    <row r="862" spans="1:14" x14ac:dyDescent="0.3">
      <c r="A862" s="7" t="s">
        <v>945</v>
      </c>
      <c r="B862" s="7" t="s">
        <v>129</v>
      </c>
      <c r="C862" s="7">
        <v>4</v>
      </c>
      <c r="D862" s="10">
        <v>66.5</v>
      </c>
      <c r="E862" s="10">
        <v>266</v>
      </c>
      <c r="F862" s="9">
        <v>45693</v>
      </c>
      <c r="G862" s="9">
        <v>45695</v>
      </c>
      <c r="H862" s="7"/>
      <c r="I862" s="8" t="s">
        <v>56</v>
      </c>
      <c r="J862" s="7">
        <v>3</v>
      </c>
      <c r="K862" s="7" t="s">
        <v>38</v>
      </c>
      <c r="L862" s="7">
        <v>2</v>
      </c>
      <c r="M862" s="7">
        <v>6</v>
      </c>
      <c r="N862" s="7" t="s">
        <v>23</v>
      </c>
    </row>
    <row r="863" spans="1:14" x14ac:dyDescent="0.3">
      <c r="A863" s="3" t="s">
        <v>946</v>
      </c>
      <c r="B863" s="3" t="s">
        <v>44</v>
      </c>
      <c r="C863" s="3">
        <v>6</v>
      </c>
      <c r="D863" s="6">
        <v>52.1</v>
      </c>
      <c r="E863" s="6">
        <v>312.60000000000002</v>
      </c>
      <c r="F863" s="5">
        <v>45693</v>
      </c>
      <c r="G863" s="5">
        <v>45695</v>
      </c>
      <c r="H863" s="3" t="s">
        <v>26</v>
      </c>
      <c r="I863" s="4" t="s">
        <v>40</v>
      </c>
      <c r="J863" s="3">
        <v>3</v>
      </c>
      <c r="K863" s="3" t="s">
        <v>104</v>
      </c>
      <c r="L863" s="3">
        <v>2</v>
      </c>
      <c r="M863" s="3">
        <v>6</v>
      </c>
      <c r="N863" s="3" t="s">
        <v>28</v>
      </c>
    </row>
    <row r="864" spans="1:14" x14ac:dyDescent="0.3">
      <c r="A864" s="7" t="s">
        <v>947</v>
      </c>
      <c r="B864" s="7" t="s">
        <v>49</v>
      </c>
      <c r="C864" s="7">
        <v>2</v>
      </c>
      <c r="D864" s="10">
        <v>19</v>
      </c>
      <c r="E864" s="10">
        <v>38</v>
      </c>
      <c r="F864" s="9">
        <v>45693</v>
      </c>
      <c r="G864" s="9">
        <v>45694</v>
      </c>
      <c r="H864" s="7" t="s">
        <v>26</v>
      </c>
      <c r="I864" s="8" t="s">
        <v>75</v>
      </c>
      <c r="J864" s="7">
        <v>5</v>
      </c>
      <c r="K864" s="7" t="s">
        <v>60</v>
      </c>
      <c r="L864" s="7">
        <v>1</v>
      </c>
      <c r="M864" s="7">
        <v>6</v>
      </c>
      <c r="N864" s="7" t="s">
        <v>28</v>
      </c>
    </row>
    <row r="865" spans="1:14" x14ac:dyDescent="0.3">
      <c r="A865" s="3" t="s">
        <v>948</v>
      </c>
      <c r="B865" s="3" t="s">
        <v>47</v>
      </c>
      <c r="C865" s="3">
        <v>3</v>
      </c>
      <c r="D865" s="6">
        <v>84.8</v>
      </c>
      <c r="E865" s="6">
        <v>254.4</v>
      </c>
      <c r="F865" s="5">
        <v>45693</v>
      </c>
      <c r="G865" s="5">
        <v>45695</v>
      </c>
      <c r="H865" s="3" t="s">
        <v>31</v>
      </c>
      <c r="I865" s="4" t="s">
        <v>45</v>
      </c>
      <c r="J865" s="3">
        <v>4</v>
      </c>
      <c r="K865" s="3" t="s">
        <v>67</v>
      </c>
      <c r="L865" s="3">
        <v>2</v>
      </c>
      <c r="M865" s="3">
        <v>6</v>
      </c>
      <c r="N865" s="3" t="s">
        <v>33</v>
      </c>
    </row>
    <row r="866" spans="1:14" x14ac:dyDescent="0.3">
      <c r="A866" s="7" t="s">
        <v>949</v>
      </c>
      <c r="B866" s="7" t="s">
        <v>30</v>
      </c>
      <c r="C866" s="7">
        <v>4</v>
      </c>
      <c r="D866" s="10">
        <v>63.9</v>
      </c>
      <c r="E866" s="10">
        <v>255.6</v>
      </c>
      <c r="F866" s="9">
        <v>45693</v>
      </c>
      <c r="G866" s="9">
        <v>45696</v>
      </c>
      <c r="H866" s="7" t="s">
        <v>31</v>
      </c>
      <c r="I866" s="8" t="s">
        <v>21</v>
      </c>
      <c r="J866" s="7">
        <v>4</v>
      </c>
      <c r="K866" s="7" t="s">
        <v>67</v>
      </c>
      <c r="L866" s="7">
        <v>3</v>
      </c>
      <c r="M866" s="7">
        <v>6</v>
      </c>
      <c r="N866" s="7" t="s">
        <v>33</v>
      </c>
    </row>
    <row r="867" spans="1:14" x14ac:dyDescent="0.3">
      <c r="A867" s="3" t="s">
        <v>950</v>
      </c>
      <c r="B867" s="3" t="s">
        <v>30</v>
      </c>
      <c r="C867" s="3">
        <v>3</v>
      </c>
      <c r="D867" s="6">
        <v>65.5</v>
      </c>
      <c r="E867" s="6">
        <v>196.5</v>
      </c>
      <c r="F867" s="5">
        <v>45693</v>
      </c>
      <c r="G867" s="5">
        <v>45693</v>
      </c>
      <c r="H867" s="3" t="s">
        <v>31</v>
      </c>
      <c r="I867" s="4" t="s">
        <v>40</v>
      </c>
      <c r="J867" s="3">
        <v>3</v>
      </c>
      <c r="K867" s="3" t="s">
        <v>67</v>
      </c>
      <c r="L867" s="3">
        <v>0</v>
      </c>
      <c r="M867" s="3">
        <v>6</v>
      </c>
      <c r="N867" s="3" t="s">
        <v>33</v>
      </c>
    </row>
    <row r="868" spans="1:14" x14ac:dyDescent="0.3">
      <c r="A868" s="7" t="s">
        <v>951</v>
      </c>
      <c r="B868" s="7" t="s">
        <v>74</v>
      </c>
      <c r="C868" s="7">
        <v>2</v>
      </c>
      <c r="D868" s="10">
        <v>116.2</v>
      </c>
      <c r="E868" s="10">
        <v>232.4</v>
      </c>
      <c r="F868" s="9">
        <v>45693</v>
      </c>
      <c r="G868" s="9">
        <v>45699</v>
      </c>
      <c r="H868" s="7" t="s">
        <v>26</v>
      </c>
      <c r="I868" s="8" t="s">
        <v>56</v>
      </c>
      <c r="J868" s="7">
        <v>4</v>
      </c>
      <c r="K868" s="7" t="s">
        <v>109</v>
      </c>
      <c r="L868" s="7">
        <v>6</v>
      </c>
      <c r="M868" s="7">
        <v>6</v>
      </c>
      <c r="N868" s="7" t="s">
        <v>28</v>
      </c>
    </row>
    <row r="869" spans="1:14" x14ac:dyDescent="0.3">
      <c r="A869" s="3" t="s">
        <v>952</v>
      </c>
      <c r="B869" s="3" t="s">
        <v>59</v>
      </c>
      <c r="C869" s="3">
        <v>4</v>
      </c>
      <c r="D869" s="6">
        <v>22.9</v>
      </c>
      <c r="E869" s="6">
        <v>91.6</v>
      </c>
      <c r="F869" s="5">
        <v>45693</v>
      </c>
      <c r="G869" s="5">
        <v>45695</v>
      </c>
      <c r="H869" s="3" t="s">
        <v>31</v>
      </c>
      <c r="I869" s="4" t="s">
        <v>45</v>
      </c>
      <c r="J869" s="3">
        <v>3</v>
      </c>
      <c r="K869" s="3" t="s">
        <v>84</v>
      </c>
      <c r="L869" s="3">
        <v>2</v>
      </c>
      <c r="M869" s="3">
        <v>6</v>
      </c>
      <c r="N869" s="3" t="s">
        <v>33</v>
      </c>
    </row>
    <row r="870" spans="1:14" x14ac:dyDescent="0.3">
      <c r="A870" s="7" t="s">
        <v>953</v>
      </c>
      <c r="B870" s="7" t="s">
        <v>59</v>
      </c>
      <c r="C870" s="7">
        <v>3</v>
      </c>
      <c r="D870" s="10">
        <v>53.7</v>
      </c>
      <c r="E870" s="10">
        <v>161.1</v>
      </c>
      <c r="F870" s="9">
        <v>45693</v>
      </c>
      <c r="G870" s="9">
        <v>45694</v>
      </c>
      <c r="H870" s="7" t="s">
        <v>26</v>
      </c>
      <c r="I870" s="8" t="s">
        <v>21</v>
      </c>
      <c r="J870" s="7">
        <v>2</v>
      </c>
      <c r="K870" s="7" t="s">
        <v>114</v>
      </c>
      <c r="L870" s="7">
        <v>1</v>
      </c>
      <c r="M870" s="7">
        <v>6</v>
      </c>
      <c r="N870" s="7" t="s">
        <v>28</v>
      </c>
    </row>
    <row r="871" spans="1:14" x14ac:dyDescent="0.3">
      <c r="A871" s="3" t="s">
        <v>954</v>
      </c>
      <c r="B871" s="3" t="s">
        <v>44</v>
      </c>
      <c r="C871" s="3">
        <v>5</v>
      </c>
      <c r="D871" s="6">
        <v>43.2</v>
      </c>
      <c r="E871" s="6">
        <v>216</v>
      </c>
      <c r="F871" s="5">
        <v>45693</v>
      </c>
      <c r="G871" s="5">
        <v>45695</v>
      </c>
      <c r="H871" s="3" t="s">
        <v>31</v>
      </c>
      <c r="I871" s="4" t="s">
        <v>21</v>
      </c>
      <c r="J871" s="3">
        <v>4</v>
      </c>
      <c r="K871" s="3" t="s">
        <v>116</v>
      </c>
      <c r="L871" s="3">
        <v>2</v>
      </c>
      <c r="M871" s="3">
        <v>6</v>
      </c>
      <c r="N871" s="3" t="s">
        <v>33</v>
      </c>
    </row>
    <row r="872" spans="1:14" x14ac:dyDescent="0.3">
      <c r="A872" s="7" t="s">
        <v>955</v>
      </c>
      <c r="B872" s="7" t="s">
        <v>25</v>
      </c>
      <c r="C872" s="7">
        <v>3</v>
      </c>
      <c r="D872" s="10">
        <v>84.5</v>
      </c>
      <c r="E872" s="10">
        <v>253.5</v>
      </c>
      <c r="F872" s="9">
        <v>45693</v>
      </c>
      <c r="G872" s="9">
        <v>45695</v>
      </c>
      <c r="H872" s="7" t="s">
        <v>26</v>
      </c>
      <c r="I872" s="8" t="s">
        <v>45</v>
      </c>
      <c r="J872" s="7">
        <v>5</v>
      </c>
      <c r="K872" s="7" t="s">
        <v>214</v>
      </c>
      <c r="L872" s="7">
        <v>2</v>
      </c>
      <c r="M872" s="7">
        <v>6</v>
      </c>
      <c r="N872" s="7" t="s">
        <v>28</v>
      </c>
    </row>
    <row r="873" spans="1:14" x14ac:dyDescent="0.3">
      <c r="A873" s="3" t="s">
        <v>956</v>
      </c>
      <c r="B873" s="3" t="s">
        <v>35</v>
      </c>
      <c r="C873" s="3">
        <v>2</v>
      </c>
      <c r="D873" s="6">
        <v>42.2</v>
      </c>
      <c r="E873" s="6">
        <v>84.4</v>
      </c>
      <c r="F873" s="5">
        <v>45693</v>
      </c>
      <c r="G873" s="5">
        <v>45694</v>
      </c>
      <c r="H873" s="3" t="s">
        <v>31</v>
      </c>
      <c r="I873" s="4" t="s">
        <v>40</v>
      </c>
      <c r="J873" s="3">
        <v>5</v>
      </c>
      <c r="K873" s="3" t="s">
        <v>27</v>
      </c>
      <c r="L873" s="3">
        <v>1</v>
      </c>
      <c r="M873" s="3">
        <v>6</v>
      </c>
      <c r="N873" s="3" t="s">
        <v>33</v>
      </c>
    </row>
    <row r="874" spans="1:14" x14ac:dyDescent="0.3">
      <c r="A874" s="7" t="s">
        <v>957</v>
      </c>
      <c r="B874" s="7" t="s">
        <v>30</v>
      </c>
      <c r="C874" s="7">
        <v>6</v>
      </c>
      <c r="D874" s="10">
        <v>94.7</v>
      </c>
      <c r="E874" s="10">
        <v>568.20000000000005</v>
      </c>
      <c r="F874" s="9">
        <v>45693</v>
      </c>
      <c r="G874" s="9">
        <v>45696</v>
      </c>
      <c r="H874" s="7" t="s">
        <v>31</v>
      </c>
      <c r="I874" s="8" t="s">
        <v>40</v>
      </c>
      <c r="J874" s="7">
        <v>5</v>
      </c>
      <c r="K874" s="7" t="s">
        <v>32</v>
      </c>
      <c r="L874" s="7">
        <v>3</v>
      </c>
      <c r="M874" s="7">
        <v>6</v>
      </c>
      <c r="N874" s="7" t="s">
        <v>33</v>
      </c>
    </row>
    <row r="875" spans="1:14" x14ac:dyDescent="0.3">
      <c r="A875" s="3" t="s">
        <v>958</v>
      </c>
      <c r="B875" s="3" t="s">
        <v>49</v>
      </c>
      <c r="C875" s="3">
        <v>18</v>
      </c>
      <c r="D875" s="6">
        <v>16.7</v>
      </c>
      <c r="E875" s="6">
        <v>300.60000000000002</v>
      </c>
      <c r="F875" s="5">
        <v>45693</v>
      </c>
      <c r="G875" s="5">
        <v>45705</v>
      </c>
      <c r="H875" s="3" t="s">
        <v>31</v>
      </c>
      <c r="I875" s="4" t="s">
        <v>21</v>
      </c>
      <c r="J875" s="3">
        <v>5</v>
      </c>
      <c r="K875" s="3" t="s">
        <v>32</v>
      </c>
      <c r="L875" s="3">
        <v>12</v>
      </c>
      <c r="M875" s="3">
        <v>6</v>
      </c>
      <c r="N875" s="3" t="s">
        <v>33</v>
      </c>
    </row>
    <row r="876" spans="1:14" x14ac:dyDescent="0.3">
      <c r="A876" s="7" t="s">
        <v>959</v>
      </c>
      <c r="B876" s="7" t="s">
        <v>30</v>
      </c>
      <c r="C876" s="7">
        <v>2</v>
      </c>
      <c r="D876" s="10">
        <v>83.6</v>
      </c>
      <c r="E876" s="10">
        <v>167.2</v>
      </c>
      <c r="F876" s="9">
        <v>45693</v>
      </c>
      <c r="G876" s="9">
        <v>45699</v>
      </c>
      <c r="H876" s="7" t="s">
        <v>31</v>
      </c>
      <c r="I876" s="8" t="s">
        <v>40</v>
      </c>
      <c r="J876" s="7">
        <v>4</v>
      </c>
      <c r="K876" s="7" t="s">
        <v>38</v>
      </c>
      <c r="L876" s="7">
        <v>6</v>
      </c>
      <c r="M876" s="7">
        <v>6</v>
      </c>
      <c r="N876" s="7" t="s">
        <v>33</v>
      </c>
    </row>
    <row r="877" spans="1:14" x14ac:dyDescent="0.3">
      <c r="A877" s="3" t="s">
        <v>960</v>
      </c>
      <c r="B877" s="3" t="s">
        <v>47</v>
      </c>
      <c r="C877" s="3">
        <v>6</v>
      </c>
      <c r="D877" s="6">
        <v>33.6</v>
      </c>
      <c r="E877" s="6">
        <v>201.6</v>
      </c>
      <c r="F877" s="5">
        <v>45694</v>
      </c>
      <c r="G877" s="5">
        <v>45695</v>
      </c>
      <c r="H877" s="3" t="s">
        <v>31</v>
      </c>
      <c r="I877" s="4" t="s">
        <v>56</v>
      </c>
      <c r="J877" s="3">
        <v>4</v>
      </c>
      <c r="K877" s="3" t="s">
        <v>38</v>
      </c>
      <c r="L877" s="3">
        <v>1</v>
      </c>
      <c r="M877" s="3">
        <v>6</v>
      </c>
      <c r="N877" s="3" t="s">
        <v>33</v>
      </c>
    </row>
    <row r="878" spans="1:14" x14ac:dyDescent="0.3">
      <c r="A878" s="7" t="s">
        <v>961</v>
      </c>
      <c r="B878" s="7" t="s">
        <v>47</v>
      </c>
      <c r="C878" s="7">
        <v>2</v>
      </c>
      <c r="D878" s="10">
        <v>64.7</v>
      </c>
      <c r="E878" s="10">
        <v>129.4</v>
      </c>
      <c r="F878" s="9">
        <v>45694</v>
      </c>
      <c r="G878" s="9">
        <v>45696</v>
      </c>
      <c r="H878" s="7" t="s">
        <v>26</v>
      </c>
      <c r="I878" s="8" t="s">
        <v>40</v>
      </c>
      <c r="J878" s="7">
        <v>5</v>
      </c>
      <c r="K878" s="7" t="s">
        <v>38</v>
      </c>
      <c r="L878" s="7">
        <v>2</v>
      </c>
      <c r="M878" s="7">
        <v>6</v>
      </c>
      <c r="N878" s="7" t="s">
        <v>28</v>
      </c>
    </row>
    <row r="879" spans="1:14" x14ac:dyDescent="0.3">
      <c r="A879" s="3" t="s">
        <v>962</v>
      </c>
      <c r="B879" s="3" t="s">
        <v>20</v>
      </c>
      <c r="C879" s="3">
        <v>3</v>
      </c>
      <c r="D879" s="6">
        <v>15.7</v>
      </c>
      <c r="E879" s="6">
        <v>47.099999999999987</v>
      </c>
      <c r="F879" s="5">
        <v>45694</v>
      </c>
      <c r="G879" s="5">
        <v>45700</v>
      </c>
      <c r="H879" s="3" t="s">
        <v>31</v>
      </c>
      <c r="I879" s="4" t="s">
        <v>21</v>
      </c>
      <c r="J879" s="3">
        <v>4</v>
      </c>
      <c r="K879" s="3" t="s">
        <v>38</v>
      </c>
      <c r="L879" s="3">
        <v>6</v>
      </c>
      <c r="M879" s="3">
        <v>6</v>
      </c>
      <c r="N879" s="3" t="s">
        <v>33</v>
      </c>
    </row>
    <row r="880" spans="1:14" x14ac:dyDescent="0.3">
      <c r="A880" s="7" t="s">
        <v>963</v>
      </c>
      <c r="B880" s="7" t="s">
        <v>129</v>
      </c>
      <c r="C880" s="7">
        <v>6</v>
      </c>
      <c r="D880" s="10">
        <v>49.4</v>
      </c>
      <c r="E880" s="10">
        <v>296.39999999999998</v>
      </c>
      <c r="F880" s="9">
        <v>45694</v>
      </c>
      <c r="G880" s="9">
        <v>45694</v>
      </c>
      <c r="H880" s="7" t="s">
        <v>26</v>
      </c>
      <c r="I880" s="8" t="s">
        <v>40</v>
      </c>
      <c r="J880" s="7">
        <v>4</v>
      </c>
      <c r="K880" s="7" t="s">
        <v>38</v>
      </c>
      <c r="L880" s="7">
        <v>0</v>
      </c>
      <c r="M880" s="7">
        <v>6</v>
      </c>
      <c r="N880" s="7" t="s">
        <v>28</v>
      </c>
    </row>
    <row r="881" spans="1:14" x14ac:dyDescent="0.3">
      <c r="A881" s="3" t="s">
        <v>964</v>
      </c>
      <c r="B881" s="3" t="s">
        <v>59</v>
      </c>
      <c r="C881" s="3">
        <v>6</v>
      </c>
      <c r="D881" s="6">
        <v>37</v>
      </c>
      <c r="E881" s="6">
        <v>222</v>
      </c>
      <c r="F881" s="5">
        <v>45694</v>
      </c>
      <c r="G881" s="5">
        <v>45697</v>
      </c>
      <c r="H881" s="3" t="s">
        <v>31</v>
      </c>
      <c r="I881" s="4" t="s">
        <v>40</v>
      </c>
      <c r="J881" s="3">
        <v>5</v>
      </c>
      <c r="K881" s="3" t="s">
        <v>38</v>
      </c>
      <c r="L881" s="3">
        <v>3</v>
      </c>
      <c r="M881" s="3">
        <v>6</v>
      </c>
      <c r="N881" s="3" t="s">
        <v>33</v>
      </c>
    </row>
    <row r="882" spans="1:14" x14ac:dyDescent="0.3">
      <c r="A882" s="7" t="s">
        <v>965</v>
      </c>
      <c r="B882" s="7" t="s">
        <v>30</v>
      </c>
      <c r="C882" s="7">
        <v>2</v>
      </c>
      <c r="D882" s="10">
        <v>83.7</v>
      </c>
      <c r="E882" s="10">
        <v>167.4</v>
      </c>
      <c r="F882" s="9">
        <v>45694</v>
      </c>
      <c r="G882" s="9">
        <v>45696</v>
      </c>
      <c r="H882" s="7" t="s">
        <v>31</v>
      </c>
      <c r="I882" s="8" t="s">
        <v>56</v>
      </c>
      <c r="J882" s="7">
        <v>5</v>
      </c>
      <c r="K882" s="7" t="s">
        <v>38</v>
      </c>
      <c r="L882" s="7">
        <v>2</v>
      </c>
      <c r="M882" s="7">
        <v>6</v>
      </c>
      <c r="N882" s="7" t="s">
        <v>33</v>
      </c>
    </row>
    <row r="883" spans="1:14" x14ac:dyDescent="0.3">
      <c r="A883" s="3" t="s">
        <v>966</v>
      </c>
      <c r="B883" s="3" t="s">
        <v>25</v>
      </c>
      <c r="C883" s="3">
        <v>5</v>
      </c>
      <c r="D883" s="6">
        <v>35.1</v>
      </c>
      <c r="E883" s="6">
        <v>175.5</v>
      </c>
      <c r="F883" s="5">
        <v>45694</v>
      </c>
      <c r="G883" s="5">
        <v>45695</v>
      </c>
      <c r="H883" s="3" t="s">
        <v>31</v>
      </c>
      <c r="I883" s="4" t="s">
        <v>21</v>
      </c>
      <c r="J883" s="3">
        <v>4</v>
      </c>
      <c r="K883" s="3" t="s">
        <v>38</v>
      </c>
      <c r="L883" s="3">
        <v>1</v>
      </c>
      <c r="M883" s="3">
        <v>6</v>
      </c>
      <c r="N883" s="3" t="s">
        <v>33</v>
      </c>
    </row>
    <row r="884" spans="1:14" x14ac:dyDescent="0.3">
      <c r="A884" s="7" t="s">
        <v>967</v>
      </c>
      <c r="B884" s="7" t="s">
        <v>134</v>
      </c>
      <c r="C884" s="7">
        <v>8</v>
      </c>
      <c r="D884" s="10">
        <v>74</v>
      </c>
      <c r="E884" s="10">
        <v>592</v>
      </c>
      <c r="F884" s="9">
        <v>45694</v>
      </c>
      <c r="G884" s="9">
        <v>45695</v>
      </c>
      <c r="H884" s="7" t="s">
        <v>31</v>
      </c>
      <c r="I884" s="8" t="s">
        <v>75</v>
      </c>
      <c r="J884" s="7">
        <v>4</v>
      </c>
      <c r="K884" s="7" t="s">
        <v>79</v>
      </c>
      <c r="L884" s="7">
        <v>1</v>
      </c>
      <c r="M884" s="7">
        <v>6</v>
      </c>
      <c r="N884" s="7" t="s">
        <v>33</v>
      </c>
    </row>
    <row r="885" spans="1:14" x14ac:dyDescent="0.3">
      <c r="A885" s="3" t="s">
        <v>968</v>
      </c>
      <c r="B885" s="3" t="s">
        <v>44</v>
      </c>
      <c r="C885" s="3">
        <v>24</v>
      </c>
      <c r="D885" s="6">
        <v>55.5</v>
      </c>
      <c r="E885" s="6">
        <v>1332</v>
      </c>
      <c r="F885" s="5">
        <v>45694</v>
      </c>
      <c r="G885" s="5">
        <v>45697</v>
      </c>
      <c r="H885" s="3" t="s">
        <v>26</v>
      </c>
      <c r="I885" s="4" t="s">
        <v>56</v>
      </c>
      <c r="J885" s="3">
        <v>4</v>
      </c>
      <c r="K885" s="3" t="s">
        <v>194</v>
      </c>
      <c r="L885" s="3">
        <v>3</v>
      </c>
      <c r="M885" s="3">
        <v>6</v>
      </c>
      <c r="N885" s="3" t="s">
        <v>28</v>
      </c>
    </row>
    <row r="886" spans="1:14" x14ac:dyDescent="0.3">
      <c r="A886" s="7" t="s">
        <v>969</v>
      </c>
      <c r="B886" s="7" t="s">
        <v>72</v>
      </c>
      <c r="C886" s="7">
        <v>2</v>
      </c>
      <c r="D886" s="10">
        <v>38.9</v>
      </c>
      <c r="E886" s="10">
        <v>77.8</v>
      </c>
      <c r="F886" s="9">
        <v>45694</v>
      </c>
      <c r="G886" s="9">
        <v>45696</v>
      </c>
      <c r="H886" s="7" t="s">
        <v>31</v>
      </c>
      <c r="I886" s="8" t="s">
        <v>40</v>
      </c>
      <c r="J886" s="7">
        <v>5</v>
      </c>
      <c r="K886" s="7" t="s">
        <v>194</v>
      </c>
      <c r="L886" s="7">
        <v>2</v>
      </c>
      <c r="M886" s="7">
        <v>6</v>
      </c>
      <c r="N886" s="7" t="s">
        <v>33</v>
      </c>
    </row>
    <row r="887" spans="1:14" x14ac:dyDescent="0.3">
      <c r="A887" s="3" t="s">
        <v>970</v>
      </c>
      <c r="B887" s="3" t="s">
        <v>134</v>
      </c>
      <c r="C887" s="3">
        <v>2</v>
      </c>
      <c r="D887" s="6">
        <v>64.599999999999994</v>
      </c>
      <c r="E887" s="6">
        <v>129.19999999999999</v>
      </c>
      <c r="F887" s="5">
        <v>45694</v>
      </c>
      <c r="G887" s="5">
        <v>45701</v>
      </c>
      <c r="H887" s="3" t="s">
        <v>26</v>
      </c>
      <c r="I887" s="4" t="s">
        <v>45</v>
      </c>
      <c r="J887" s="3">
        <v>3</v>
      </c>
      <c r="K887" s="3" t="s">
        <v>194</v>
      </c>
      <c r="L887" s="3">
        <v>7</v>
      </c>
      <c r="M887" s="3">
        <v>6</v>
      </c>
      <c r="N887" s="3" t="s">
        <v>28</v>
      </c>
    </row>
    <row r="888" spans="1:14" x14ac:dyDescent="0.3">
      <c r="A888" s="7" t="s">
        <v>971</v>
      </c>
      <c r="B888" s="7" t="s">
        <v>30</v>
      </c>
      <c r="C888" s="7">
        <v>3</v>
      </c>
      <c r="D888" s="10">
        <v>95.3</v>
      </c>
      <c r="E888" s="10">
        <v>285.89999999999998</v>
      </c>
      <c r="F888" s="9">
        <v>45694</v>
      </c>
      <c r="G888" s="9">
        <v>45695</v>
      </c>
      <c r="H888" s="7" t="s">
        <v>26</v>
      </c>
      <c r="I888" s="8" t="s">
        <v>21</v>
      </c>
      <c r="J888" s="7">
        <v>4</v>
      </c>
      <c r="K888" s="7" t="s">
        <v>57</v>
      </c>
      <c r="L888" s="7">
        <v>1</v>
      </c>
      <c r="M888" s="7">
        <v>6</v>
      </c>
      <c r="N888" s="7" t="s">
        <v>28</v>
      </c>
    </row>
    <row r="889" spans="1:14" x14ac:dyDescent="0.3">
      <c r="A889" s="3" t="s">
        <v>972</v>
      </c>
      <c r="B889" s="3" t="s">
        <v>81</v>
      </c>
      <c r="C889" s="3">
        <v>3</v>
      </c>
      <c r="D889" s="6">
        <v>25.8</v>
      </c>
      <c r="E889" s="6">
        <v>77.400000000000006</v>
      </c>
      <c r="F889" s="5">
        <v>45694</v>
      </c>
      <c r="G889" s="5">
        <v>45695</v>
      </c>
      <c r="H889" s="3" t="s">
        <v>31</v>
      </c>
      <c r="I889" s="4" t="s">
        <v>40</v>
      </c>
      <c r="J889" s="3">
        <v>3</v>
      </c>
      <c r="K889" s="3" t="s">
        <v>60</v>
      </c>
      <c r="L889" s="3">
        <v>1</v>
      </c>
      <c r="M889" s="3">
        <v>6</v>
      </c>
      <c r="N889" s="3" t="s">
        <v>33</v>
      </c>
    </row>
    <row r="890" spans="1:14" x14ac:dyDescent="0.3">
      <c r="A890" s="7" t="s">
        <v>973</v>
      </c>
      <c r="B890" s="7" t="s">
        <v>20</v>
      </c>
      <c r="C890" s="7">
        <v>2</v>
      </c>
      <c r="D890" s="10">
        <v>11.6</v>
      </c>
      <c r="E890" s="10">
        <v>23.2</v>
      </c>
      <c r="F890" s="9">
        <v>45694</v>
      </c>
      <c r="G890" s="9">
        <v>45698</v>
      </c>
      <c r="H890" s="7" t="s">
        <v>31</v>
      </c>
      <c r="I890" s="8" t="s">
        <v>40</v>
      </c>
      <c r="J890" s="7">
        <v>3</v>
      </c>
      <c r="K890" s="7" t="s">
        <v>60</v>
      </c>
      <c r="L890" s="7">
        <v>4</v>
      </c>
      <c r="M890" s="7">
        <v>6</v>
      </c>
      <c r="N890" s="7" t="s">
        <v>33</v>
      </c>
    </row>
    <row r="891" spans="1:14" x14ac:dyDescent="0.3">
      <c r="A891" s="3" t="s">
        <v>974</v>
      </c>
      <c r="B891" s="3" t="s">
        <v>47</v>
      </c>
      <c r="C891" s="3">
        <v>1</v>
      </c>
      <c r="D891" s="6">
        <v>52.3</v>
      </c>
      <c r="E891" s="6">
        <v>52.3</v>
      </c>
      <c r="F891" s="5">
        <v>45694</v>
      </c>
      <c r="G891" s="5">
        <v>45695</v>
      </c>
      <c r="H891" s="3" t="s">
        <v>31</v>
      </c>
      <c r="I891" s="4" t="s">
        <v>40</v>
      </c>
      <c r="J891" s="3">
        <v>4</v>
      </c>
      <c r="K891" s="3" t="s">
        <v>67</v>
      </c>
      <c r="L891" s="3">
        <v>1</v>
      </c>
      <c r="M891" s="3">
        <v>6</v>
      </c>
      <c r="N891" s="3" t="s">
        <v>33</v>
      </c>
    </row>
    <row r="892" spans="1:14" x14ac:dyDescent="0.3">
      <c r="A892" s="7" t="s">
        <v>975</v>
      </c>
      <c r="B892" s="7" t="s">
        <v>30</v>
      </c>
      <c r="C892" s="7">
        <v>10</v>
      </c>
      <c r="D892" s="10">
        <v>112.2</v>
      </c>
      <c r="E892" s="10">
        <v>1122</v>
      </c>
      <c r="F892" s="9">
        <v>45694</v>
      </c>
      <c r="G892" s="9">
        <v>45695</v>
      </c>
      <c r="H892" s="7" t="s">
        <v>31</v>
      </c>
      <c r="I892" s="8" t="s">
        <v>40</v>
      </c>
      <c r="J892" s="7">
        <v>3</v>
      </c>
      <c r="K892" s="7" t="s">
        <v>67</v>
      </c>
      <c r="L892" s="7">
        <v>1</v>
      </c>
      <c r="M892" s="7">
        <v>6</v>
      </c>
      <c r="N892" s="7" t="s">
        <v>33</v>
      </c>
    </row>
    <row r="893" spans="1:14" x14ac:dyDescent="0.3">
      <c r="A893" s="3" t="s">
        <v>976</v>
      </c>
      <c r="B893" s="3" t="s">
        <v>37</v>
      </c>
      <c r="C893" s="3">
        <v>5</v>
      </c>
      <c r="D893" s="6">
        <v>34.6</v>
      </c>
      <c r="E893" s="6">
        <v>173</v>
      </c>
      <c r="F893" s="5">
        <v>45694</v>
      </c>
      <c r="G893" s="5">
        <v>45696</v>
      </c>
      <c r="H893" s="3" t="s">
        <v>26</v>
      </c>
      <c r="I893" s="4" t="s">
        <v>45</v>
      </c>
      <c r="J893" s="3">
        <v>4</v>
      </c>
      <c r="K893" s="3" t="s">
        <v>67</v>
      </c>
      <c r="L893" s="3">
        <v>2</v>
      </c>
      <c r="M893" s="3">
        <v>6</v>
      </c>
      <c r="N893" s="3" t="s">
        <v>28</v>
      </c>
    </row>
    <row r="894" spans="1:14" x14ac:dyDescent="0.3">
      <c r="A894" s="7" t="s">
        <v>977</v>
      </c>
      <c r="B894" s="7" t="s">
        <v>86</v>
      </c>
      <c r="C894" s="7">
        <v>4</v>
      </c>
      <c r="D894" s="10">
        <v>20.100000000000001</v>
      </c>
      <c r="E894" s="10">
        <v>80.400000000000006</v>
      </c>
      <c r="F894" s="9">
        <v>45694</v>
      </c>
      <c r="G894" s="9">
        <v>45700</v>
      </c>
      <c r="H894" s="7" t="s">
        <v>26</v>
      </c>
      <c r="I894" s="8" t="s">
        <v>40</v>
      </c>
      <c r="J894" s="7">
        <v>5</v>
      </c>
      <c r="K894" s="7" t="s">
        <v>67</v>
      </c>
      <c r="L894" s="7">
        <v>6</v>
      </c>
      <c r="M894" s="7">
        <v>6</v>
      </c>
      <c r="N894" s="7" t="s">
        <v>28</v>
      </c>
    </row>
    <row r="895" spans="1:14" x14ac:dyDescent="0.3">
      <c r="A895" s="3" t="s">
        <v>978</v>
      </c>
      <c r="B895" s="3" t="s">
        <v>30</v>
      </c>
      <c r="C895" s="3">
        <v>4</v>
      </c>
      <c r="D895" s="6">
        <v>56.4</v>
      </c>
      <c r="E895" s="6">
        <v>225.6</v>
      </c>
      <c r="F895" s="5">
        <v>45694</v>
      </c>
      <c r="G895" s="5">
        <v>45696</v>
      </c>
      <c r="H895" s="3" t="s">
        <v>31</v>
      </c>
      <c r="I895" s="4" t="s">
        <v>45</v>
      </c>
      <c r="J895" s="3">
        <v>4</v>
      </c>
      <c r="K895" s="3" t="s">
        <v>79</v>
      </c>
      <c r="L895" s="3">
        <v>2</v>
      </c>
      <c r="M895" s="3">
        <v>6</v>
      </c>
      <c r="N895" s="3" t="s">
        <v>33</v>
      </c>
    </row>
    <row r="896" spans="1:14" x14ac:dyDescent="0.3">
      <c r="A896" s="7" t="s">
        <v>979</v>
      </c>
      <c r="B896" s="7" t="s">
        <v>81</v>
      </c>
      <c r="C896" s="7">
        <v>9</v>
      </c>
      <c r="D896" s="10">
        <v>55.3</v>
      </c>
      <c r="E896" s="10">
        <v>497.7</v>
      </c>
      <c r="F896" s="9">
        <v>45694</v>
      </c>
      <c r="G896" s="9">
        <v>45696</v>
      </c>
      <c r="H896" s="7" t="s">
        <v>31</v>
      </c>
      <c r="I896" s="8" t="s">
        <v>40</v>
      </c>
      <c r="J896" s="7">
        <v>2</v>
      </c>
      <c r="K896" s="7" t="s">
        <v>82</v>
      </c>
      <c r="L896" s="7">
        <v>2</v>
      </c>
      <c r="M896" s="7">
        <v>6</v>
      </c>
      <c r="N896" s="7" t="s">
        <v>33</v>
      </c>
    </row>
    <row r="897" spans="1:14" x14ac:dyDescent="0.3">
      <c r="A897" s="3" t="s">
        <v>980</v>
      </c>
      <c r="B897" s="3" t="s">
        <v>30</v>
      </c>
      <c r="C897" s="3">
        <v>28</v>
      </c>
      <c r="D897" s="6">
        <v>75.5</v>
      </c>
      <c r="E897" s="6">
        <v>2114</v>
      </c>
      <c r="F897" s="5">
        <v>45694</v>
      </c>
      <c r="G897" s="5">
        <v>45695</v>
      </c>
      <c r="H897" s="3" t="s">
        <v>31</v>
      </c>
      <c r="I897" s="4" t="s">
        <v>21</v>
      </c>
      <c r="J897" s="3">
        <v>4</v>
      </c>
      <c r="K897" s="3" t="s">
        <v>82</v>
      </c>
      <c r="L897" s="3">
        <v>1</v>
      </c>
      <c r="M897" s="3">
        <v>6</v>
      </c>
      <c r="N897" s="3" t="s">
        <v>33</v>
      </c>
    </row>
    <row r="898" spans="1:14" x14ac:dyDescent="0.3">
      <c r="A898" s="7" t="s">
        <v>981</v>
      </c>
      <c r="B898" s="7" t="s">
        <v>49</v>
      </c>
      <c r="C898" s="7">
        <v>1</v>
      </c>
      <c r="D898" s="10">
        <v>23.6</v>
      </c>
      <c r="E898" s="10">
        <v>23.6</v>
      </c>
      <c r="F898" s="9">
        <v>45694</v>
      </c>
      <c r="G898" s="9">
        <v>45699</v>
      </c>
      <c r="H898" s="7" t="s">
        <v>31</v>
      </c>
      <c r="I898" s="8" t="s">
        <v>21</v>
      </c>
      <c r="J898" s="7">
        <v>4</v>
      </c>
      <c r="K898" s="7" t="s">
        <v>116</v>
      </c>
      <c r="L898" s="7">
        <v>5</v>
      </c>
      <c r="M898" s="7">
        <v>6</v>
      </c>
      <c r="N898" s="7" t="s">
        <v>33</v>
      </c>
    </row>
    <row r="899" spans="1:14" x14ac:dyDescent="0.3">
      <c r="A899" s="3" t="s">
        <v>982</v>
      </c>
      <c r="B899" s="3" t="s">
        <v>51</v>
      </c>
      <c r="C899" s="3">
        <v>2</v>
      </c>
      <c r="D899" s="6">
        <v>70.7</v>
      </c>
      <c r="E899" s="6">
        <v>141.4</v>
      </c>
      <c r="F899" s="5">
        <v>45694</v>
      </c>
      <c r="G899" s="5">
        <v>45696</v>
      </c>
      <c r="H899" s="3" t="s">
        <v>31</v>
      </c>
      <c r="I899" s="4" t="s">
        <v>45</v>
      </c>
      <c r="J899" s="3">
        <v>4</v>
      </c>
      <c r="K899" s="3" t="s">
        <v>116</v>
      </c>
      <c r="L899" s="3">
        <v>2</v>
      </c>
      <c r="M899" s="3">
        <v>6</v>
      </c>
      <c r="N899" s="3" t="s">
        <v>33</v>
      </c>
    </row>
    <row r="900" spans="1:14" x14ac:dyDescent="0.3">
      <c r="A900" s="7" t="s">
        <v>983</v>
      </c>
      <c r="B900" s="7" t="s">
        <v>74</v>
      </c>
      <c r="C900" s="7">
        <v>2</v>
      </c>
      <c r="D900" s="10">
        <v>43.2</v>
      </c>
      <c r="E900" s="10">
        <v>86.4</v>
      </c>
      <c r="F900" s="9">
        <v>45694</v>
      </c>
      <c r="G900" s="9">
        <v>45695</v>
      </c>
      <c r="H900" s="7" t="s">
        <v>31</v>
      </c>
      <c r="I900" s="8" t="s">
        <v>45</v>
      </c>
      <c r="J900" s="7">
        <v>4</v>
      </c>
      <c r="K900" s="7" t="s">
        <v>298</v>
      </c>
      <c r="L900" s="7">
        <v>1</v>
      </c>
      <c r="M900" s="7">
        <v>6</v>
      </c>
      <c r="N900" s="7" t="s">
        <v>33</v>
      </c>
    </row>
    <row r="901" spans="1:14" x14ac:dyDescent="0.3">
      <c r="A901" s="3" t="s">
        <v>984</v>
      </c>
      <c r="B901" s="3" t="s">
        <v>51</v>
      </c>
      <c r="C901" s="3">
        <v>9</v>
      </c>
      <c r="D901" s="6">
        <v>70</v>
      </c>
      <c r="E901" s="6">
        <v>630</v>
      </c>
      <c r="F901" s="5">
        <v>45694</v>
      </c>
      <c r="G901" s="5">
        <v>45695</v>
      </c>
      <c r="H901" s="3"/>
      <c r="I901" s="4" t="s">
        <v>40</v>
      </c>
      <c r="J901" s="3">
        <v>4</v>
      </c>
      <c r="K901" s="3" t="s">
        <v>249</v>
      </c>
      <c r="L901" s="3">
        <v>1</v>
      </c>
      <c r="M901" s="3">
        <v>6</v>
      </c>
      <c r="N901" s="3" t="s">
        <v>23</v>
      </c>
    </row>
    <row r="902" spans="1:14" x14ac:dyDescent="0.3">
      <c r="A902" s="7" t="s">
        <v>985</v>
      </c>
      <c r="B902" s="7" t="s">
        <v>20</v>
      </c>
      <c r="C902" s="7">
        <v>2</v>
      </c>
      <c r="D902" s="10">
        <v>20.5</v>
      </c>
      <c r="E902" s="10">
        <v>41</v>
      </c>
      <c r="F902" s="9">
        <v>45694</v>
      </c>
      <c r="G902" s="9">
        <v>45696</v>
      </c>
      <c r="H902" s="7" t="s">
        <v>31</v>
      </c>
      <c r="I902" s="8" t="s">
        <v>45</v>
      </c>
      <c r="J902" s="7">
        <v>2</v>
      </c>
      <c r="K902" s="7" t="s">
        <v>87</v>
      </c>
      <c r="L902" s="7">
        <v>2</v>
      </c>
      <c r="M902" s="7">
        <v>6</v>
      </c>
      <c r="N902" s="7" t="s">
        <v>33</v>
      </c>
    </row>
    <row r="903" spans="1:14" x14ac:dyDescent="0.3">
      <c r="A903" s="3" t="s">
        <v>986</v>
      </c>
      <c r="B903" s="3" t="s">
        <v>20</v>
      </c>
      <c r="C903" s="3">
        <v>4</v>
      </c>
      <c r="D903" s="6">
        <v>29.1</v>
      </c>
      <c r="E903" s="6">
        <v>116.4</v>
      </c>
      <c r="F903" s="5">
        <v>45694</v>
      </c>
      <c r="G903" s="5">
        <v>45695</v>
      </c>
      <c r="H903" s="3" t="s">
        <v>31</v>
      </c>
      <c r="I903" s="4" t="s">
        <v>56</v>
      </c>
      <c r="J903" s="3">
        <v>4</v>
      </c>
      <c r="K903" s="3" t="s">
        <v>249</v>
      </c>
      <c r="L903" s="3">
        <v>1</v>
      </c>
      <c r="M903" s="3">
        <v>6</v>
      </c>
      <c r="N903" s="3" t="s">
        <v>33</v>
      </c>
    </row>
    <row r="904" spans="1:14" x14ac:dyDescent="0.3">
      <c r="A904" s="7" t="s">
        <v>987</v>
      </c>
      <c r="B904" s="7" t="s">
        <v>44</v>
      </c>
      <c r="C904" s="7">
        <v>9</v>
      </c>
      <c r="D904" s="10">
        <v>53.6</v>
      </c>
      <c r="E904" s="10">
        <v>482.4</v>
      </c>
      <c r="F904" s="9">
        <v>45694</v>
      </c>
      <c r="G904" s="9">
        <v>45695</v>
      </c>
      <c r="H904" s="7" t="s">
        <v>26</v>
      </c>
      <c r="I904" s="8" t="s">
        <v>45</v>
      </c>
      <c r="J904" s="7">
        <v>3</v>
      </c>
      <c r="K904" s="7" t="s">
        <v>38</v>
      </c>
      <c r="L904" s="7">
        <v>1</v>
      </c>
      <c r="M904" s="7">
        <v>6</v>
      </c>
      <c r="N904" s="7" t="s">
        <v>28</v>
      </c>
    </row>
    <row r="905" spans="1:14" x14ac:dyDescent="0.3">
      <c r="A905" s="3" t="s">
        <v>988</v>
      </c>
      <c r="B905" s="3" t="s">
        <v>44</v>
      </c>
      <c r="C905" s="3">
        <v>5</v>
      </c>
      <c r="D905" s="6">
        <v>72.3</v>
      </c>
      <c r="E905" s="6">
        <v>361.5</v>
      </c>
      <c r="F905" s="5">
        <v>45694</v>
      </c>
      <c r="G905" s="5">
        <v>45696</v>
      </c>
      <c r="H905" s="3" t="s">
        <v>31</v>
      </c>
      <c r="I905" s="4" t="s">
        <v>40</v>
      </c>
      <c r="J905" s="3">
        <v>4</v>
      </c>
      <c r="K905" s="3" t="s">
        <v>38</v>
      </c>
      <c r="L905" s="3">
        <v>2</v>
      </c>
      <c r="M905" s="3">
        <v>6</v>
      </c>
      <c r="N905" s="3" t="s">
        <v>33</v>
      </c>
    </row>
    <row r="906" spans="1:14" x14ac:dyDescent="0.3">
      <c r="A906" s="7" t="s">
        <v>989</v>
      </c>
      <c r="B906" s="7" t="s">
        <v>81</v>
      </c>
      <c r="C906" s="7">
        <v>4</v>
      </c>
      <c r="D906" s="10">
        <v>22.6</v>
      </c>
      <c r="E906" s="10">
        <v>90.4</v>
      </c>
      <c r="F906" s="9">
        <v>45694</v>
      </c>
      <c r="G906" s="9">
        <v>45697</v>
      </c>
      <c r="H906" s="7" t="s">
        <v>94</v>
      </c>
      <c r="I906" s="8" t="s">
        <v>21</v>
      </c>
      <c r="J906" s="7">
        <v>3</v>
      </c>
      <c r="K906" s="7" t="s">
        <v>38</v>
      </c>
      <c r="L906" s="7">
        <v>3</v>
      </c>
      <c r="M906" s="7">
        <v>6</v>
      </c>
      <c r="N906" s="7" t="s">
        <v>95</v>
      </c>
    </row>
    <row r="907" spans="1:14" x14ac:dyDescent="0.3">
      <c r="A907" s="3" t="s">
        <v>990</v>
      </c>
      <c r="B907" s="3" t="s">
        <v>51</v>
      </c>
      <c r="C907" s="3">
        <v>2</v>
      </c>
      <c r="D907" s="6">
        <v>44.2</v>
      </c>
      <c r="E907" s="6">
        <v>88.4</v>
      </c>
      <c r="F907" s="5">
        <v>45694</v>
      </c>
      <c r="G907" s="5">
        <v>45698</v>
      </c>
      <c r="H907" s="3"/>
      <c r="I907" s="4" t="s">
        <v>45</v>
      </c>
      <c r="J907" s="3">
        <v>2</v>
      </c>
      <c r="K907" s="3" t="s">
        <v>38</v>
      </c>
      <c r="L907" s="3">
        <v>4</v>
      </c>
      <c r="M907" s="3">
        <v>6</v>
      </c>
      <c r="N907" s="3" t="s">
        <v>23</v>
      </c>
    </row>
    <row r="908" spans="1:14" x14ac:dyDescent="0.3">
      <c r="A908" s="7" t="s">
        <v>991</v>
      </c>
      <c r="B908" s="7" t="s">
        <v>51</v>
      </c>
      <c r="C908" s="7">
        <v>3</v>
      </c>
      <c r="D908" s="10">
        <v>94.1</v>
      </c>
      <c r="E908" s="10">
        <v>282.3</v>
      </c>
      <c r="F908" s="9">
        <v>45694</v>
      </c>
      <c r="G908" s="9">
        <v>45707</v>
      </c>
      <c r="H908" s="7" t="s">
        <v>31</v>
      </c>
      <c r="I908" s="8" t="s">
        <v>45</v>
      </c>
      <c r="J908" s="7">
        <v>5</v>
      </c>
      <c r="K908" s="7" t="s">
        <v>38</v>
      </c>
      <c r="L908" s="7">
        <v>13</v>
      </c>
      <c r="M908" s="7">
        <v>6</v>
      </c>
      <c r="N908" s="7" t="s">
        <v>33</v>
      </c>
    </row>
    <row r="909" spans="1:14" x14ac:dyDescent="0.3">
      <c r="A909" s="3" t="s">
        <v>992</v>
      </c>
      <c r="B909" s="3" t="s">
        <v>49</v>
      </c>
      <c r="C909" s="3">
        <v>3</v>
      </c>
      <c r="D909" s="6">
        <v>17.899999999999999</v>
      </c>
      <c r="E909" s="6">
        <v>53.7</v>
      </c>
      <c r="F909" s="5">
        <v>45694</v>
      </c>
      <c r="G909" s="5">
        <v>45696</v>
      </c>
      <c r="H909" s="3" t="s">
        <v>26</v>
      </c>
      <c r="I909" s="4" t="s">
        <v>40</v>
      </c>
      <c r="J909" s="3">
        <v>3</v>
      </c>
      <c r="K909" s="3" t="s">
        <v>38</v>
      </c>
      <c r="L909" s="3">
        <v>2</v>
      </c>
      <c r="M909" s="3">
        <v>6</v>
      </c>
      <c r="N909" s="3" t="s">
        <v>28</v>
      </c>
    </row>
    <row r="910" spans="1:14" x14ac:dyDescent="0.3">
      <c r="A910" s="7" t="s">
        <v>993</v>
      </c>
      <c r="B910" s="7" t="s">
        <v>74</v>
      </c>
      <c r="C910" s="7">
        <v>7</v>
      </c>
      <c r="D910" s="10">
        <v>52.7</v>
      </c>
      <c r="E910" s="10">
        <v>368.9</v>
      </c>
      <c r="F910" s="9">
        <v>45694</v>
      </c>
      <c r="G910" s="9">
        <v>45695</v>
      </c>
      <c r="H910" s="7" t="s">
        <v>26</v>
      </c>
      <c r="I910" s="8" t="s">
        <v>40</v>
      </c>
      <c r="J910" s="7">
        <v>3</v>
      </c>
      <c r="K910" s="7" t="s">
        <v>38</v>
      </c>
      <c r="L910" s="7">
        <v>1</v>
      </c>
      <c r="M910" s="7">
        <v>6</v>
      </c>
      <c r="N910" s="7" t="s">
        <v>28</v>
      </c>
    </row>
    <row r="911" spans="1:14" x14ac:dyDescent="0.3">
      <c r="A911" s="3" t="s">
        <v>994</v>
      </c>
      <c r="B911" s="3" t="s">
        <v>49</v>
      </c>
      <c r="C911" s="3">
        <v>1</v>
      </c>
      <c r="D911" s="6">
        <v>36.799999999999997</v>
      </c>
      <c r="E911" s="6">
        <v>36.799999999999997</v>
      </c>
      <c r="F911" s="5">
        <v>45694</v>
      </c>
      <c r="G911" s="5">
        <v>45694</v>
      </c>
      <c r="H911" s="3"/>
      <c r="I911" s="4" t="s">
        <v>21</v>
      </c>
      <c r="J911" s="3">
        <v>5</v>
      </c>
      <c r="K911" s="3" t="s">
        <v>38</v>
      </c>
      <c r="L911" s="3">
        <v>0</v>
      </c>
      <c r="M911" s="3">
        <v>6</v>
      </c>
      <c r="N911" s="3" t="s">
        <v>23</v>
      </c>
    </row>
    <row r="912" spans="1:14" x14ac:dyDescent="0.3">
      <c r="A912" s="7" t="s">
        <v>995</v>
      </c>
      <c r="B912" s="7" t="s">
        <v>37</v>
      </c>
      <c r="C912" s="7">
        <v>1</v>
      </c>
      <c r="D912" s="10">
        <v>52.5</v>
      </c>
      <c r="E912" s="10">
        <v>52.5</v>
      </c>
      <c r="F912" s="9">
        <v>45694</v>
      </c>
      <c r="G912" s="9">
        <v>45695</v>
      </c>
      <c r="H912" s="7" t="s">
        <v>26</v>
      </c>
      <c r="I912" s="8" t="s">
        <v>21</v>
      </c>
      <c r="J912" s="7">
        <v>3</v>
      </c>
      <c r="K912" s="7" t="s">
        <v>60</v>
      </c>
      <c r="L912" s="7">
        <v>1</v>
      </c>
      <c r="M912" s="7">
        <v>6</v>
      </c>
      <c r="N912" s="7" t="s">
        <v>28</v>
      </c>
    </row>
    <row r="913" spans="1:14" x14ac:dyDescent="0.3">
      <c r="A913" s="3" t="s">
        <v>996</v>
      </c>
      <c r="B913" s="3" t="s">
        <v>30</v>
      </c>
      <c r="C913" s="3">
        <v>2</v>
      </c>
      <c r="D913" s="6">
        <v>133.80000000000001</v>
      </c>
      <c r="E913" s="6">
        <v>267.60000000000002</v>
      </c>
      <c r="F913" s="5">
        <v>45694</v>
      </c>
      <c r="G913" s="5">
        <v>45696</v>
      </c>
      <c r="H913" s="3" t="s">
        <v>26</v>
      </c>
      <c r="I913" s="4" t="s">
        <v>21</v>
      </c>
      <c r="J913" s="3">
        <v>3</v>
      </c>
      <c r="K913" s="3" t="s">
        <v>64</v>
      </c>
      <c r="L913" s="3">
        <v>2</v>
      </c>
      <c r="M913" s="3">
        <v>6</v>
      </c>
      <c r="N913" s="3" t="s">
        <v>28</v>
      </c>
    </row>
    <row r="914" spans="1:14" x14ac:dyDescent="0.3">
      <c r="A914" s="7" t="s">
        <v>997</v>
      </c>
      <c r="B914" s="7" t="s">
        <v>44</v>
      </c>
      <c r="C914" s="7">
        <v>2</v>
      </c>
      <c r="D914" s="10">
        <v>53.2</v>
      </c>
      <c r="E914" s="10">
        <v>106.4</v>
      </c>
      <c r="F914" s="9">
        <v>45694</v>
      </c>
      <c r="G914" s="9">
        <v>45696</v>
      </c>
      <c r="H914" s="7" t="s">
        <v>26</v>
      </c>
      <c r="I914" s="8" t="s">
        <v>21</v>
      </c>
      <c r="J914" s="7">
        <v>4</v>
      </c>
      <c r="K914" s="7" t="s">
        <v>109</v>
      </c>
      <c r="L914" s="7">
        <v>2</v>
      </c>
      <c r="M914" s="7">
        <v>6</v>
      </c>
      <c r="N914" s="7" t="s">
        <v>28</v>
      </c>
    </row>
    <row r="915" spans="1:14" x14ac:dyDescent="0.3">
      <c r="A915" s="3" t="s">
        <v>998</v>
      </c>
      <c r="B915" s="3" t="s">
        <v>86</v>
      </c>
      <c r="C915" s="3">
        <v>6</v>
      </c>
      <c r="D915" s="6">
        <v>18.7</v>
      </c>
      <c r="E915" s="6">
        <v>112.2</v>
      </c>
      <c r="F915" s="5">
        <v>45694</v>
      </c>
      <c r="G915" s="5">
        <v>45696</v>
      </c>
      <c r="H915" s="3"/>
      <c r="I915" s="4" t="s">
        <v>21</v>
      </c>
      <c r="J915" s="3">
        <v>3</v>
      </c>
      <c r="K915" s="3" t="s">
        <v>79</v>
      </c>
      <c r="L915" s="3">
        <v>2</v>
      </c>
      <c r="M915" s="3">
        <v>6</v>
      </c>
      <c r="N915" s="3" t="s">
        <v>23</v>
      </c>
    </row>
    <row r="916" spans="1:14" x14ac:dyDescent="0.3">
      <c r="A916" s="7" t="s">
        <v>999</v>
      </c>
      <c r="B916" s="7" t="s">
        <v>44</v>
      </c>
      <c r="C916" s="7">
        <v>4</v>
      </c>
      <c r="D916" s="10">
        <v>108.8</v>
      </c>
      <c r="E916" s="10">
        <v>435.2</v>
      </c>
      <c r="F916" s="9">
        <v>45694</v>
      </c>
      <c r="G916" s="9">
        <v>45695</v>
      </c>
      <c r="H916" s="7" t="s">
        <v>31</v>
      </c>
      <c r="I916" s="8" t="s">
        <v>56</v>
      </c>
      <c r="J916" s="7">
        <v>5</v>
      </c>
      <c r="K916" s="7" t="s">
        <v>82</v>
      </c>
      <c r="L916" s="7">
        <v>1</v>
      </c>
      <c r="M916" s="7">
        <v>6</v>
      </c>
      <c r="N916" s="7" t="s">
        <v>33</v>
      </c>
    </row>
    <row r="917" spans="1:14" x14ac:dyDescent="0.3">
      <c r="A917" s="3" t="s">
        <v>1000</v>
      </c>
      <c r="B917" s="3" t="s">
        <v>129</v>
      </c>
      <c r="C917" s="3">
        <v>5</v>
      </c>
      <c r="D917" s="6">
        <v>38.5</v>
      </c>
      <c r="E917" s="6">
        <v>192.5</v>
      </c>
      <c r="F917" s="5">
        <v>45694</v>
      </c>
      <c r="G917" s="5">
        <v>45698</v>
      </c>
      <c r="H917" s="3" t="s">
        <v>31</v>
      </c>
      <c r="I917" s="4" t="s">
        <v>21</v>
      </c>
      <c r="J917" s="3">
        <v>3</v>
      </c>
      <c r="K917" s="3" t="s">
        <v>89</v>
      </c>
      <c r="L917" s="3">
        <v>4</v>
      </c>
      <c r="M917" s="3">
        <v>6</v>
      </c>
      <c r="N917" s="3" t="s">
        <v>33</v>
      </c>
    </row>
    <row r="918" spans="1:14" x14ac:dyDescent="0.3">
      <c r="A918" s="7" t="s">
        <v>1001</v>
      </c>
      <c r="B918" s="7" t="s">
        <v>59</v>
      </c>
      <c r="C918" s="7">
        <v>10</v>
      </c>
      <c r="D918" s="10">
        <v>46.5</v>
      </c>
      <c r="E918" s="10">
        <v>465</v>
      </c>
      <c r="F918" s="9">
        <v>45694</v>
      </c>
      <c r="G918" s="9">
        <v>45696</v>
      </c>
      <c r="H918" s="7" t="s">
        <v>26</v>
      </c>
      <c r="I918" s="8" t="s">
        <v>45</v>
      </c>
      <c r="J918" s="7">
        <v>3</v>
      </c>
      <c r="K918" s="7" t="s">
        <v>32</v>
      </c>
      <c r="L918" s="7">
        <v>2</v>
      </c>
      <c r="M918" s="7">
        <v>6</v>
      </c>
      <c r="N918" s="7" t="s">
        <v>28</v>
      </c>
    </row>
    <row r="919" spans="1:14" x14ac:dyDescent="0.3">
      <c r="A919" s="3" t="s">
        <v>1002</v>
      </c>
      <c r="B919" s="3" t="s">
        <v>30</v>
      </c>
      <c r="C919" s="3">
        <v>3</v>
      </c>
      <c r="D919" s="6">
        <v>75.8</v>
      </c>
      <c r="E919" s="6">
        <v>227.4</v>
      </c>
      <c r="F919" s="5">
        <v>45694</v>
      </c>
      <c r="G919" s="5">
        <v>45698</v>
      </c>
      <c r="H919" s="3" t="s">
        <v>31</v>
      </c>
      <c r="I919" s="4" t="s">
        <v>40</v>
      </c>
      <c r="J919" s="3">
        <v>2</v>
      </c>
      <c r="K919" s="3" t="s">
        <v>119</v>
      </c>
      <c r="L919" s="3">
        <v>4</v>
      </c>
      <c r="M919" s="3">
        <v>6</v>
      </c>
      <c r="N919" s="3" t="s">
        <v>33</v>
      </c>
    </row>
    <row r="920" spans="1:14" x14ac:dyDescent="0.3">
      <c r="A920" s="7" t="s">
        <v>1003</v>
      </c>
      <c r="B920" s="7" t="s">
        <v>49</v>
      </c>
      <c r="C920" s="7">
        <v>1</v>
      </c>
      <c r="D920" s="10">
        <v>20.9</v>
      </c>
      <c r="E920" s="10">
        <v>20.9</v>
      </c>
      <c r="F920" s="9">
        <v>45694</v>
      </c>
      <c r="G920" s="9">
        <v>45698</v>
      </c>
      <c r="H920" s="7" t="s">
        <v>26</v>
      </c>
      <c r="I920" s="8" t="s">
        <v>21</v>
      </c>
      <c r="J920" s="7">
        <v>4</v>
      </c>
      <c r="K920" s="7" t="s">
        <v>153</v>
      </c>
      <c r="L920" s="7">
        <v>4</v>
      </c>
      <c r="M920" s="7">
        <v>6</v>
      </c>
      <c r="N920" s="7" t="s">
        <v>28</v>
      </c>
    </row>
    <row r="921" spans="1:14" x14ac:dyDescent="0.3">
      <c r="A921" s="3" t="s">
        <v>1004</v>
      </c>
      <c r="B921" s="3" t="s">
        <v>152</v>
      </c>
      <c r="C921" s="3">
        <v>3</v>
      </c>
      <c r="D921" s="6">
        <v>47.4</v>
      </c>
      <c r="E921" s="6">
        <v>142.19999999999999</v>
      </c>
      <c r="F921" s="5">
        <v>45694</v>
      </c>
      <c r="G921" s="5">
        <v>45697</v>
      </c>
      <c r="H921" s="3" t="s">
        <v>31</v>
      </c>
      <c r="I921" s="4" t="s">
        <v>21</v>
      </c>
      <c r="J921" s="3">
        <v>4</v>
      </c>
      <c r="K921" s="3" t="s">
        <v>38</v>
      </c>
      <c r="L921" s="3">
        <v>3</v>
      </c>
      <c r="M921" s="3">
        <v>6</v>
      </c>
      <c r="N921" s="3" t="s">
        <v>33</v>
      </c>
    </row>
    <row r="922" spans="1:14" x14ac:dyDescent="0.3">
      <c r="A922" s="7" t="s">
        <v>1005</v>
      </c>
      <c r="B922" s="7" t="s">
        <v>51</v>
      </c>
      <c r="C922" s="7">
        <v>2</v>
      </c>
      <c r="D922" s="10">
        <v>53.8</v>
      </c>
      <c r="E922" s="10">
        <v>107.6</v>
      </c>
      <c r="F922" s="9">
        <v>45694</v>
      </c>
      <c r="G922" s="9">
        <v>45695</v>
      </c>
      <c r="H922" s="7"/>
      <c r="I922" s="8" t="s">
        <v>21</v>
      </c>
      <c r="J922" s="7">
        <v>3</v>
      </c>
      <c r="K922" s="7" t="s">
        <v>38</v>
      </c>
      <c r="L922" s="7">
        <v>1</v>
      </c>
      <c r="M922" s="7">
        <v>6</v>
      </c>
      <c r="N922" s="7" t="s">
        <v>23</v>
      </c>
    </row>
    <row r="923" spans="1:14" x14ac:dyDescent="0.3">
      <c r="A923" s="3" t="s">
        <v>1006</v>
      </c>
      <c r="B923" s="3" t="s">
        <v>49</v>
      </c>
      <c r="C923" s="3">
        <v>3</v>
      </c>
      <c r="D923" s="6">
        <v>24.6</v>
      </c>
      <c r="E923" s="6">
        <v>73.800000000000011</v>
      </c>
      <c r="F923" s="5">
        <v>45694</v>
      </c>
      <c r="G923" s="5">
        <v>45696</v>
      </c>
      <c r="H923" s="3" t="s">
        <v>94</v>
      </c>
      <c r="I923" s="4" t="s">
        <v>40</v>
      </c>
      <c r="J923" s="3">
        <v>5</v>
      </c>
      <c r="K923" s="3" t="s">
        <v>38</v>
      </c>
      <c r="L923" s="3">
        <v>2</v>
      </c>
      <c r="M923" s="3">
        <v>6</v>
      </c>
      <c r="N923" s="3" t="s">
        <v>95</v>
      </c>
    </row>
    <row r="924" spans="1:14" x14ac:dyDescent="0.3">
      <c r="A924" s="7" t="s">
        <v>1007</v>
      </c>
      <c r="B924" s="7" t="s">
        <v>51</v>
      </c>
      <c r="C924" s="7">
        <v>3</v>
      </c>
      <c r="D924" s="10">
        <v>70.900000000000006</v>
      </c>
      <c r="E924" s="10">
        <v>212.7</v>
      </c>
      <c r="F924" s="9">
        <v>45694</v>
      </c>
      <c r="G924" s="9">
        <v>45699</v>
      </c>
      <c r="H924" s="7" t="s">
        <v>31</v>
      </c>
      <c r="I924" s="8" t="s">
        <v>45</v>
      </c>
      <c r="J924" s="7">
        <v>5</v>
      </c>
      <c r="K924" s="7" t="s">
        <v>38</v>
      </c>
      <c r="L924" s="7">
        <v>5</v>
      </c>
      <c r="M924" s="7">
        <v>6</v>
      </c>
      <c r="N924" s="7" t="s">
        <v>33</v>
      </c>
    </row>
    <row r="925" spans="1:14" x14ac:dyDescent="0.3">
      <c r="A925" s="3" t="s">
        <v>1008</v>
      </c>
      <c r="B925" s="3" t="s">
        <v>141</v>
      </c>
      <c r="C925" s="3">
        <v>3</v>
      </c>
      <c r="D925" s="6">
        <v>31.9</v>
      </c>
      <c r="E925" s="6">
        <v>95.699999999999989</v>
      </c>
      <c r="F925" s="5">
        <v>45694</v>
      </c>
      <c r="G925" s="5">
        <v>45696</v>
      </c>
      <c r="H925" s="3" t="s">
        <v>31</v>
      </c>
      <c r="I925" s="4" t="s">
        <v>45</v>
      </c>
      <c r="J925" s="3">
        <v>5</v>
      </c>
      <c r="K925" s="3" t="s">
        <v>38</v>
      </c>
      <c r="L925" s="3">
        <v>2</v>
      </c>
      <c r="M925" s="3">
        <v>6</v>
      </c>
      <c r="N925" s="3" t="s">
        <v>33</v>
      </c>
    </row>
    <row r="926" spans="1:14" x14ac:dyDescent="0.3">
      <c r="A926" s="7" t="s">
        <v>1009</v>
      </c>
      <c r="B926" s="7" t="s">
        <v>20</v>
      </c>
      <c r="C926" s="7">
        <v>2</v>
      </c>
      <c r="D926" s="10">
        <v>20.399999999999999</v>
      </c>
      <c r="E926" s="10">
        <v>40.799999999999997</v>
      </c>
      <c r="F926" s="9">
        <v>45694</v>
      </c>
      <c r="G926" s="9">
        <v>45698</v>
      </c>
      <c r="H926" s="7" t="s">
        <v>26</v>
      </c>
      <c r="I926" s="8" t="s">
        <v>56</v>
      </c>
      <c r="J926" s="7">
        <v>5</v>
      </c>
      <c r="K926" s="7" t="s">
        <v>38</v>
      </c>
      <c r="L926" s="7">
        <v>4</v>
      </c>
      <c r="M926" s="7">
        <v>6</v>
      </c>
      <c r="N926" s="7" t="s">
        <v>28</v>
      </c>
    </row>
    <row r="927" spans="1:14" x14ac:dyDescent="0.3">
      <c r="A927" s="3" t="s">
        <v>1010</v>
      </c>
      <c r="B927" s="3" t="s">
        <v>49</v>
      </c>
      <c r="C927" s="3">
        <v>2</v>
      </c>
      <c r="D927" s="6">
        <v>18.600000000000001</v>
      </c>
      <c r="E927" s="6">
        <v>37.200000000000003</v>
      </c>
      <c r="F927" s="5">
        <v>45694</v>
      </c>
      <c r="G927" s="5">
        <v>45696</v>
      </c>
      <c r="H927" s="3"/>
      <c r="I927" s="4" t="s">
        <v>21</v>
      </c>
      <c r="J927" s="3">
        <v>3</v>
      </c>
      <c r="K927" s="3" t="s">
        <v>38</v>
      </c>
      <c r="L927" s="3">
        <v>2</v>
      </c>
      <c r="M927" s="3">
        <v>6</v>
      </c>
      <c r="N927" s="3" t="s">
        <v>23</v>
      </c>
    </row>
    <row r="928" spans="1:14" x14ac:dyDescent="0.3">
      <c r="A928" s="7" t="s">
        <v>1011</v>
      </c>
      <c r="B928" s="7" t="s">
        <v>37</v>
      </c>
      <c r="C928" s="7">
        <v>5</v>
      </c>
      <c r="D928" s="10">
        <v>48.3</v>
      </c>
      <c r="E928" s="10">
        <v>241.5</v>
      </c>
      <c r="F928" s="9">
        <v>45694</v>
      </c>
      <c r="G928" s="9">
        <v>45696</v>
      </c>
      <c r="H928" s="7" t="s">
        <v>31</v>
      </c>
      <c r="I928" s="8" t="s">
        <v>40</v>
      </c>
      <c r="J928" s="7">
        <v>4</v>
      </c>
      <c r="K928" s="7" t="s">
        <v>38</v>
      </c>
      <c r="L928" s="7">
        <v>2</v>
      </c>
      <c r="M928" s="7">
        <v>6</v>
      </c>
      <c r="N928" s="7" t="s">
        <v>33</v>
      </c>
    </row>
    <row r="929" spans="1:14" x14ac:dyDescent="0.3">
      <c r="A929" s="3" t="s">
        <v>1012</v>
      </c>
      <c r="B929" s="3" t="s">
        <v>20</v>
      </c>
      <c r="C929" s="3">
        <v>4</v>
      </c>
      <c r="D929" s="6">
        <v>27.7</v>
      </c>
      <c r="E929" s="6">
        <v>110.8</v>
      </c>
      <c r="F929" s="5">
        <v>45694</v>
      </c>
      <c r="G929" s="5">
        <v>45696</v>
      </c>
      <c r="H929" s="3" t="s">
        <v>31</v>
      </c>
      <c r="I929" s="4" t="s">
        <v>21</v>
      </c>
      <c r="J929" s="3">
        <v>4</v>
      </c>
      <c r="K929" s="3" t="s">
        <v>38</v>
      </c>
      <c r="L929" s="3">
        <v>2</v>
      </c>
      <c r="M929" s="3">
        <v>6</v>
      </c>
      <c r="N929" s="3" t="s">
        <v>33</v>
      </c>
    </row>
    <row r="930" spans="1:14" x14ac:dyDescent="0.3">
      <c r="A930" s="7" t="s">
        <v>1013</v>
      </c>
      <c r="B930" s="7" t="s">
        <v>37</v>
      </c>
      <c r="C930" s="7">
        <v>5</v>
      </c>
      <c r="D930" s="10">
        <v>22.5</v>
      </c>
      <c r="E930" s="10">
        <v>112.5</v>
      </c>
      <c r="F930" s="9">
        <v>45694</v>
      </c>
      <c r="G930" s="9">
        <v>45696</v>
      </c>
      <c r="H930" s="7" t="s">
        <v>31</v>
      </c>
      <c r="I930" s="8" t="s">
        <v>75</v>
      </c>
      <c r="J930" s="7">
        <v>5</v>
      </c>
      <c r="K930" s="7" t="s">
        <v>38</v>
      </c>
      <c r="L930" s="7">
        <v>2</v>
      </c>
      <c r="M930" s="7">
        <v>6</v>
      </c>
      <c r="N930" s="7" t="s">
        <v>33</v>
      </c>
    </row>
    <row r="931" spans="1:14" x14ac:dyDescent="0.3">
      <c r="A931" s="3" t="s">
        <v>1014</v>
      </c>
      <c r="B931" s="3" t="s">
        <v>141</v>
      </c>
      <c r="C931" s="3">
        <v>5</v>
      </c>
      <c r="D931" s="6">
        <v>21.6</v>
      </c>
      <c r="E931" s="6">
        <v>108</v>
      </c>
      <c r="F931" s="5">
        <v>45694</v>
      </c>
      <c r="G931" s="5">
        <v>45702</v>
      </c>
      <c r="H931" s="3" t="s">
        <v>31</v>
      </c>
      <c r="I931" s="4" t="s">
        <v>21</v>
      </c>
      <c r="J931" s="3">
        <v>3</v>
      </c>
      <c r="K931" s="3" t="s">
        <v>38</v>
      </c>
      <c r="L931" s="3">
        <v>8</v>
      </c>
      <c r="M931" s="3">
        <v>6</v>
      </c>
      <c r="N931" s="3" t="s">
        <v>33</v>
      </c>
    </row>
    <row r="932" spans="1:14" x14ac:dyDescent="0.3">
      <c r="A932" s="7" t="s">
        <v>1015</v>
      </c>
      <c r="B932" s="7" t="s">
        <v>59</v>
      </c>
      <c r="C932" s="7">
        <v>7</v>
      </c>
      <c r="D932" s="10">
        <v>26.3</v>
      </c>
      <c r="E932" s="10">
        <v>184.1</v>
      </c>
      <c r="F932" s="9">
        <v>45694</v>
      </c>
      <c r="G932" s="9">
        <v>45694</v>
      </c>
      <c r="H932" s="7" t="s">
        <v>31</v>
      </c>
      <c r="I932" s="8" t="s">
        <v>45</v>
      </c>
      <c r="J932" s="7">
        <v>3</v>
      </c>
      <c r="K932" s="7" t="s">
        <v>38</v>
      </c>
      <c r="L932" s="7">
        <v>0</v>
      </c>
      <c r="M932" s="7">
        <v>6</v>
      </c>
      <c r="N932" s="7" t="s">
        <v>33</v>
      </c>
    </row>
    <row r="933" spans="1:14" x14ac:dyDescent="0.3">
      <c r="A933" s="3" t="s">
        <v>1016</v>
      </c>
      <c r="B933" s="3" t="s">
        <v>44</v>
      </c>
      <c r="C933" s="3">
        <v>7</v>
      </c>
      <c r="D933" s="6">
        <v>103</v>
      </c>
      <c r="E933" s="6">
        <v>721</v>
      </c>
      <c r="F933" s="5">
        <v>45695</v>
      </c>
      <c r="G933" s="5">
        <v>45696</v>
      </c>
      <c r="H933" s="3" t="s">
        <v>26</v>
      </c>
      <c r="I933" s="4" t="s">
        <v>21</v>
      </c>
      <c r="J933" s="3">
        <v>5</v>
      </c>
      <c r="K933" s="3" t="s">
        <v>60</v>
      </c>
      <c r="L933" s="3">
        <v>1</v>
      </c>
      <c r="M933" s="3">
        <v>6</v>
      </c>
      <c r="N933" s="3" t="s">
        <v>28</v>
      </c>
    </row>
    <row r="934" spans="1:14" x14ac:dyDescent="0.3">
      <c r="A934" s="7" t="s">
        <v>1017</v>
      </c>
      <c r="B934" s="7" t="s">
        <v>42</v>
      </c>
      <c r="C934" s="7">
        <v>15</v>
      </c>
      <c r="D934" s="10">
        <v>46.6</v>
      </c>
      <c r="E934" s="10">
        <v>699</v>
      </c>
      <c r="F934" s="9">
        <v>45695</v>
      </c>
      <c r="G934" s="9">
        <v>45696</v>
      </c>
      <c r="H934" s="7" t="s">
        <v>31</v>
      </c>
      <c r="I934" s="8" t="s">
        <v>21</v>
      </c>
      <c r="J934" s="7">
        <v>3</v>
      </c>
      <c r="K934" s="7" t="s">
        <v>60</v>
      </c>
      <c r="L934" s="7">
        <v>1</v>
      </c>
      <c r="M934" s="7">
        <v>6</v>
      </c>
      <c r="N934" s="7" t="s">
        <v>33</v>
      </c>
    </row>
    <row r="935" spans="1:14" x14ac:dyDescent="0.3">
      <c r="A935" s="3" t="s">
        <v>1018</v>
      </c>
      <c r="B935" s="3" t="s">
        <v>20</v>
      </c>
      <c r="C935" s="3">
        <v>5</v>
      </c>
      <c r="D935" s="6">
        <v>32.200000000000003</v>
      </c>
      <c r="E935" s="6">
        <v>161</v>
      </c>
      <c r="F935" s="5">
        <v>45695</v>
      </c>
      <c r="G935" s="5">
        <v>45698</v>
      </c>
      <c r="H935" s="3" t="s">
        <v>31</v>
      </c>
      <c r="I935" s="4" t="s">
        <v>21</v>
      </c>
      <c r="J935" s="3">
        <v>5</v>
      </c>
      <c r="K935" s="3" t="s">
        <v>57</v>
      </c>
      <c r="L935" s="3">
        <v>3</v>
      </c>
      <c r="M935" s="3">
        <v>6</v>
      </c>
      <c r="N935" s="3" t="s">
        <v>33</v>
      </c>
    </row>
    <row r="936" spans="1:14" x14ac:dyDescent="0.3">
      <c r="A936" s="7" t="s">
        <v>1019</v>
      </c>
      <c r="B936" s="7" t="s">
        <v>49</v>
      </c>
      <c r="C936" s="7">
        <v>3</v>
      </c>
      <c r="D936" s="10">
        <v>22</v>
      </c>
      <c r="E936" s="10">
        <v>66</v>
      </c>
      <c r="F936" s="9">
        <v>45695</v>
      </c>
      <c r="G936" s="9">
        <v>45702</v>
      </c>
      <c r="H936" s="7" t="s">
        <v>26</v>
      </c>
      <c r="I936" s="8" t="s">
        <v>40</v>
      </c>
      <c r="J936" s="7">
        <v>4</v>
      </c>
      <c r="K936" s="7" t="s">
        <v>64</v>
      </c>
      <c r="L936" s="7">
        <v>7</v>
      </c>
      <c r="M936" s="7">
        <v>6</v>
      </c>
      <c r="N936" s="7" t="s">
        <v>28</v>
      </c>
    </row>
    <row r="937" spans="1:14" x14ac:dyDescent="0.3">
      <c r="A937" s="3" t="s">
        <v>1020</v>
      </c>
      <c r="B937" s="3" t="s">
        <v>20</v>
      </c>
      <c r="C937" s="3">
        <v>2</v>
      </c>
      <c r="D937" s="6">
        <v>25.2</v>
      </c>
      <c r="E937" s="6">
        <v>50.4</v>
      </c>
      <c r="F937" s="5">
        <v>45695</v>
      </c>
      <c r="G937" s="5">
        <v>45699</v>
      </c>
      <c r="H937" s="3" t="s">
        <v>31</v>
      </c>
      <c r="I937" s="4" t="s">
        <v>21</v>
      </c>
      <c r="J937" s="3">
        <v>4</v>
      </c>
      <c r="K937" s="3" t="s">
        <v>64</v>
      </c>
      <c r="L937" s="3">
        <v>4</v>
      </c>
      <c r="M937" s="3">
        <v>6</v>
      </c>
      <c r="N937" s="3" t="s">
        <v>33</v>
      </c>
    </row>
    <row r="938" spans="1:14" x14ac:dyDescent="0.3">
      <c r="A938" s="7" t="s">
        <v>1021</v>
      </c>
      <c r="B938" s="7" t="s">
        <v>25</v>
      </c>
      <c r="C938" s="7">
        <v>6</v>
      </c>
      <c r="D938" s="10">
        <v>68.7</v>
      </c>
      <c r="E938" s="10">
        <v>412.2</v>
      </c>
      <c r="F938" s="9">
        <v>45695</v>
      </c>
      <c r="G938" s="9">
        <v>45697</v>
      </c>
      <c r="H938" s="7" t="s">
        <v>26</v>
      </c>
      <c r="I938" s="8" t="s">
        <v>75</v>
      </c>
      <c r="J938" s="7">
        <v>4</v>
      </c>
      <c r="K938" s="7" t="s">
        <v>67</v>
      </c>
      <c r="L938" s="7">
        <v>2</v>
      </c>
      <c r="M938" s="7">
        <v>6</v>
      </c>
      <c r="N938" s="7" t="s">
        <v>28</v>
      </c>
    </row>
    <row r="939" spans="1:14" x14ac:dyDescent="0.3">
      <c r="A939" s="3" t="s">
        <v>1022</v>
      </c>
      <c r="B939" s="3" t="s">
        <v>20</v>
      </c>
      <c r="C939" s="3">
        <v>3</v>
      </c>
      <c r="D939" s="6">
        <v>22.2</v>
      </c>
      <c r="E939" s="6">
        <v>66.599999999999994</v>
      </c>
      <c r="F939" s="5">
        <v>45695</v>
      </c>
      <c r="G939" s="5">
        <v>45698</v>
      </c>
      <c r="H939" s="3" t="s">
        <v>26</v>
      </c>
      <c r="I939" s="4" t="s">
        <v>45</v>
      </c>
      <c r="J939" s="3">
        <v>5</v>
      </c>
      <c r="K939" s="3" t="s">
        <v>67</v>
      </c>
      <c r="L939" s="3">
        <v>3</v>
      </c>
      <c r="M939" s="3">
        <v>6</v>
      </c>
      <c r="N939" s="3" t="s">
        <v>28</v>
      </c>
    </row>
    <row r="940" spans="1:14" x14ac:dyDescent="0.3">
      <c r="A940" s="7" t="s">
        <v>1023</v>
      </c>
      <c r="B940" s="7" t="s">
        <v>25</v>
      </c>
      <c r="C940" s="7">
        <v>7</v>
      </c>
      <c r="D940" s="10">
        <v>36</v>
      </c>
      <c r="E940" s="10">
        <v>252</v>
      </c>
      <c r="F940" s="9">
        <v>45695</v>
      </c>
      <c r="G940" s="9">
        <v>45696</v>
      </c>
      <c r="H940" s="7" t="s">
        <v>31</v>
      </c>
      <c r="I940" s="8" t="s">
        <v>40</v>
      </c>
      <c r="J940" s="7">
        <v>4</v>
      </c>
      <c r="K940" s="7" t="s">
        <v>67</v>
      </c>
      <c r="L940" s="7">
        <v>1</v>
      </c>
      <c r="M940" s="7">
        <v>6</v>
      </c>
      <c r="N940" s="7" t="s">
        <v>33</v>
      </c>
    </row>
    <row r="941" spans="1:14" x14ac:dyDescent="0.3">
      <c r="A941" s="3" t="s">
        <v>1024</v>
      </c>
      <c r="B941" s="3" t="s">
        <v>152</v>
      </c>
      <c r="C941" s="3">
        <v>1</v>
      </c>
      <c r="D941" s="6">
        <v>50.6</v>
      </c>
      <c r="E941" s="6">
        <v>50.6</v>
      </c>
      <c r="F941" s="5">
        <v>45695</v>
      </c>
      <c r="G941" s="5">
        <v>45697</v>
      </c>
      <c r="H941" s="3" t="s">
        <v>31</v>
      </c>
      <c r="I941" s="4" t="s">
        <v>21</v>
      </c>
      <c r="J941" s="3">
        <v>3</v>
      </c>
      <c r="K941" s="3" t="s">
        <v>67</v>
      </c>
      <c r="L941" s="3">
        <v>2</v>
      </c>
      <c r="M941" s="3">
        <v>6</v>
      </c>
      <c r="N941" s="3" t="s">
        <v>33</v>
      </c>
    </row>
    <row r="942" spans="1:14" x14ac:dyDescent="0.3">
      <c r="A942" s="7" t="s">
        <v>1025</v>
      </c>
      <c r="B942" s="7" t="s">
        <v>129</v>
      </c>
      <c r="C942" s="7">
        <v>2</v>
      </c>
      <c r="D942" s="10">
        <v>44.9</v>
      </c>
      <c r="E942" s="10">
        <v>89.8</v>
      </c>
      <c r="F942" s="9">
        <v>45695</v>
      </c>
      <c r="G942" s="9">
        <v>45697</v>
      </c>
      <c r="H942" s="7" t="s">
        <v>26</v>
      </c>
      <c r="I942" s="8" t="s">
        <v>21</v>
      </c>
      <c r="J942" s="7">
        <v>3</v>
      </c>
      <c r="K942" s="7" t="s">
        <v>67</v>
      </c>
      <c r="L942" s="7">
        <v>2</v>
      </c>
      <c r="M942" s="7">
        <v>6</v>
      </c>
      <c r="N942" s="7" t="s">
        <v>28</v>
      </c>
    </row>
    <row r="943" spans="1:14" x14ac:dyDescent="0.3">
      <c r="A943" s="3" t="s">
        <v>1026</v>
      </c>
      <c r="B943" s="3" t="s">
        <v>44</v>
      </c>
      <c r="C943" s="3">
        <v>3</v>
      </c>
      <c r="D943" s="6">
        <v>71.599999999999994</v>
      </c>
      <c r="E943" s="6">
        <v>214.8</v>
      </c>
      <c r="F943" s="5">
        <v>45695</v>
      </c>
      <c r="G943" s="5">
        <v>45699</v>
      </c>
      <c r="H943" s="3" t="s">
        <v>26</v>
      </c>
      <c r="I943" s="4" t="s">
        <v>40</v>
      </c>
      <c r="J943" s="3">
        <v>5</v>
      </c>
      <c r="K943" s="3" t="s">
        <v>79</v>
      </c>
      <c r="L943" s="3">
        <v>4</v>
      </c>
      <c r="M943" s="3">
        <v>6</v>
      </c>
      <c r="N943" s="3" t="s">
        <v>28</v>
      </c>
    </row>
    <row r="944" spans="1:14" x14ac:dyDescent="0.3">
      <c r="A944" s="7" t="s">
        <v>1027</v>
      </c>
      <c r="B944" s="7" t="s">
        <v>44</v>
      </c>
      <c r="C944" s="7">
        <v>6</v>
      </c>
      <c r="D944" s="10">
        <v>51.5</v>
      </c>
      <c r="E944" s="10">
        <v>309</v>
      </c>
      <c r="F944" s="9">
        <v>45695</v>
      </c>
      <c r="G944" s="9">
        <v>45697</v>
      </c>
      <c r="H944" s="7"/>
      <c r="I944" s="8" t="s">
        <v>75</v>
      </c>
      <c r="J944" s="7">
        <v>4</v>
      </c>
      <c r="K944" s="7" t="s">
        <v>82</v>
      </c>
      <c r="L944" s="7">
        <v>2</v>
      </c>
      <c r="M944" s="7">
        <v>6</v>
      </c>
      <c r="N944" s="7" t="s">
        <v>23</v>
      </c>
    </row>
    <row r="945" spans="1:14" x14ac:dyDescent="0.3">
      <c r="A945" s="3" t="s">
        <v>1028</v>
      </c>
      <c r="B945" s="3" t="s">
        <v>47</v>
      </c>
      <c r="C945" s="3">
        <v>5</v>
      </c>
      <c r="D945" s="6">
        <v>55.5</v>
      </c>
      <c r="E945" s="6">
        <v>277.5</v>
      </c>
      <c r="F945" s="5">
        <v>45695</v>
      </c>
      <c r="G945" s="5">
        <v>45696</v>
      </c>
      <c r="H945" s="3" t="s">
        <v>26</v>
      </c>
      <c r="I945" s="4" t="s">
        <v>40</v>
      </c>
      <c r="J945" s="3">
        <v>3</v>
      </c>
      <c r="K945" s="3" t="s">
        <v>82</v>
      </c>
      <c r="L945" s="3">
        <v>1</v>
      </c>
      <c r="M945" s="3">
        <v>6</v>
      </c>
      <c r="N945" s="3" t="s">
        <v>28</v>
      </c>
    </row>
    <row r="946" spans="1:14" x14ac:dyDescent="0.3">
      <c r="A946" s="7" t="s">
        <v>1029</v>
      </c>
      <c r="B946" s="7" t="s">
        <v>44</v>
      </c>
      <c r="C946" s="7">
        <v>1</v>
      </c>
      <c r="D946" s="10">
        <v>51.7</v>
      </c>
      <c r="E946" s="10">
        <v>51.7</v>
      </c>
      <c r="F946" s="9">
        <v>45695</v>
      </c>
      <c r="G946" s="9">
        <v>45709</v>
      </c>
      <c r="H946" s="7" t="s">
        <v>26</v>
      </c>
      <c r="I946" s="8" t="s">
        <v>45</v>
      </c>
      <c r="J946" s="7">
        <v>4</v>
      </c>
      <c r="K946" s="7" t="s">
        <v>116</v>
      </c>
      <c r="L946" s="7">
        <v>14</v>
      </c>
      <c r="M946" s="7">
        <v>6</v>
      </c>
      <c r="N946" s="7" t="s">
        <v>28</v>
      </c>
    </row>
    <row r="947" spans="1:14" x14ac:dyDescent="0.3">
      <c r="A947" s="3" t="s">
        <v>1030</v>
      </c>
      <c r="B947" s="3" t="s">
        <v>49</v>
      </c>
      <c r="C947" s="3">
        <v>21</v>
      </c>
      <c r="D947" s="6">
        <v>45.5</v>
      </c>
      <c r="E947" s="6">
        <v>955.5</v>
      </c>
      <c r="F947" s="5">
        <v>45695</v>
      </c>
      <c r="G947" s="5">
        <v>45696</v>
      </c>
      <c r="H947" s="3" t="s">
        <v>31</v>
      </c>
      <c r="I947" s="4" t="s">
        <v>56</v>
      </c>
      <c r="J947" s="3">
        <v>5</v>
      </c>
      <c r="K947" s="3" t="s">
        <v>116</v>
      </c>
      <c r="L947" s="3">
        <v>1</v>
      </c>
      <c r="M947" s="3">
        <v>6</v>
      </c>
      <c r="N947" s="3" t="s">
        <v>33</v>
      </c>
    </row>
    <row r="948" spans="1:14" x14ac:dyDescent="0.3">
      <c r="A948" s="7" t="s">
        <v>1031</v>
      </c>
      <c r="B948" s="7" t="s">
        <v>49</v>
      </c>
      <c r="C948" s="7">
        <v>2</v>
      </c>
      <c r="D948" s="10">
        <v>33.799999999999997</v>
      </c>
      <c r="E948" s="10">
        <v>67.599999999999994</v>
      </c>
      <c r="F948" s="9">
        <v>45695</v>
      </c>
      <c r="G948" s="9">
        <v>45701</v>
      </c>
      <c r="H948" s="7" t="s">
        <v>31</v>
      </c>
      <c r="I948" s="8" t="s">
        <v>56</v>
      </c>
      <c r="J948" s="7">
        <v>4</v>
      </c>
      <c r="K948" s="7" t="s">
        <v>119</v>
      </c>
      <c r="L948" s="7">
        <v>6</v>
      </c>
      <c r="M948" s="7">
        <v>6</v>
      </c>
      <c r="N948" s="7" t="s">
        <v>33</v>
      </c>
    </row>
    <row r="949" spans="1:14" x14ac:dyDescent="0.3">
      <c r="A949" s="3" t="s">
        <v>1032</v>
      </c>
      <c r="B949" s="3" t="s">
        <v>35</v>
      </c>
      <c r="C949" s="3">
        <v>3</v>
      </c>
      <c r="D949" s="6">
        <v>76.5</v>
      </c>
      <c r="E949" s="6">
        <v>229.5</v>
      </c>
      <c r="F949" s="5">
        <v>45695</v>
      </c>
      <c r="G949" s="5">
        <v>45696</v>
      </c>
      <c r="H949" s="3" t="s">
        <v>31</v>
      </c>
      <c r="I949" s="4" t="s">
        <v>21</v>
      </c>
      <c r="J949" s="3">
        <v>3</v>
      </c>
      <c r="K949" s="3" t="s">
        <v>121</v>
      </c>
      <c r="L949" s="3">
        <v>1</v>
      </c>
      <c r="M949" s="3">
        <v>6</v>
      </c>
      <c r="N949" s="3" t="s">
        <v>33</v>
      </c>
    </row>
    <row r="950" spans="1:14" x14ac:dyDescent="0.3">
      <c r="A950" s="7" t="s">
        <v>1033</v>
      </c>
      <c r="B950" s="7" t="s">
        <v>51</v>
      </c>
      <c r="C950" s="7">
        <v>3</v>
      </c>
      <c r="D950" s="10">
        <v>42.6</v>
      </c>
      <c r="E950" s="10">
        <v>127.8</v>
      </c>
      <c r="F950" s="9">
        <v>45695</v>
      </c>
      <c r="G950" s="9">
        <v>45701</v>
      </c>
      <c r="H950" s="7" t="s">
        <v>31</v>
      </c>
      <c r="I950" s="8" t="s">
        <v>45</v>
      </c>
      <c r="J950" s="7">
        <v>5</v>
      </c>
      <c r="K950" s="7" t="s">
        <v>32</v>
      </c>
      <c r="L950" s="7">
        <v>6</v>
      </c>
      <c r="M950" s="7">
        <v>6</v>
      </c>
      <c r="N950" s="7" t="s">
        <v>33</v>
      </c>
    </row>
    <row r="951" spans="1:14" x14ac:dyDescent="0.3">
      <c r="A951" s="3" t="s">
        <v>1034</v>
      </c>
      <c r="B951" s="3" t="s">
        <v>44</v>
      </c>
      <c r="C951" s="3">
        <v>3</v>
      </c>
      <c r="D951" s="6">
        <v>44.1</v>
      </c>
      <c r="E951" s="6">
        <v>132.30000000000001</v>
      </c>
      <c r="F951" s="5">
        <v>45695</v>
      </c>
      <c r="G951" s="5">
        <v>45697</v>
      </c>
      <c r="H951" s="3" t="s">
        <v>31</v>
      </c>
      <c r="I951" s="4" t="s">
        <v>40</v>
      </c>
      <c r="J951" s="3">
        <v>3</v>
      </c>
      <c r="K951" s="3" t="s">
        <v>153</v>
      </c>
      <c r="L951" s="3">
        <v>2</v>
      </c>
      <c r="M951" s="3">
        <v>6</v>
      </c>
      <c r="N951" s="3" t="s">
        <v>33</v>
      </c>
    </row>
    <row r="952" spans="1:14" x14ac:dyDescent="0.3">
      <c r="A952" s="7" t="s">
        <v>1035</v>
      </c>
      <c r="B952" s="7" t="s">
        <v>49</v>
      </c>
      <c r="C952" s="7">
        <v>2</v>
      </c>
      <c r="D952" s="10">
        <v>40.9</v>
      </c>
      <c r="E952" s="10">
        <v>81.8</v>
      </c>
      <c r="F952" s="9">
        <v>45695</v>
      </c>
      <c r="G952" s="9">
        <v>45699</v>
      </c>
      <c r="H952" s="7" t="s">
        <v>26</v>
      </c>
      <c r="I952" s="8" t="s">
        <v>21</v>
      </c>
      <c r="J952" s="7">
        <v>4</v>
      </c>
      <c r="K952" s="7" t="s">
        <v>38</v>
      </c>
      <c r="L952" s="7">
        <v>4</v>
      </c>
      <c r="M952" s="7">
        <v>6</v>
      </c>
      <c r="N952" s="7" t="s">
        <v>28</v>
      </c>
    </row>
    <row r="953" spans="1:14" x14ac:dyDescent="0.3">
      <c r="A953" s="3" t="s">
        <v>1036</v>
      </c>
      <c r="B953" s="3" t="s">
        <v>51</v>
      </c>
      <c r="C953" s="3">
        <v>3</v>
      </c>
      <c r="D953" s="6">
        <v>49.1</v>
      </c>
      <c r="E953" s="6">
        <v>147.30000000000001</v>
      </c>
      <c r="F953" s="5">
        <v>45695</v>
      </c>
      <c r="G953" s="5">
        <v>45699</v>
      </c>
      <c r="H953" s="3" t="s">
        <v>31</v>
      </c>
      <c r="I953" s="4" t="s">
        <v>56</v>
      </c>
      <c r="J953" s="3">
        <v>3</v>
      </c>
      <c r="K953" s="3" t="s">
        <v>38</v>
      </c>
      <c r="L953" s="3">
        <v>4</v>
      </c>
      <c r="M953" s="3">
        <v>6</v>
      </c>
      <c r="N953" s="3" t="s">
        <v>33</v>
      </c>
    </row>
    <row r="954" spans="1:14" x14ac:dyDescent="0.3">
      <c r="A954" s="7" t="s">
        <v>1037</v>
      </c>
      <c r="B954" s="7" t="s">
        <v>152</v>
      </c>
      <c r="C954" s="7">
        <v>1</v>
      </c>
      <c r="D954" s="10">
        <v>85.3</v>
      </c>
      <c r="E954" s="10">
        <v>85.3</v>
      </c>
      <c r="F954" s="9">
        <v>45695</v>
      </c>
      <c r="G954" s="9">
        <v>45699</v>
      </c>
      <c r="H954" s="7" t="s">
        <v>26</v>
      </c>
      <c r="I954" s="8" t="s">
        <v>40</v>
      </c>
      <c r="J954" s="7">
        <v>3</v>
      </c>
      <c r="K954" s="7" t="s">
        <v>38</v>
      </c>
      <c r="L954" s="7">
        <v>4</v>
      </c>
      <c r="M954" s="7">
        <v>6</v>
      </c>
      <c r="N954" s="7" t="s">
        <v>28</v>
      </c>
    </row>
    <row r="955" spans="1:14" x14ac:dyDescent="0.3">
      <c r="A955" s="3" t="s">
        <v>1038</v>
      </c>
      <c r="B955" s="3" t="s">
        <v>44</v>
      </c>
      <c r="C955" s="3">
        <v>4</v>
      </c>
      <c r="D955" s="6">
        <v>43.1</v>
      </c>
      <c r="E955" s="6">
        <v>172.4</v>
      </c>
      <c r="F955" s="5">
        <v>45696</v>
      </c>
      <c r="G955" s="5">
        <v>45699</v>
      </c>
      <c r="H955" s="3" t="s">
        <v>26</v>
      </c>
      <c r="I955" s="4" t="s">
        <v>21</v>
      </c>
      <c r="J955" s="3">
        <v>4</v>
      </c>
      <c r="K955" s="3" t="s">
        <v>38</v>
      </c>
      <c r="L955" s="3">
        <v>3</v>
      </c>
      <c r="M955" s="3">
        <v>6</v>
      </c>
      <c r="N955" s="3" t="s">
        <v>28</v>
      </c>
    </row>
    <row r="956" spans="1:14" x14ac:dyDescent="0.3">
      <c r="A956" s="7" t="s">
        <v>1039</v>
      </c>
      <c r="B956" s="7" t="s">
        <v>37</v>
      </c>
      <c r="C956" s="7">
        <v>4</v>
      </c>
      <c r="D956" s="10">
        <v>46.2</v>
      </c>
      <c r="E956" s="10">
        <v>184.8</v>
      </c>
      <c r="F956" s="9">
        <v>45696</v>
      </c>
      <c r="G956" s="9">
        <v>45697</v>
      </c>
      <c r="H956" s="7" t="s">
        <v>26</v>
      </c>
      <c r="I956" s="8" t="s">
        <v>45</v>
      </c>
      <c r="J956" s="7">
        <v>4</v>
      </c>
      <c r="K956" s="7" t="s">
        <v>38</v>
      </c>
      <c r="L956" s="7">
        <v>1</v>
      </c>
      <c r="M956" s="7">
        <v>6</v>
      </c>
      <c r="N956" s="7" t="s">
        <v>28</v>
      </c>
    </row>
    <row r="957" spans="1:14" x14ac:dyDescent="0.3">
      <c r="A957" s="3" t="s">
        <v>1040</v>
      </c>
      <c r="B957" s="3" t="s">
        <v>25</v>
      </c>
      <c r="C957" s="3">
        <v>1</v>
      </c>
      <c r="D957" s="6">
        <v>74.400000000000006</v>
      </c>
      <c r="E957" s="6">
        <v>74.400000000000006</v>
      </c>
      <c r="F957" s="5">
        <v>45696</v>
      </c>
      <c r="G957" s="5">
        <v>45698</v>
      </c>
      <c r="H957" s="3" t="s">
        <v>26</v>
      </c>
      <c r="I957" s="4" t="s">
        <v>75</v>
      </c>
      <c r="J957" s="3">
        <v>5</v>
      </c>
      <c r="K957" s="3" t="s">
        <v>38</v>
      </c>
      <c r="L957" s="3">
        <v>2</v>
      </c>
      <c r="M957" s="3">
        <v>6</v>
      </c>
      <c r="N957" s="3" t="s">
        <v>28</v>
      </c>
    </row>
    <row r="958" spans="1:14" x14ac:dyDescent="0.3">
      <c r="A958" s="7" t="s">
        <v>1041</v>
      </c>
      <c r="B958" s="7" t="s">
        <v>141</v>
      </c>
      <c r="C958" s="7">
        <v>2</v>
      </c>
      <c r="D958" s="10">
        <v>51.2</v>
      </c>
      <c r="E958" s="10">
        <v>102.4</v>
      </c>
      <c r="F958" s="9">
        <v>45696</v>
      </c>
      <c r="G958" s="9">
        <v>45697</v>
      </c>
      <c r="H958" s="7" t="s">
        <v>26</v>
      </c>
      <c r="I958" s="8" t="s">
        <v>40</v>
      </c>
      <c r="J958" s="7">
        <v>4</v>
      </c>
      <c r="K958" s="7" t="s">
        <v>38</v>
      </c>
      <c r="L958" s="7">
        <v>1</v>
      </c>
      <c r="M958" s="7">
        <v>6</v>
      </c>
      <c r="N958" s="7" t="s">
        <v>28</v>
      </c>
    </row>
    <row r="959" spans="1:14" x14ac:dyDescent="0.3">
      <c r="A959" s="3" t="s">
        <v>1042</v>
      </c>
      <c r="B959" s="3" t="s">
        <v>86</v>
      </c>
      <c r="C959" s="3">
        <v>4</v>
      </c>
      <c r="D959" s="6">
        <v>11.8</v>
      </c>
      <c r="E959" s="6">
        <v>47.2</v>
      </c>
      <c r="F959" s="5">
        <v>45696</v>
      </c>
      <c r="G959" s="5">
        <v>45696</v>
      </c>
      <c r="H959" s="3" t="s">
        <v>26</v>
      </c>
      <c r="I959" s="4" t="s">
        <v>45</v>
      </c>
      <c r="J959" s="3">
        <v>4</v>
      </c>
      <c r="K959" s="3" t="s">
        <v>38</v>
      </c>
      <c r="L959" s="3">
        <v>0</v>
      </c>
      <c r="M959" s="3">
        <v>6</v>
      </c>
      <c r="N959" s="3" t="s">
        <v>28</v>
      </c>
    </row>
    <row r="960" spans="1:14" x14ac:dyDescent="0.3">
      <c r="A960" s="7" t="s">
        <v>1043</v>
      </c>
      <c r="B960" s="7" t="s">
        <v>59</v>
      </c>
      <c r="C960" s="7">
        <v>27</v>
      </c>
      <c r="D960" s="10">
        <v>40.799999999999997</v>
      </c>
      <c r="E960" s="10">
        <v>1101.5999999999999</v>
      </c>
      <c r="F960" s="9">
        <v>45696</v>
      </c>
      <c r="G960" s="9">
        <v>45697</v>
      </c>
      <c r="H960" s="7" t="s">
        <v>31</v>
      </c>
      <c r="I960" s="8" t="s">
        <v>56</v>
      </c>
      <c r="J960" s="7">
        <v>5</v>
      </c>
      <c r="K960" s="7" t="s">
        <v>38</v>
      </c>
      <c r="L960" s="7">
        <v>1</v>
      </c>
      <c r="M960" s="7">
        <v>6</v>
      </c>
      <c r="N960" s="7" t="s">
        <v>33</v>
      </c>
    </row>
    <row r="961" spans="1:14" x14ac:dyDescent="0.3">
      <c r="A961" s="3" t="s">
        <v>1044</v>
      </c>
      <c r="B961" s="3" t="s">
        <v>49</v>
      </c>
      <c r="C961" s="3">
        <v>1</v>
      </c>
      <c r="D961" s="6">
        <v>24.7</v>
      </c>
      <c r="E961" s="6">
        <v>24.7</v>
      </c>
      <c r="F961" s="5">
        <v>45696</v>
      </c>
      <c r="G961" s="5">
        <v>45698</v>
      </c>
      <c r="H961" s="3" t="s">
        <v>31</v>
      </c>
      <c r="I961" s="4" t="s">
        <v>45</v>
      </c>
      <c r="J961" s="3">
        <v>3</v>
      </c>
      <c r="K961" s="3" t="s">
        <v>38</v>
      </c>
      <c r="L961" s="3">
        <v>2</v>
      </c>
      <c r="M961" s="3">
        <v>6</v>
      </c>
      <c r="N961" s="3" t="s">
        <v>33</v>
      </c>
    </row>
    <row r="962" spans="1:14" x14ac:dyDescent="0.3">
      <c r="A962" s="7" t="s">
        <v>1045</v>
      </c>
      <c r="B962" s="7" t="s">
        <v>49</v>
      </c>
      <c r="C962" s="7">
        <v>7</v>
      </c>
      <c r="D962" s="10">
        <v>22.1</v>
      </c>
      <c r="E962" s="10">
        <v>154.69999999999999</v>
      </c>
      <c r="F962" s="9">
        <v>45696</v>
      </c>
      <c r="G962" s="9">
        <v>45696</v>
      </c>
      <c r="H962" s="7" t="s">
        <v>31</v>
      </c>
      <c r="I962" s="8" t="s">
        <v>45</v>
      </c>
      <c r="J962" s="7">
        <v>2</v>
      </c>
      <c r="K962" s="7" t="s">
        <v>38</v>
      </c>
      <c r="L962" s="7">
        <v>0</v>
      </c>
      <c r="M962" s="7">
        <v>6</v>
      </c>
      <c r="N962" s="7" t="s">
        <v>33</v>
      </c>
    </row>
    <row r="963" spans="1:14" x14ac:dyDescent="0.3">
      <c r="A963" s="3" t="s">
        <v>1046</v>
      </c>
      <c r="B963" s="3" t="s">
        <v>49</v>
      </c>
      <c r="C963" s="3">
        <v>1</v>
      </c>
      <c r="D963" s="6">
        <v>18.100000000000001</v>
      </c>
      <c r="E963" s="6">
        <v>18.100000000000001</v>
      </c>
      <c r="F963" s="5">
        <v>45696</v>
      </c>
      <c r="G963" s="5">
        <v>45700</v>
      </c>
      <c r="H963" s="3" t="s">
        <v>26</v>
      </c>
      <c r="I963" s="4" t="s">
        <v>56</v>
      </c>
      <c r="J963" s="3">
        <v>5</v>
      </c>
      <c r="K963" s="3" t="s">
        <v>38</v>
      </c>
      <c r="L963" s="3">
        <v>4</v>
      </c>
      <c r="M963" s="3">
        <v>6</v>
      </c>
      <c r="N963" s="3" t="s">
        <v>28</v>
      </c>
    </row>
    <row r="964" spans="1:14" x14ac:dyDescent="0.3">
      <c r="A964" s="7" t="s">
        <v>1047</v>
      </c>
      <c r="B964" s="7" t="s">
        <v>141</v>
      </c>
      <c r="C964" s="7">
        <v>2</v>
      </c>
      <c r="D964" s="10">
        <v>58.8</v>
      </c>
      <c r="E964" s="10">
        <v>117.6</v>
      </c>
      <c r="F964" s="9">
        <v>45696</v>
      </c>
      <c r="G964" s="9">
        <v>45699</v>
      </c>
      <c r="H964" s="7" t="s">
        <v>31</v>
      </c>
      <c r="I964" s="8" t="s">
        <v>21</v>
      </c>
      <c r="J964" s="7">
        <v>4</v>
      </c>
      <c r="K964" s="7" t="s">
        <v>194</v>
      </c>
      <c r="L964" s="7">
        <v>3</v>
      </c>
      <c r="M964" s="7">
        <v>6</v>
      </c>
      <c r="N964" s="7" t="s">
        <v>33</v>
      </c>
    </row>
    <row r="965" spans="1:14" x14ac:dyDescent="0.3">
      <c r="A965" s="3" t="s">
        <v>1048</v>
      </c>
      <c r="B965" s="3" t="s">
        <v>152</v>
      </c>
      <c r="C965" s="3">
        <v>2</v>
      </c>
      <c r="D965" s="6">
        <v>30.8</v>
      </c>
      <c r="E965" s="6">
        <v>61.6</v>
      </c>
      <c r="F965" s="5">
        <v>45696</v>
      </c>
      <c r="G965" s="5">
        <v>45697</v>
      </c>
      <c r="H965" s="3" t="s">
        <v>31</v>
      </c>
      <c r="I965" s="4" t="s">
        <v>21</v>
      </c>
      <c r="J965" s="3">
        <v>4</v>
      </c>
      <c r="K965" s="3" t="s">
        <v>60</v>
      </c>
      <c r="L965" s="3">
        <v>1</v>
      </c>
      <c r="M965" s="3">
        <v>6</v>
      </c>
      <c r="N965" s="3" t="s">
        <v>33</v>
      </c>
    </row>
    <row r="966" spans="1:14" x14ac:dyDescent="0.3">
      <c r="A966" s="7" t="s">
        <v>1049</v>
      </c>
      <c r="B966" s="7" t="s">
        <v>20</v>
      </c>
      <c r="C966" s="7">
        <v>2</v>
      </c>
      <c r="D966" s="10">
        <v>12</v>
      </c>
      <c r="E966" s="10">
        <v>24</v>
      </c>
      <c r="F966" s="9">
        <v>45696</v>
      </c>
      <c r="G966" s="9">
        <v>45700</v>
      </c>
      <c r="H966" s="7" t="s">
        <v>31</v>
      </c>
      <c r="I966" s="8" t="s">
        <v>21</v>
      </c>
      <c r="J966" s="7">
        <v>4</v>
      </c>
      <c r="K966" s="7" t="s">
        <v>60</v>
      </c>
      <c r="L966" s="7">
        <v>4</v>
      </c>
      <c r="M966" s="7">
        <v>6</v>
      </c>
      <c r="N966" s="7" t="s">
        <v>33</v>
      </c>
    </row>
    <row r="967" spans="1:14" x14ac:dyDescent="0.3">
      <c r="A967" s="3" t="s">
        <v>1050</v>
      </c>
      <c r="B967" s="3" t="s">
        <v>20</v>
      </c>
      <c r="C967" s="3">
        <v>4</v>
      </c>
      <c r="D967" s="6">
        <v>13.6</v>
      </c>
      <c r="E967" s="6">
        <v>54.4</v>
      </c>
      <c r="F967" s="5">
        <v>45696</v>
      </c>
      <c r="G967" s="5">
        <v>45699</v>
      </c>
      <c r="H967" s="3" t="s">
        <v>26</v>
      </c>
      <c r="I967" s="4" t="s">
        <v>45</v>
      </c>
      <c r="J967" s="3">
        <v>4</v>
      </c>
      <c r="K967" s="3" t="s">
        <v>60</v>
      </c>
      <c r="L967" s="3">
        <v>3</v>
      </c>
      <c r="M967" s="3">
        <v>6</v>
      </c>
      <c r="N967" s="3" t="s">
        <v>28</v>
      </c>
    </row>
    <row r="968" spans="1:14" x14ac:dyDescent="0.3">
      <c r="A968" s="7" t="s">
        <v>1051</v>
      </c>
      <c r="B968" s="7" t="s">
        <v>20</v>
      </c>
      <c r="C968" s="7">
        <v>1</v>
      </c>
      <c r="D968" s="10">
        <v>17.899999999999999</v>
      </c>
      <c r="E968" s="10">
        <v>17.899999999999999</v>
      </c>
      <c r="F968" s="9">
        <v>45696</v>
      </c>
      <c r="G968" s="9">
        <v>45697</v>
      </c>
      <c r="H968" s="7" t="s">
        <v>26</v>
      </c>
      <c r="I968" s="8" t="s">
        <v>56</v>
      </c>
      <c r="J968" s="7">
        <v>4</v>
      </c>
      <c r="K968" s="7" t="s">
        <v>60</v>
      </c>
      <c r="L968" s="7">
        <v>1</v>
      </c>
      <c r="M968" s="7">
        <v>6</v>
      </c>
      <c r="N968" s="7" t="s">
        <v>28</v>
      </c>
    </row>
    <row r="969" spans="1:14" x14ac:dyDescent="0.3">
      <c r="A969" s="3" t="s">
        <v>1052</v>
      </c>
      <c r="B969" s="3" t="s">
        <v>51</v>
      </c>
      <c r="C969" s="3">
        <v>2</v>
      </c>
      <c r="D969" s="6">
        <v>38.6</v>
      </c>
      <c r="E969" s="6">
        <v>77.2</v>
      </c>
      <c r="F969" s="5">
        <v>45696</v>
      </c>
      <c r="G969" s="5">
        <v>45700</v>
      </c>
      <c r="H969" s="3" t="s">
        <v>31</v>
      </c>
      <c r="I969" s="4" t="s">
        <v>75</v>
      </c>
      <c r="J969" s="3">
        <v>4</v>
      </c>
      <c r="K969" s="3" t="s">
        <v>64</v>
      </c>
      <c r="L969" s="3">
        <v>4</v>
      </c>
      <c r="M969" s="3">
        <v>6</v>
      </c>
      <c r="N969" s="3" t="s">
        <v>33</v>
      </c>
    </row>
    <row r="970" spans="1:14" x14ac:dyDescent="0.3">
      <c r="A970" s="7" t="s">
        <v>1053</v>
      </c>
      <c r="B970" s="7" t="s">
        <v>42</v>
      </c>
      <c r="C970" s="7">
        <v>5</v>
      </c>
      <c r="D970" s="10">
        <v>32.700000000000003</v>
      </c>
      <c r="E970" s="10">
        <v>163.5</v>
      </c>
      <c r="F970" s="9">
        <v>45696</v>
      </c>
      <c r="G970" s="9">
        <v>45697</v>
      </c>
      <c r="H970" s="7" t="s">
        <v>26</v>
      </c>
      <c r="I970" s="8" t="s">
        <v>45</v>
      </c>
      <c r="J970" s="7">
        <v>5</v>
      </c>
      <c r="K970" s="7" t="s">
        <v>67</v>
      </c>
      <c r="L970" s="7">
        <v>1</v>
      </c>
      <c r="M970" s="7">
        <v>6</v>
      </c>
      <c r="N970" s="7" t="s">
        <v>28</v>
      </c>
    </row>
    <row r="971" spans="1:14" x14ac:dyDescent="0.3">
      <c r="A971" s="3" t="s">
        <v>1054</v>
      </c>
      <c r="B971" s="3" t="s">
        <v>35</v>
      </c>
      <c r="C971" s="3">
        <v>2</v>
      </c>
      <c r="D971" s="6">
        <v>111.4</v>
      </c>
      <c r="E971" s="6">
        <v>222.8</v>
      </c>
      <c r="F971" s="5">
        <v>45696</v>
      </c>
      <c r="G971" s="5">
        <v>45697</v>
      </c>
      <c r="H971" s="3" t="s">
        <v>31</v>
      </c>
      <c r="I971" s="4" t="s">
        <v>40</v>
      </c>
      <c r="J971" s="3">
        <v>4</v>
      </c>
      <c r="K971" s="3" t="s">
        <v>67</v>
      </c>
      <c r="L971" s="3">
        <v>1</v>
      </c>
      <c r="M971" s="3">
        <v>6</v>
      </c>
      <c r="N971" s="3" t="s">
        <v>33</v>
      </c>
    </row>
    <row r="972" spans="1:14" x14ac:dyDescent="0.3">
      <c r="A972" s="7" t="s">
        <v>1055</v>
      </c>
      <c r="B972" s="7" t="s">
        <v>30</v>
      </c>
      <c r="C972" s="7">
        <v>6</v>
      </c>
      <c r="D972" s="10">
        <v>80.3</v>
      </c>
      <c r="E972" s="10">
        <v>481.8</v>
      </c>
      <c r="F972" s="9">
        <v>45696</v>
      </c>
      <c r="G972" s="9">
        <v>45698</v>
      </c>
      <c r="H972" s="7" t="s">
        <v>31</v>
      </c>
      <c r="I972" s="8" t="s">
        <v>40</v>
      </c>
      <c r="J972" s="7">
        <v>4</v>
      </c>
      <c r="K972" s="7" t="s">
        <v>67</v>
      </c>
      <c r="L972" s="7">
        <v>2</v>
      </c>
      <c r="M972" s="7">
        <v>6</v>
      </c>
      <c r="N972" s="7" t="s">
        <v>33</v>
      </c>
    </row>
    <row r="973" spans="1:14" x14ac:dyDescent="0.3">
      <c r="A973" s="3" t="s">
        <v>1056</v>
      </c>
      <c r="B973" s="3" t="s">
        <v>44</v>
      </c>
      <c r="C973" s="3">
        <v>2</v>
      </c>
      <c r="D973" s="6">
        <v>58.9</v>
      </c>
      <c r="E973" s="6">
        <v>117.8</v>
      </c>
      <c r="F973" s="5">
        <v>45696</v>
      </c>
      <c r="G973" s="5">
        <v>45697</v>
      </c>
      <c r="H973" s="3" t="s">
        <v>26</v>
      </c>
      <c r="I973" s="4" t="s">
        <v>40</v>
      </c>
      <c r="J973" s="3">
        <v>4</v>
      </c>
      <c r="K973" s="3" t="s">
        <v>67</v>
      </c>
      <c r="L973" s="3">
        <v>1</v>
      </c>
      <c r="M973" s="3">
        <v>6</v>
      </c>
      <c r="N973" s="3" t="s">
        <v>28</v>
      </c>
    </row>
    <row r="974" spans="1:14" x14ac:dyDescent="0.3">
      <c r="A974" s="7" t="s">
        <v>1057</v>
      </c>
      <c r="B974" s="7" t="s">
        <v>44</v>
      </c>
      <c r="C974" s="7">
        <v>3</v>
      </c>
      <c r="D974" s="10">
        <v>51.9</v>
      </c>
      <c r="E974" s="10">
        <v>155.69999999999999</v>
      </c>
      <c r="F974" s="9">
        <v>45696</v>
      </c>
      <c r="G974" s="9">
        <v>45698</v>
      </c>
      <c r="H974" s="7" t="s">
        <v>31</v>
      </c>
      <c r="I974" s="8" t="s">
        <v>40</v>
      </c>
      <c r="J974" s="7">
        <v>2</v>
      </c>
      <c r="K974" s="7" t="s">
        <v>67</v>
      </c>
      <c r="L974" s="7">
        <v>2</v>
      </c>
      <c r="M974" s="7">
        <v>6</v>
      </c>
      <c r="N974" s="7" t="s">
        <v>33</v>
      </c>
    </row>
    <row r="975" spans="1:14" x14ac:dyDescent="0.3">
      <c r="A975" s="3" t="s">
        <v>1058</v>
      </c>
      <c r="B975" s="3" t="s">
        <v>30</v>
      </c>
      <c r="C975" s="3">
        <v>3</v>
      </c>
      <c r="D975" s="6">
        <v>50.3</v>
      </c>
      <c r="E975" s="6">
        <v>150.9</v>
      </c>
      <c r="F975" s="5">
        <v>45696</v>
      </c>
      <c r="G975" s="5">
        <v>45697</v>
      </c>
      <c r="H975" s="3" t="s">
        <v>26</v>
      </c>
      <c r="I975" s="4" t="s">
        <v>45</v>
      </c>
      <c r="J975" s="3">
        <v>4</v>
      </c>
      <c r="K975" s="3" t="s">
        <v>109</v>
      </c>
      <c r="L975" s="3">
        <v>1</v>
      </c>
      <c r="M975" s="3">
        <v>6</v>
      </c>
      <c r="N975" s="3" t="s">
        <v>28</v>
      </c>
    </row>
    <row r="976" spans="1:14" x14ac:dyDescent="0.3">
      <c r="A976" s="7" t="s">
        <v>1059</v>
      </c>
      <c r="B976" s="7" t="s">
        <v>72</v>
      </c>
      <c r="C976" s="7">
        <v>6</v>
      </c>
      <c r="D976" s="10">
        <v>45</v>
      </c>
      <c r="E976" s="10">
        <v>270</v>
      </c>
      <c r="F976" s="9">
        <v>45696</v>
      </c>
      <c r="G976" s="9">
        <v>45702</v>
      </c>
      <c r="H976" s="7" t="s">
        <v>31</v>
      </c>
      <c r="I976" s="8" t="s">
        <v>56</v>
      </c>
      <c r="J976" s="7">
        <v>4</v>
      </c>
      <c r="K976" s="7" t="s">
        <v>77</v>
      </c>
      <c r="L976" s="7">
        <v>6</v>
      </c>
      <c r="M976" s="7">
        <v>6</v>
      </c>
      <c r="N976" s="7" t="s">
        <v>33</v>
      </c>
    </row>
    <row r="977" spans="1:14" x14ac:dyDescent="0.3">
      <c r="A977" s="3" t="s">
        <v>1060</v>
      </c>
      <c r="B977" s="3" t="s">
        <v>59</v>
      </c>
      <c r="C977" s="3">
        <v>6</v>
      </c>
      <c r="D977" s="6">
        <v>44.7</v>
      </c>
      <c r="E977" s="6">
        <v>268.2</v>
      </c>
      <c r="F977" s="5">
        <v>45696</v>
      </c>
      <c r="G977" s="5">
        <v>45698</v>
      </c>
      <c r="H977" s="3" t="s">
        <v>31</v>
      </c>
      <c r="I977" s="4" t="s">
        <v>45</v>
      </c>
      <c r="J977" s="3">
        <v>4</v>
      </c>
      <c r="K977" s="3" t="s">
        <v>82</v>
      </c>
      <c r="L977" s="3">
        <v>2</v>
      </c>
      <c r="M977" s="3">
        <v>6</v>
      </c>
      <c r="N977" s="3" t="s">
        <v>33</v>
      </c>
    </row>
    <row r="978" spans="1:14" x14ac:dyDescent="0.3">
      <c r="A978" s="7" t="s">
        <v>1061</v>
      </c>
      <c r="B978" s="7" t="s">
        <v>152</v>
      </c>
      <c r="C978" s="7">
        <v>15</v>
      </c>
      <c r="D978" s="10">
        <v>33</v>
      </c>
      <c r="E978" s="10">
        <v>495</v>
      </c>
      <c r="F978" s="9">
        <v>45696</v>
      </c>
      <c r="G978" s="9">
        <v>45697</v>
      </c>
      <c r="H978" s="7" t="s">
        <v>31</v>
      </c>
      <c r="I978" s="8" t="s">
        <v>45</v>
      </c>
      <c r="J978" s="7">
        <v>4</v>
      </c>
      <c r="K978" s="7" t="s">
        <v>82</v>
      </c>
      <c r="L978" s="7">
        <v>1</v>
      </c>
      <c r="M978" s="7">
        <v>6</v>
      </c>
      <c r="N978" s="7" t="s">
        <v>33</v>
      </c>
    </row>
    <row r="979" spans="1:14" x14ac:dyDescent="0.3">
      <c r="A979" s="3" t="s">
        <v>1062</v>
      </c>
      <c r="B979" s="3" t="s">
        <v>25</v>
      </c>
      <c r="C979" s="3">
        <v>5</v>
      </c>
      <c r="D979" s="6">
        <v>44.9</v>
      </c>
      <c r="E979" s="6">
        <v>224.5</v>
      </c>
      <c r="F979" s="5">
        <v>45696</v>
      </c>
      <c r="G979" s="5">
        <v>45699</v>
      </c>
      <c r="H979" s="3" t="s">
        <v>31</v>
      </c>
      <c r="I979" s="4" t="s">
        <v>45</v>
      </c>
      <c r="J979" s="3">
        <v>5</v>
      </c>
      <c r="K979" s="3" t="s">
        <v>114</v>
      </c>
      <c r="L979" s="3">
        <v>3</v>
      </c>
      <c r="M979" s="3">
        <v>6</v>
      </c>
      <c r="N979" s="3" t="s">
        <v>33</v>
      </c>
    </row>
    <row r="980" spans="1:14" x14ac:dyDescent="0.3">
      <c r="A980" s="7" t="s">
        <v>1063</v>
      </c>
      <c r="B980" s="7" t="s">
        <v>59</v>
      </c>
      <c r="C980" s="7">
        <v>2</v>
      </c>
      <c r="D980" s="10">
        <v>34.6</v>
      </c>
      <c r="E980" s="10">
        <v>69.2</v>
      </c>
      <c r="F980" s="9">
        <v>45696</v>
      </c>
      <c r="G980" s="9">
        <v>45700</v>
      </c>
      <c r="H980" s="7" t="s">
        <v>31</v>
      </c>
      <c r="I980" s="8" t="s">
        <v>21</v>
      </c>
      <c r="J980" s="7">
        <v>3</v>
      </c>
      <c r="K980" s="7" t="s">
        <v>116</v>
      </c>
      <c r="L980" s="7">
        <v>4</v>
      </c>
      <c r="M980" s="7">
        <v>6</v>
      </c>
      <c r="N980" s="7" t="s">
        <v>33</v>
      </c>
    </row>
    <row r="981" spans="1:14" x14ac:dyDescent="0.3">
      <c r="A981" s="3" t="s">
        <v>1064</v>
      </c>
      <c r="B981" s="3" t="s">
        <v>47</v>
      </c>
      <c r="C981" s="3">
        <v>7</v>
      </c>
      <c r="D981" s="6">
        <v>47.1</v>
      </c>
      <c r="E981" s="6">
        <v>329.7</v>
      </c>
      <c r="F981" s="5">
        <v>45696</v>
      </c>
      <c r="G981" s="5">
        <v>45701</v>
      </c>
      <c r="H981" s="3" t="s">
        <v>31</v>
      </c>
      <c r="I981" s="4" t="s">
        <v>21</v>
      </c>
      <c r="J981" s="3">
        <v>4</v>
      </c>
      <c r="K981" s="3" t="s">
        <v>87</v>
      </c>
      <c r="L981" s="3">
        <v>5</v>
      </c>
      <c r="M981" s="3">
        <v>6</v>
      </c>
      <c r="N981" s="3" t="s">
        <v>33</v>
      </c>
    </row>
    <row r="982" spans="1:14" x14ac:dyDescent="0.3">
      <c r="A982" s="7" t="s">
        <v>1065</v>
      </c>
      <c r="B982" s="7" t="s">
        <v>37</v>
      </c>
      <c r="C982" s="7">
        <v>5</v>
      </c>
      <c r="D982" s="10">
        <v>26.1</v>
      </c>
      <c r="E982" s="10">
        <v>130.5</v>
      </c>
      <c r="F982" s="9">
        <v>45696</v>
      </c>
      <c r="G982" s="9">
        <v>45701</v>
      </c>
      <c r="H982" s="7" t="s">
        <v>26</v>
      </c>
      <c r="I982" s="8" t="s">
        <v>21</v>
      </c>
      <c r="J982" s="7">
        <v>5</v>
      </c>
      <c r="K982" s="7" t="s">
        <v>121</v>
      </c>
      <c r="L982" s="7">
        <v>5</v>
      </c>
      <c r="M982" s="7">
        <v>6</v>
      </c>
      <c r="N982" s="7" t="s">
        <v>28</v>
      </c>
    </row>
    <row r="983" spans="1:14" x14ac:dyDescent="0.3">
      <c r="A983" s="3" t="s">
        <v>1066</v>
      </c>
      <c r="B983" s="3" t="s">
        <v>74</v>
      </c>
      <c r="C983" s="3">
        <v>5</v>
      </c>
      <c r="D983" s="6">
        <v>66.8</v>
      </c>
      <c r="E983" s="6">
        <v>334</v>
      </c>
      <c r="F983" s="5">
        <v>45696</v>
      </c>
      <c r="G983" s="5">
        <v>45699</v>
      </c>
      <c r="H983" s="3" t="s">
        <v>31</v>
      </c>
      <c r="I983" s="4" t="s">
        <v>21</v>
      </c>
      <c r="J983" s="3">
        <v>4</v>
      </c>
      <c r="K983" s="3" t="s">
        <v>121</v>
      </c>
      <c r="L983" s="3">
        <v>3</v>
      </c>
      <c r="M983" s="3">
        <v>6</v>
      </c>
      <c r="N983" s="3" t="s">
        <v>33</v>
      </c>
    </row>
    <row r="984" spans="1:14" x14ac:dyDescent="0.3">
      <c r="A984" s="7" t="s">
        <v>1067</v>
      </c>
      <c r="B984" s="7" t="s">
        <v>30</v>
      </c>
      <c r="C984" s="7">
        <v>2</v>
      </c>
      <c r="D984" s="10">
        <v>167.9</v>
      </c>
      <c r="E984" s="10">
        <v>335.8</v>
      </c>
      <c r="F984" s="9">
        <v>45696</v>
      </c>
      <c r="G984" s="9">
        <v>45697</v>
      </c>
      <c r="H984" s="7" t="s">
        <v>31</v>
      </c>
      <c r="I984" s="8" t="s">
        <v>56</v>
      </c>
      <c r="J984" s="7">
        <v>5</v>
      </c>
      <c r="K984" s="7" t="s">
        <v>121</v>
      </c>
      <c r="L984" s="7">
        <v>1</v>
      </c>
      <c r="M984" s="7">
        <v>6</v>
      </c>
      <c r="N984" s="7" t="s">
        <v>33</v>
      </c>
    </row>
    <row r="985" spans="1:14" x14ac:dyDescent="0.3">
      <c r="A985" s="3" t="s">
        <v>1068</v>
      </c>
      <c r="B985" s="3" t="s">
        <v>59</v>
      </c>
      <c r="C985" s="3">
        <v>9</v>
      </c>
      <c r="D985" s="6">
        <v>34.6</v>
      </c>
      <c r="E985" s="6">
        <v>311.39999999999998</v>
      </c>
      <c r="F985" s="5">
        <v>45696</v>
      </c>
      <c r="G985" s="5">
        <v>45697</v>
      </c>
      <c r="H985" s="3" t="s">
        <v>31</v>
      </c>
      <c r="I985" s="4" t="s">
        <v>45</v>
      </c>
      <c r="J985" s="3">
        <v>3</v>
      </c>
      <c r="K985" s="3" t="s">
        <v>121</v>
      </c>
      <c r="L985" s="3">
        <v>1</v>
      </c>
      <c r="M985" s="3">
        <v>6</v>
      </c>
      <c r="N985" s="3" t="s">
        <v>33</v>
      </c>
    </row>
    <row r="986" spans="1:14" x14ac:dyDescent="0.3">
      <c r="A986" s="7" t="s">
        <v>1069</v>
      </c>
      <c r="B986" s="7" t="s">
        <v>49</v>
      </c>
      <c r="C986" s="7">
        <v>3</v>
      </c>
      <c r="D986" s="10">
        <v>35.1</v>
      </c>
      <c r="E986" s="10">
        <v>105.3</v>
      </c>
      <c r="F986" s="9">
        <v>45697</v>
      </c>
      <c r="G986" s="9">
        <v>45701</v>
      </c>
      <c r="H986" s="7" t="s">
        <v>26</v>
      </c>
      <c r="I986" s="8" t="s">
        <v>75</v>
      </c>
      <c r="J986" s="7">
        <v>5</v>
      </c>
      <c r="K986" s="7" t="s">
        <v>27</v>
      </c>
      <c r="L986" s="7">
        <v>4</v>
      </c>
      <c r="M986" s="7">
        <v>7</v>
      </c>
      <c r="N986" s="7" t="s">
        <v>28</v>
      </c>
    </row>
    <row r="987" spans="1:14" x14ac:dyDescent="0.3">
      <c r="A987" s="3" t="s">
        <v>1070</v>
      </c>
      <c r="B987" s="3" t="s">
        <v>44</v>
      </c>
      <c r="C987" s="3">
        <v>4</v>
      </c>
      <c r="D987" s="6">
        <v>104.5</v>
      </c>
      <c r="E987" s="6">
        <v>418</v>
      </c>
      <c r="F987" s="5">
        <v>45697</v>
      </c>
      <c r="G987" s="5">
        <v>45698</v>
      </c>
      <c r="H987" s="3" t="s">
        <v>26</v>
      </c>
      <c r="I987" s="4" t="s">
        <v>40</v>
      </c>
      <c r="J987" s="3">
        <v>3</v>
      </c>
      <c r="K987" s="3" t="s">
        <v>27</v>
      </c>
      <c r="L987" s="3">
        <v>1</v>
      </c>
      <c r="M987" s="3">
        <v>7</v>
      </c>
      <c r="N987" s="3" t="s">
        <v>28</v>
      </c>
    </row>
    <row r="988" spans="1:14" x14ac:dyDescent="0.3">
      <c r="A988" s="7" t="s">
        <v>1071</v>
      </c>
      <c r="B988" s="7" t="s">
        <v>49</v>
      </c>
      <c r="C988" s="7">
        <v>1</v>
      </c>
      <c r="D988" s="10">
        <v>37.9</v>
      </c>
      <c r="E988" s="10">
        <v>37.9</v>
      </c>
      <c r="F988" s="9">
        <v>45697</v>
      </c>
      <c r="G988" s="9">
        <v>45699</v>
      </c>
      <c r="H988" s="7"/>
      <c r="I988" s="8" t="s">
        <v>40</v>
      </c>
      <c r="J988" s="7">
        <v>5</v>
      </c>
      <c r="K988" s="7" t="s">
        <v>32</v>
      </c>
      <c r="L988" s="7">
        <v>2</v>
      </c>
      <c r="M988" s="7">
        <v>7</v>
      </c>
      <c r="N988" s="7" t="s">
        <v>23</v>
      </c>
    </row>
    <row r="989" spans="1:14" x14ac:dyDescent="0.3">
      <c r="A989" s="3" t="s">
        <v>1072</v>
      </c>
      <c r="B989" s="3" t="s">
        <v>37</v>
      </c>
      <c r="C989" s="3">
        <v>3</v>
      </c>
      <c r="D989" s="6">
        <v>25.5</v>
      </c>
      <c r="E989" s="6">
        <v>76.5</v>
      </c>
      <c r="F989" s="5">
        <v>45697</v>
      </c>
      <c r="G989" s="5">
        <v>45700</v>
      </c>
      <c r="H989" s="3" t="s">
        <v>26</v>
      </c>
      <c r="I989" s="4" t="s">
        <v>56</v>
      </c>
      <c r="J989" s="3">
        <v>4</v>
      </c>
      <c r="K989" s="3" t="s">
        <v>32</v>
      </c>
      <c r="L989" s="3">
        <v>3</v>
      </c>
      <c r="M989" s="3">
        <v>7</v>
      </c>
      <c r="N989" s="3" t="s">
        <v>28</v>
      </c>
    </row>
    <row r="990" spans="1:14" x14ac:dyDescent="0.3">
      <c r="A990" s="7" t="s">
        <v>1073</v>
      </c>
      <c r="B990" s="7" t="s">
        <v>20</v>
      </c>
      <c r="C990" s="7">
        <v>3</v>
      </c>
      <c r="D990" s="10">
        <v>32</v>
      </c>
      <c r="E990" s="10">
        <v>96</v>
      </c>
      <c r="F990" s="9">
        <v>45697</v>
      </c>
      <c r="G990" s="9">
        <v>45701</v>
      </c>
      <c r="H990" s="7" t="s">
        <v>31</v>
      </c>
      <c r="I990" s="8" t="s">
        <v>40</v>
      </c>
      <c r="J990" s="7">
        <v>4</v>
      </c>
      <c r="K990" s="7" t="s">
        <v>153</v>
      </c>
      <c r="L990" s="7">
        <v>4</v>
      </c>
      <c r="M990" s="7">
        <v>7</v>
      </c>
      <c r="N990" s="7" t="s">
        <v>33</v>
      </c>
    </row>
    <row r="991" spans="1:14" x14ac:dyDescent="0.3">
      <c r="A991" s="3" t="s">
        <v>1074</v>
      </c>
      <c r="B991" s="3" t="s">
        <v>25</v>
      </c>
      <c r="C991" s="3">
        <v>1</v>
      </c>
      <c r="D991" s="6">
        <v>47.1</v>
      </c>
      <c r="E991" s="6">
        <v>47.1</v>
      </c>
      <c r="F991" s="5">
        <v>45697</v>
      </c>
      <c r="G991" s="5">
        <v>45698</v>
      </c>
      <c r="H991" s="3" t="s">
        <v>31</v>
      </c>
      <c r="I991" s="4" t="s">
        <v>21</v>
      </c>
      <c r="J991" s="3">
        <v>4</v>
      </c>
      <c r="K991" s="3" t="s">
        <v>22</v>
      </c>
      <c r="L991" s="3">
        <v>1</v>
      </c>
      <c r="M991" s="3">
        <v>7</v>
      </c>
      <c r="N991" s="3" t="s">
        <v>33</v>
      </c>
    </row>
    <row r="992" spans="1:14" x14ac:dyDescent="0.3">
      <c r="A992" s="7" t="s">
        <v>1075</v>
      </c>
      <c r="B992" s="7" t="s">
        <v>44</v>
      </c>
      <c r="C992" s="7">
        <v>2</v>
      </c>
      <c r="D992" s="10">
        <v>50.6</v>
      </c>
      <c r="E992" s="10">
        <v>101.2</v>
      </c>
      <c r="F992" s="9">
        <v>45697</v>
      </c>
      <c r="G992" s="9">
        <v>45703</v>
      </c>
      <c r="H992" s="7"/>
      <c r="I992" s="8" t="s">
        <v>21</v>
      </c>
      <c r="J992" s="7">
        <v>4</v>
      </c>
      <c r="K992" s="7" t="s">
        <v>38</v>
      </c>
      <c r="L992" s="7">
        <v>6</v>
      </c>
      <c r="M992" s="7">
        <v>7</v>
      </c>
      <c r="N992" s="7" t="s">
        <v>23</v>
      </c>
    </row>
    <row r="993" spans="1:14" x14ac:dyDescent="0.3">
      <c r="A993" s="3" t="s">
        <v>1076</v>
      </c>
      <c r="B993" s="3" t="s">
        <v>44</v>
      </c>
      <c r="C993" s="3">
        <v>5</v>
      </c>
      <c r="D993" s="6">
        <v>81.7</v>
      </c>
      <c r="E993" s="6">
        <v>408.5</v>
      </c>
      <c r="F993" s="5">
        <v>45697</v>
      </c>
      <c r="G993" s="5">
        <v>45698</v>
      </c>
      <c r="H993" s="3" t="s">
        <v>31</v>
      </c>
      <c r="I993" s="4" t="s">
        <v>40</v>
      </c>
      <c r="J993" s="3">
        <v>5</v>
      </c>
      <c r="K993" s="3" t="s">
        <v>38</v>
      </c>
      <c r="L993" s="3">
        <v>1</v>
      </c>
      <c r="M993" s="3">
        <v>7</v>
      </c>
      <c r="N993" s="3" t="s">
        <v>33</v>
      </c>
    </row>
    <row r="994" spans="1:14" x14ac:dyDescent="0.3">
      <c r="A994" s="7" t="s">
        <v>1077</v>
      </c>
      <c r="B994" s="7" t="s">
        <v>42</v>
      </c>
      <c r="C994" s="7">
        <v>2</v>
      </c>
      <c r="D994" s="10">
        <v>50.7</v>
      </c>
      <c r="E994" s="10">
        <v>101.4</v>
      </c>
      <c r="F994" s="9">
        <v>45697</v>
      </c>
      <c r="G994" s="9">
        <v>45698</v>
      </c>
      <c r="H994" s="7" t="s">
        <v>94</v>
      </c>
      <c r="I994" s="8" t="s">
        <v>45</v>
      </c>
      <c r="J994" s="7">
        <v>5</v>
      </c>
      <c r="K994" s="7" t="s">
        <v>38</v>
      </c>
      <c r="L994" s="7">
        <v>1</v>
      </c>
      <c r="M994" s="7">
        <v>7</v>
      </c>
      <c r="N994" s="7" t="s">
        <v>95</v>
      </c>
    </row>
    <row r="995" spans="1:14" x14ac:dyDescent="0.3">
      <c r="A995" s="3" t="s">
        <v>1078</v>
      </c>
      <c r="B995" s="3" t="s">
        <v>30</v>
      </c>
      <c r="C995" s="3">
        <v>19</v>
      </c>
      <c r="D995" s="6">
        <v>67.3</v>
      </c>
      <c r="E995" s="6">
        <v>1278.7</v>
      </c>
      <c r="F995" s="5">
        <v>45697</v>
      </c>
      <c r="G995" s="5">
        <v>45701</v>
      </c>
      <c r="H995" s="3" t="s">
        <v>31</v>
      </c>
      <c r="I995" s="4" t="s">
        <v>45</v>
      </c>
      <c r="J995" s="3">
        <v>4</v>
      </c>
      <c r="K995" s="3" t="s">
        <v>38</v>
      </c>
      <c r="L995" s="3">
        <v>4</v>
      </c>
      <c r="M995" s="3">
        <v>7</v>
      </c>
      <c r="N995" s="3" t="s">
        <v>33</v>
      </c>
    </row>
    <row r="996" spans="1:14" x14ac:dyDescent="0.3">
      <c r="A996" s="7" t="s">
        <v>1079</v>
      </c>
      <c r="B996" s="7" t="s">
        <v>30</v>
      </c>
      <c r="C996" s="7">
        <v>4</v>
      </c>
      <c r="D996" s="10">
        <v>64.8</v>
      </c>
      <c r="E996" s="10">
        <v>259.2</v>
      </c>
      <c r="F996" s="9">
        <v>45697</v>
      </c>
      <c r="G996" s="9">
        <v>45700</v>
      </c>
      <c r="H996" s="7" t="s">
        <v>31</v>
      </c>
      <c r="I996" s="8" t="s">
        <v>56</v>
      </c>
      <c r="J996" s="7">
        <v>4</v>
      </c>
      <c r="K996" s="7" t="s">
        <v>38</v>
      </c>
      <c r="L996" s="7">
        <v>3</v>
      </c>
      <c r="M996" s="7">
        <v>7</v>
      </c>
      <c r="N996" s="7" t="s">
        <v>33</v>
      </c>
    </row>
    <row r="997" spans="1:14" x14ac:dyDescent="0.3">
      <c r="A997" s="3" t="s">
        <v>1080</v>
      </c>
      <c r="B997" s="3" t="s">
        <v>42</v>
      </c>
      <c r="C997" s="3">
        <v>22</v>
      </c>
      <c r="D997" s="6">
        <v>61.3</v>
      </c>
      <c r="E997" s="6">
        <v>1348.6</v>
      </c>
      <c r="F997" s="5">
        <v>45697</v>
      </c>
      <c r="G997" s="5">
        <v>45698</v>
      </c>
      <c r="H997" s="3" t="s">
        <v>31</v>
      </c>
      <c r="I997" s="4" t="s">
        <v>21</v>
      </c>
      <c r="J997" s="3">
        <v>5</v>
      </c>
      <c r="K997" s="3" t="s">
        <v>38</v>
      </c>
      <c r="L997" s="3">
        <v>1</v>
      </c>
      <c r="M997" s="3">
        <v>7</v>
      </c>
      <c r="N997" s="3" t="s">
        <v>33</v>
      </c>
    </row>
    <row r="998" spans="1:14" x14ac:dyDescent="0.3">
      <c r="A998" s="7" t="s">
        <v>1081</v>
      </c>
      <c r="B998" s="7" t="s">
        <v>86</v>
      </c>
      <c r="C998" s="7">
        <v>1</v>
      </c>
      <c r="D998" s="10">
        <v>32.9</v>
      </c>
      <c r="E998" s="10">
        <v>32.9</v>
      </c>
      <c r="F998" s="9">
        <v>45697</v>
      </c>
      <c r="G998" s="9">
        <v>45700</v>
      </c>
      <c r="H998" s="7" t="s">
        <v>31</v>
      </c>
      <c r="I998" s="8" t="s">
        <v>75</v>
      </c>
      <c r="J998" s="7">
        <v>4</v>
      </c>
      <c r="K998" s="7" t="s">
        <v>38</v>
      </c>
      <c r="L998" s="7">
        <v>3</v>
      </c>
      <c r="M998" s="7">
        <v>7</v>
      </c>
      <c r="N998" s="7" t="s">
        <v>33</v>
      </c>
    </row>
    <row r="999" spans="1:14" x14ac:dyDescent="0.3">
      <c r="A999" s="3" t="s">
        <v>1082</v>
      </c>
      <c r="B999" s="3" t="s">
        <v>44</v>
      </c>
      <c r="C999" s="3">
        <v>2</v>
      </c>
      <c r="D999" s="6">
        <v>100.8</v>
      </c>
      <c r="E999" s="6">
        <v>201.6</v>
      </c>
      <c r="F999" s="5">
        <v>45697</v>
      </c>
      <c r="G999" s="5">
        <v>45700</v>
      </c>
      <c r="H999" s="3" t="s">
        <v>31</v>
      </c>
      <c r="I999" s="4" t="s">
        <v>21</v>
      </c>
      <c r="J999" s="3">
        <v>4</v>
      </c>
      <c r="K999" s="3" t="s">
        <v>38</v>
      </c>
      <c r="L999" s="3">
        <v>3</v>
      </c>
      <c r="M999" s="3">
        <v>7</v>
      </c>
      <c r="N999" s="3" t="s">
        <v>33</v>
      </c>
    </row>
    <row r="1000" spans="1:14" x14ac:dyDescent="0.3">
      <c r="A1000" s="7" t="s">
        <v>1083</v>
      </c>
      <c r="B1000" s="7" t="s">
        <v>49</v>
      </c>
      <c r="C1000" s="7">
        <v>4</v>
      </c>
      <c r="D1000" s="10">
        <v>25.1</v>
      </c>
      <c r="E1000" s="10">
        <v>100.4</v>
      </c>
      <c r="F1000" s="9">
        <v>45697</v>
      </c>
      <c r="G1000" s="9">
        <v>45699</v>
      </c>
      <c r="H1000" s="7" t="s">
        <v>31</v>
      </c>
      <c r="I1000" s="8" t="s">
        <v>40</v>
      </c>
      <c r="J1000" s="7">
        <v>4</v>
      </c>
      <c r="K1000" s="7" t="s">
        <v>38</v>
      </c>
      <c r="L1000" s="7">
        <v>2</v>
      </c>
      <c r="M1000" s="7">
        <v>7</v>
      </c>
      <c r="N1000" s="7" t="s">
        <v>33</v>
      </c>
    </row>
    <row r="1001" spans="1:14" x14ac:dyDescent="0.3">
      <c r="A1001" s="3" t="s">
        <v>1084</v>
      </c>
      <c r="B1001" s="3" t="s">
        <v>141</v>
      </c>
      <c r="C1001" s="3">
        <v>1</v>
      </c>
      <c r="D1001" s="6">
        <v>48.5</v>
      </c>
      <c r="E1001" s="6">
        <v>48.5</v>
      </c>
      <c r="F1001" s="5">
        <v>45697</v>
      </c>
      <c r="G1001" s="5">
        <v>45698</v>
      </c>
      <c r="H1001" s="3" t="s">
        <v>31</v>
      </c>
      <c r="I1001" s="4" t="s">
        <v>21</v>
      </c>
      <c r="J1001" s="3">
        <v>3</v>
      </c>
      <c r="K1001" s="3" t="s">
        <v>38</v>
      </c>
      <c r="L1001" s="3">
        <v>1</v>
      </c>
      <c r="M1001" s="3">
        <v>7</v>
      </c>
      <c r="N1001" s="3" t="s">
        <v>33</v>
      </c>
    </row>
    <row r="1002" spans="1:14" x14ac:dyDescent="0.3">
      <c r="A1002" s="7" t="s">
        <v>1085</v>
      </c>
      <c r="B1002" s="7" t="s">
        <v>47</v>
      </c>
      <c r="C1002" s="7">
        <v>2</v>
      </c>
      <c r="D1002" s="10">
        <v>33.6</v>
      </c>
      <c r="E1002" s="10">
        <v>67.2</v>
      </c>
      <c r="F1002" s="9">
        <v>45697</v>
      </c>
      <c r="G1002" s="9">
        <v>45701</v>
      </c>
      <c r="H1002" s="7" t="s">
        <v>31</v>
      </c>
      <c r="I1002" s="8" t="s">
        <v>45</v>
      </c>
      <c r="J1002" s="7">
        <v>5</v>
      </c>
      <c r="K1002" s="7" t="s">
        <v>38</v>
      </c>
      <c r="L1002" s="7">
        <v>4</v>
      </c>
      <c r="M1002" s="7">
        <v>7</v>
      </c>
      <c r="N1002" s="7" t="s">
        <v>33</v>
      </c>
    </row>
    <row r="1003" spans="1:14" x14ac:dyDescent="0.3">
      <c r="A1003" s="3" t="s">
        <v>1086</v>
      </c>
      <c r="B1003" s="3" t="s">
        <v>49</v>
      </c>
      <c r="C1003" s="3">
        <v>1</v>
      </c>
      <c r="D1003" s="6">
        <v>39.299999999999997</v>
      </c>
      <c r="E1003" s="6">
        <v>39.299999999999997</v>
      </c>
      <c r="F1003" s="5">
        <v>45697</v>
      </c>
      <c r="G1003" s="5">
        <v>45708</v>
      </c>
      <c r="H1003" s="3" t="s">
        <v>31</v>
      </c>
      <c r="I1003" s="4" t="s">
        <v>40</v>
      </c>
      <c r="J1003" s="3">
        <v>3</v>
      </c>
      <c r="K1003" s="3" t="s">
        <v>194</v>
      </c>
      <c r="L1003" s="3">
        <v>11</v>
      </c>
      <c r="M1003" s="3">
        <v>7</v>
      </c>
      <c r="N1003" s="3" t="s">
        <v>33</v>
      </c>
    </row>
    <row r="1004" spans="1:14" x14ac:dyDescent="0.3">
      <c r="A1004" s="7" t="s">
        <v>1087</v>
      </c>
      <c r="B1004" s="7" t="s">
        <v>37</v>
      </c>
      <c r="C1004" s="7">
        <v>10</v>
      </c>
      <c r="D1004" s="10">
        <v>48.8</v>
      </c>
      <c r="E1004" s="10">
        <v>488</v>
      </c>
      <c r="F1004" s="9">
        <v>45697</v>
      </c>
      <c r="G1004" s="9">
        <v>45699</v>
      </c>
      <c r="H1004" s="7" t="s">
        <v>31</v>
      </c>
      <c r="I1004" s="8" t="s">
        <v>56</v>
      </c>
      <c r="J1004" s="7">
        <v>3</v>
      </c>
      <c r="K1004" s="7" t="s">
        <v>194</v>
      </c>
      <c r="L1004" s="7">
        <v>2</v>
      </c>
      <c r="M1004" s="7">
        <v>7</v>
      </c>
      <c r="N1004" s="7" t="s">
        <v>33</v>
      </c>
    </row>
    <row r="1005" spans="1:14" x14ac:dyDescent="0.3">
      <c r="A1005" s="3" t="s">
        <v>1088</v>
      </c>
      <c r="B1005" s="3" t="s">
        <v>44</v>
      </c>
      <c r="C1005" s="3">
        <v>8</v>
      </c>
      <c r="D1005" s="6">
        <v>72.8</v>
      </c>
      <c r="E1005" s="6">
        <v>582.4</v>
      </c>
      <c r="F1005" s="5">
        <v>45697</v>
      </c>
      <c r="G1005" s="5">
        <v>45699</v>
      </c>
      <c r="H1005" s="3" t="s">
        <v>26</v>
      </c>
      <c r="I1005" s="4" t="s">
        <v>40</v>
      </c>
      <c r="J1005" s="3">
        <v>5</v>
      </c>
      <c r="K1005" s="3" t="s">
        <v>57</v>
      </c>
      <c r="L1005" s="3">
        <v>2</v>
      </c>
      <c r="M1005" s="3">
        <v>7</v>
      </c>
      <c r="N1005" s="3" t="s">
        <v>28</v>
      </c>
    </row>
    <row r="1006" spans="1:14" x14ac:dyDescent="0.3">
      <c r="A1006" s="7" t="s">
        <v>1089</v>
      </c>
      <c r="B1006" s="7" t="s">
        <v>59</v>
      </c>
      <c r="C1006" s="7">
        <v>8</v>
      </c>
      <c r="D1006" s="10">
        <v>46.2</v>
      </c>
      <c r="E1006" s="10">
        <v>369.6</v>
      </c>
      <c r="F1006" s="9">
        <v>45697</v>
      </c>
      <c r="G1006" s="9">
        <v>45698</v>
      </c>
      <c r="H1006" s="7" t="s">
        <v>26</v>
      </c>
      <c r="I1006" s="8" t="s">
        <v>56</v>
      </c>
      <c r="J1006" s="7">
        <v>2</v>
      </c>
      <c r="K1006" s="7" t="s">
        <v>57</v>
      </c>
      <c r="L1006" s="7">
        <v>1</v>
      </c>
      <c r="M1006" s="7">
        <v>7</v>
      </c>
      <c r="N1006" s="7" t="s">
        <v>28</v>
      </c>
    </row>
    <row r="1007" spans="1:14" x14ac:dyDescent="0.3">
      <c r="A1007" s="3" t="s">
        <v>1090</v>
      </c>
      <c r="B1007" s="3" t="s">
        <v>37</v>
      </c>
      <c r="C1007" s="3">
        <v>2</v>
      </c>
      <c r="D1007" s="6">
        <v>20.7</v>
      </c>
      <c r="E1007" s="6">
        <v>41.4</v>
      </c>
      <c r="F1007" s="5">
        <v>45697</v>
      </c>
      <c r="G1007" s="5">
        <v>45698</v>
      </c>
      <c r="H1007" s="3" t="s">
        <v>31</v>
      </c>
      <c r="I1007" s="4" t="s">
        <v>45</v>
      </c>
      <c r="J1007" s="3">
        <v>1</v>
      </c>
      <c r="K1007" s="3" t="s">
        <v>60</v>
      </c>
      <c r="L1007" s="3">
        <v>1</v>
      </c>
      <c r="M1007" s="3">
        <v>7</v>
      </c>
      <c r="N1007" s="3" t="s">
        <v>33</v>
      </c>
    </row>
    <row r="1008" spans="1:14" x14ac:dyDescent="0.3">
      <c r="A1008" s="7" t="s">
        <v>1091</v>
      </c>
      <c r="B1008" s="7" t="s">
        <v>20</v>
      </c>
      <c r="C1008" s="7">
        <v>1</v>
      </c>
      <c r="D1008" s="10">
        <v>35.700000000000003</v>
      </c>
      <c r="E1008" s="10">
        <v>35.700000000000003</v>
      </c>
      <c r="F1008" s="9">
        <v>45697</v>
      </c>
      <c r="G1008" s="9">
        <v>45699</v>
      </c>
      <c r="H1008" s="7" t="s">
        <v>31</v>
      </c>
      <c r="I1008" s="8" t="s">
        <v>56</v>
      </c>
      <c r="J1008" s="7">
        <v>4</v>
      </c>
      <c r="K1008" s="7" t="s">
        <v>60</v>
      </c>
      <c r="L1008" s="7">
        <v>2</v>
      </c>
      <c r="M1008" s="7">
        <v>7</v>
      </c>
      <c r="N1008" s="7" t="s">
        <v>33</v>
      </c>
    </row>
    <row r="1009" spans="1:14" x14ac:dyDescent="0.3">
      <c r="A1009" s="3" t="s">
        <v>1092</v>
      </c>
      <c r="B1009" s="3" t="s">
        <v>30</v>
      </c>
      <c r="C1009" s="3">
        <v>16</v>
      </c>
      <c r="D1009" s="6">
        <v>166.2</v>
      </c>
      <c r="E1009" s="6">
        <v>2659.2</v>
      </c>
      <c r="F1009" s="5">
        <v>45697</v>
      </c>
      <c r="G1009" s="5">
        <v>45699</v>
      </c>
      <c r="H1009" s="3"/>
      <c r="I1009" s="4" t="s">
        <v>45</v>
      </c>
      <c r="J1009" s="3">
        <v>4</v>
      </c>
      <c r="K1009" s="3" t="s">
        <v>64</v>
      </c>
      <c r="L1009" s="3">
        <v>2</v>
      </c>
      <c r="M1009" s="3">
        <v>7</v>
      </c>
      <c r="N1009" s="3" t="s">
        <v>23</v>
      </c>
    </row>
    <row r="1010" spans="1:14" x14ac:dyDescent="0.3">
      <c r="A1010" s="7" t="s">
        <v>1093</v>
      </c>
      <c r="B1010" s="7" t="s">
        <v>44</v>
      </c>
      <c r="C1010" s="7">
        <v>4</v>
      </c>
      <c r="D1010" s="10">
        <v>85.8</v>
      </c>
      <c r="E1010" s="10">
        <v>343.2</v>
      </c>
      <c r="F1010" s="9">
        <v>45697</v>
      </c>
      <c r="G1010" s="9">
        <v>45698</v>
      </c>
      <c r="H1010" s="7" t="s">
        <v>31</v>
      </c>
      <c r="I1010" s="8" t="s">
        <v>40</v>
      </c>
      <c r="J1010" s="7">
        <v>3</v>
      </c>
      <c r="K1010" s="7" t="s">
        <v>64</v>
      </c>
      <c r="L1010" s="7">
        <v>1</v>
      </c>
      <c r="M1010" s="7">
        <v>7</v>
      </c>
      <c r="N1010" s="7" t="s">
        <v>33</v>
      </c>
    </row>
    <row r="1011" spans="1:14" x14ac:dyDescent="0.3">
      <c r="A1011" s="3" t="s">
        <v>1094</v>
      </c>
      <c r="B1011" s="3" t="s">
        <v>49</v>
      </c>
      <c r="C1011" s="3">
        <v>3</v>
      </c>
      <c r="D1011" s="6">
        <v>26</v>
      </c>
      <c r="E1011" s="6">
        <v>78</v>
      </c>
      <c r="F1011" s="5">
        <v>45697</v>
      </c>
      <c r="G1011" s="5">
        <v>45699</v>
      </c>
      <c r="H1011" s="3" t="s">
        <v>94</v>
      </c>
      <c r="I1011" s="4" t="s">
        <v>40</v>
      </c>
      <c r="J1011" s="3">
        <v>4</v>
      </c>
      <c r="K1011" s="3" t="s">
        <v>64</v>
      </c>
      <c r="L1011" s="3">
        <v>2</v>
      </c>
      <c r="M1011" s="3">
        <v>7</v>
      </c>
      <c r="N1011" s="3" t="s">
        <v>95</v>
      </c>
    </row>
    <row r="1012" spans="1:14" x14ac:dyDescent="0.3">
      <c r="A1012" s="7" t="s">
        <v>1095</v>
      </c>
      <c r="B1012" s="7" t="s">
        <v>30</v>
      </c>
      <c r="C1012" s="7">
        <v>13</v>
      </c>
      <c r="D1012" s="10">
        <v>116.6</v>
      </c>
      <c r="E1012" s="10">
        <v>1515.8</v>
      </c>
      <c r="F1012" s="9">
        <v>45697</v>
      </c>
      <c r="G1012" s="9">
        <v>45700</v>
      </c>
      <c r="H1012" s="7" t="s">
        <v>31</v>
      </c>
      <c r="I1012" s="8" t="s">
        <v>21</v>
      </c>
      <c r="J1012" s="7">
        <v>4</v>
      </c>
      <c r="K1012" s="7" t="s">
        <v>67</v>
      </c>
      <c r="L1012" s="7">
        <v>3</v>
      </c>
      <c r="M1012" s="7">
        <v>7</v>
      </c>
      <c r="N1012" s="7" t="s">
        <v>33</v>
      </c>
    </row>
    <row r="1013" spans="1:14" x14ac:dyDescent="0.3">
      <c r="A1013" s="3" t="s">
        <v>1096</v>
      </c>
      <c r="B1013" s="3" t="s">
        <v>51</v>
      </c>
      <c r="C1013" s="3">
        <v>7</v>
      </c>
      <c r="D1013" s="6">
        <v>53.9</v>
      </c>
      <c r="E1013" s="6">
        <v>377.3</v>
      </c>
      <c r="F1013" s="5">
        <v>45697</v>
      </c>
      <c r="G1013" s="5">
        <v>45700</v>
      </c>
      <c r="H1013" s="3" t="s">
        <v>94</v>
      </c>
      <c r="I1013" s="4" t="s">
        <v>21</v>
      </c>
      <c r="J1013" s="3">
        <v>5</v>
      </c>
      <c r="K1013" s="3" t="s">
        <v>67</v>
      </c>
      <c r="L1013" s="3">
        <v>3</v>
      </c>
      <c r="M1013" s="3">
        <v>7</v>
      </c>
      <c r="N1013" s="3" t="s">
        <v>95</v>
      </c>
    </row>
    <row r="1014" spans="1:14" x14ac:dyDescent="0.3">
      <c r="A1014" s="7" t="s">
        <v>1097</v>
      </c>
      <c r="B1014" s="7" t="s">
        <v>74</v>
      </c>
      <c r="C1014" s="7">
        <v>5</v>
      </c>
      <c r="D1014" s="10">
        <v>72.3</v>
      </c>
      <c r="E1014" s="10">
        <v>361.5</v>
      </c>
      <c r="F1014" s="9">
        <v>45697</v>
      </c>
      <c r="G1014" s="9">
        <v>45699</v>
      </c>
      <c r="H1014" s="7"/>
      <c r="I1014" s="8" t="s">
        <v>45</v>
      </c>
      <c r="J1014" s="7">
        <v>5</v>
      </c>
      <c r="K1014" s="7" t="s">
        <v>67</v>
      </c>
      <c r="L1014" s="7">
        <v>2</v>
      </c>
      <c r="M1014" s="7">
        <v>7</v>
      </c>
      <c r="N1014" s="7" t="s">
        <v>23</v>
      </c>
    </row>
    <row r="1015" spans="1:14" x14ac:dyDescent="0.3">
      <c r="A1015" s="3" t="s">
        <v>1098</v>
      </c>
      <c r="B1015" s="3" t="s">
        <v>42</v>
      </c>
      <c r="C1015" s="3">
        <v>2</v>
      </c>
      <c r="D1015" s="6">
        <v>31.4</v>
      </c>
      <c r="E1015" s="6">
        <v>62.8</v>
      </c>
      <c r="F1015" s="5">
        <v>45697</v>
      </c>
      <c r="G1015" s="5">
        <v>45699</v>
      </c>
      <c r="H1015" s="3" t="s">
        <v>31</v>
      </c>
      <c r="I1015" s="4" t="s">
        <v>21</v>
      </c>
      <c r="J1015" s="3">
        <v>4</v>
      </c>
      <c r="K1015" s="3" t="s">
        <v>67</v>
      </c>
      <c r="L1015" s="3">
        <v>2</v>
      </c>
      <c r="M1015" s="3">
        <v>7</v>
      </c>
      <c r="N1015" s="3" t="s">
        <v>33</v>
      </c>
    </row>
    <row r="1016" spans="1:14" x14ac:dyDescent="0.3">
      <c r="A1016" s="7" t="s">
        <v>1099</v>
      </c>
      <c r="B1016" s="7" t="s">
        <v>81</v>
      </c>
      <c r="C1016" s="7">
        <v>2</v>
      </c>
      <c r="D1016" s="10">
        <v>53.1</v>
      </c>
      <c r="E1016" s="10">
        <v>106.2</v>
      </c>
      <c r="F1016" s="9">
        <v>45697</v>
      </c>
      <c r="G1016" s="9">
        <v>45700</v>
      </c>
      <c r="H1016" s="7" t="s">
        <v>26</v>
      </c>
      <c r="I1016" s="8" t="s">
        <v>40</v>
      </c>
      <c r="J1016" s="7">
        <v>4</v>
      </c>
      <c r="K1016" s="7" t="s">
        <v>67</v>
      </c>
      <c r="L1016" s="7">
        <v>3</v>
      </c>
      <c r="M1016" s="7">
        <v>7</v>
      </c>
      <c r="N1016" s="7" t="s">
        <v>28</v>
      </c>
    </row>
    <row r="1017" spans="1:14" x14ac:dyDescent="0.3">
      <c r="A1017" s="3" t="s">
        <v>1100</v>
      </c>
      <c r="B1017" s="3" t="s">
        <v>30</v>
      </c>
      <c r="C1017" s="3">
        <v>4</v>
      </c>
      <c r="D1017" s="6">
        <v>56.2</v>
      </c>
      <c r="E1017" s="6">
        <v>224.8</v>
      </c>
      <c r="F1017" s="5">
        <v>45697</v>
      </c>
      <c r="G1017" s="5">
        <v>45698</v>
      </c>
      <c r="H1017" s="3" t="s">
        <v>31</v>
      </c>
      <c r="I1017" s="4" t="s">
        <v>21</v>
      </c>
      <c r="J1017" s="3">
        <v>4</v>
      </c>
      <c r="K1017" s="3" t="s">
        <v>67</v>
      </c>
      <c r="L1017" s="3">
        <v>1</v>
      </c>
      <c r="M1017" s="3">
        <v>7</v>
      </c>
      <c r="N1017" s="3" t="s">
        <v>33</v>
      </c>
    </row>
    <row r="1018" spans="1:14" x14ac:dyDescent="0.3">
      <c r="A1018" s="7" t="s">
        <v>1101</v>
      </c>
      <c r="B1018" s="7" t="s">
        <v>25</v>
      </c>
      <c r="C1018" s="7">
        <v>10</v>
      </c>
      <c r="D1018" s="10">
        <v>77.3</v>
      </c>
      <c r="E1018" s="10">
        <v>773</v>
      </c>
      <c r="F1018" s="9">
        <v>45697</v>
      </c>
      <c r="G1018" s="9">
        <v>45698</v>
      </c>
      <c r="H1018" s="7" t="s">
        <v>31</v>
      </c>
      <c r="I1018" s="8" t="s">
        <v>45</v>
      </c>
      <c r="J1018" s="7">
        <v>4</v>
      </c>
      <c r="K1018" s="7" t="s">
        <v>82</v>
      </c>
      <c r="L1018" s="7">
        <v>1</v>
      </c>
      <c r="M1018" s="7">
        <v>7</v>
      </c>
      <c r="N1018" s="7" t="s">
        <v>33</v>
      </c>
    </row>
    <row r="1019" spans="1:14" x14ac:dyDescent="0.3">
      <c r="A1019" s="3" t="s">
        <v>1102</v>
      </c>
      <c r="B1019" s="3" t="s">
        <v>44</v>
      </c>
      <c r="C1019" s="3">
        <v>13</v>
      </c>
      <c r="D1019" s="6">
        <v>57.8</v>
      </c>
      <c r="E1019" s="6">
        <v>751.4</v>
      </c>
      <c r="F1019" s="5">
        <v>45697</v>
      </c>
      <c r="G1019" s="5">
        <v>45698</v>
      </c>
      <c r="H1019" s="3"/>
      <c r="I1019" s="4" t="s">
        <v>21</v>
      </c>
      <c r="J1019" s="3">
        <v>4</v>
      </c>
      <c r="K1019" s="3" t="s">
        <v>264</v>
      </c>
      <c r="L1019" s="3">
        <v>1</v>
      </c>
      <c r="M1019" s="3">
        <v>7</v>
      </c>
      <c r="N1019" s="3" t="s">
        <v>23</v>
      </c>
    </row>
    <row r="1020" spans="1:14" x14ac:dyDescent="0.3">
      <c r="A1020" s="7" t="s">
        <v>1103</v>
      </c>
      <c r="B1020" s="7" t="s">
        <v>74</v>
      </c>
      <c r="C1020" s="7">
        <v>15</v>
      </c>
      <c r="D1020" s="10">
        <v>42.1</v>
      </c>
      <c r="E1020" s="10">
        <v>631.5</v>
      </c>
      <c r="F1020" s="9">
        <v>45697</v>
      </c>
      <c r="G1020" s="9">
        <v>45699</v>
      </c>
      <c r="H1020" s="7" t="s">
        <v>31</v>
      </c>
      <c r="I1020" s="8" t="s">
        <v>40</v>
      </c>
      <c r="J1020" s="7">
        <v>3</v>
      </c>
      <c r="K1020" s="7" t="s">
        <v>264</v>
      </c>
      <c r="L1020" s="7">
        <v>2</v>
      </c>
      <c r="M1020" s="7">
        <v>7</v>
      </c>
      <c r="N1020" s="7" t="s">
        <v>33</v>
      </c>
    </row>
    <row r="1021" spans="1:14" x14ac:dyDescent="0.3">
      <c r="A1021" s="3" t="s">
        <v>1104</v>
      </c>
      <c r="B1021" s="3" t="s">
        <v>49</v>
      </c>
      <c r="C1021" s="3">
        <v>9</v>
      </c>
      <c r="D1021" s="6">
        <v>22.8</v>
      </c>
      <c r="E1021" s="6">
        <v>205.2</v>
      </c>
      <c r="F1021" s="5">
        <v>45697</v>
      </c>
      <c r="G1021" s="5">
        <v>45701</v>
      </c>
      <c r="H1021" s="3" t="s">
        <v>26</v>
      </c>
      <c r="I1021" s="4" t="s">
        <v>45</v>
      </c>
      <c r="J1021" s="3">
        <v>5</v>
      </c>
      <c r="K1021" s="3" t="s">
        <v>116</v>
      </c>
      <c r="L1021" s="3">
        <v>4</v>
      </c>
      <c r="M1021" s="3">
        <v>7</v>
      </c>
      <c r="N1021" s="3" t="s">
        <v>28</v>
      </c>
    </row>
    <row r="1022" spans="1:14" x14ac:dyDescent="0.3">
      <c r="A1022" s="7" t="s">
        <v>1105</v>
      </c>
      <c r="B1022" s="7" t="s">
        <v>30</v>
      </c>
      <c r="C1022" s="7">
        <v>3</v>
      </c>
      <c r="D1022" s="10">
        <v>171.1</v>
      </c>
      <c r="E1022" s="10">
        <v>513.29999999999995</v>
      </c>
      <c r="F1022" s="9">
        <v>45698</v>
      </c>
      <c r="G1022" s="9">
        <v>45705</v>
      </c>
      <c r="H1022" s="7" t="s">
        <v>31</v>
      </c>
      <c r="I1022" s="8" t="s">
        <v>45</v>
      </c>
      <c r="J1022" s="7">
        <v>3</v>
      </c>
      <c r="K1022" s="7" t="s">
        <v>116</v>
      </c>
      <c r="L1022" s="7">
        <v>7</v>
      </c>
      <c r="M1022" s="7">
        <v>7</v>
      </c>
      <c r="N1022" s="7" t="s">
        <v>33</v>
      </c>
    </row>
    <row r="1023" spans="1:14" x14ac:dyDescent="0.3">
      <c r="A1023" s="3" t="s">
        <v>1106</v>
      </c>
      <c r="B1023" s="3" t="s">
        <v>49</v>
      </c>
      <c r="C1023" s="3">
        <v>1</v>
      </c>
      <c r="D1023" s="6">
        <v>28</v>
      </c>
      <c r="E1023" s="6">
        <v>28</v>
      </c>
      <c r="F1023" s="5">
        <v>45698</v>
      </c>
      <c r="G1023" s="5">
        <v>45700</v>
      </c>
      <c r="H1023" s="3" t="s">
        <v>26</v>
      </c>
      <c r="I1023" s="4" t="s">
        <v>45</v>
      </c>
      <c r="J1023" s="3">
        <v>5</v>
      </c>
      <c r="K1023" s="3" t="s">
        <v>121</v>
      </c>
      <c r="L1023" s="3">
        <v>2</v>
      </c>
      <c r="M1023" s="3">
        <v>7</v>
      </c>
      <c r="N1023" s="3" t="s">
        <v>28</v>
      </c>
    </row>
    <row r="1024" spans="1:14" x14ac:dyDescent="0.3">
      <c r="A1024" s="7" t="s">
        <v>1107</v>
      </c>
      <c r="B1024" s="7" t="s">
        <v>44</v>
      </c>
      <c r="C1024" s="7">
        <v>7</v>
      </c>
      <c r="D1024" s="10">
        <v>50.2</v>
      </c>
      <c r="E1024" s="10">
        <v>351.4</v>
      </c>
      <c r="F1024" s="9">
        <v>45698</v>
      </c>
      <c r="G1024" s="9">
        <v>45700</v>
      </c>
      <c r="H1024" s="7" t="s">
        <v>26</v>
      </c>
      <c r="I1024" s="8" t="s">
        <v>45</v>
      </c>
      <c r="J1024" s="7">
        <v>4</v>
      </c>
      <c r="K1024" s="7" t="s">
        <v>121</v>
      </c>
      <c r="L1024" s="7">
        <v>2</v>
      </c>
      <c r="M1024" s="7">
        <v>7</v>
      </c>
      <c r="N1024" s="7" t="s">
        <v>28</v>
      </c>
    </row>
    <row r="1025" spans="1:14" x14ac:dyDescent="0.3">
      <c r="A1025" s="3" t="s">
        <v>1108</v>
      </c>
      <c r="B1025" s="3" t="s">
        <v>44</v>
      </c>
      <c r="C1025" s="3">
        <v>2</v>
      </c>
      <c r="D1025" s="6">
        <v>56</v>
      </c>
      <c r="E1025" s="6">
        <v>112</v>
      </c>
      <c r="F1025" s="5">
        <v>45698</v>
      </c>
      <c r="G1025" s="5">
        <v>45698</v>
      </c>
      <c r="H1025" s="3" t="s">
        <v>26</v>
      </c>
      <c r="I1025" s="4" t="s">
        <v>21</v>
      </c>
      <c r="J1025" s="3">
        <v>5</v>
      </c>
      <c r="K1025" s="3" t="s">
        <v>153</v>
      </c>
      <c r="L1025" s="3">
        <v>0</v>
      </c>
      <c r="M1025" s="3">
        <v>7</v>
      </c>
      <c r="N1025" s="3" t="s">
        <v>28</v>
      </c>
    </row>
    <row r="1026" spans="1:14" x14ac:dyDescent="0.3">
      <c r="A1026" s="7" t="s">
        <v>1109</v>
      </c>
      <c r="B1026" s="7" t="s">
        <v>25</v>
      </c>
      <c r="C1026" s="7">
        <v>2</v>
      </c>
      <c r="D1026" s="10">
        <v>38.299999999999997</v>
      </c>
      <c r="E1026" s="10">
        <v>76.599999999999994</v>
      </c>
      <c r="F1026" s="9">
        <v>45698</v>
      </c>
      <c r="G1026" s="9">
        <v>45699</v>
      </c>
      <c r="H1026" s="7" t="s">
        <v>31</v>
      </c>
      <c r="I1026" s="8" t="s">
        <v>40</v>
      </c>
      <c r="J1026" s="7">
        <v>4</v>
      </c>
      <c r="K1026" s="7" t="s">
        <v>38</v>
      </c>
      <c r="L1026" s="7">
        <v>1</v>
      </c>
      <c r="M1026" s="7">
        <v>7</v>
      </c>
      <c r="N1026" s="7" t="s">
        <v>33</v>
      </c>
    </row>
    <row r="1027" spans="1:14" x14ac:dyDescent="0.3">
      <c r="A1027" s="3" t="s">
        <v>1110</v>
      </c>
      <c r="B1027" s="3" t="s">
        <v>20</v>
      </c>
      <c r="C1027" s="3">
        <v>5</v>
      </c>
      <c r="D1027" s="6">
        <v>22.3</v>
      </c>
      <c r="E1027" s="6">
        <v>111.5</v>
      </c>
      <c r="F1027" s="5">
        <v>45698</v>
      </c>
      <c r="G1027" s="5">
        <v>45702</v>
      </c>
      <c r="H1027" s="3" t="s">
        <v>31</v>
      </c>
      <c r="I1027" s="4" t="s">
        <v>45</v>
      </c>
      <c r="J1027" s="3">
        <v>3</v>
      </c>
      <c r="K1027" s="3" t="s">
        <v>38</v>
      </c>
      <c r="L1027" s="3">
        <v>4</v>
      </c>
      <c r="M1027" s="3">
        <v>7</v>
      </c>
      <c r="N1027" s="3" t="s">
        <v>33</v>
      </c>
    </row>
    <row r="1028" spans="1:14" x14ac:dyDescent="0.3">
      <c r="A1028" s="7" t="s">
        <v>1111</v>
      </c>
      <c r="B1028" s="7" t="s">
        <v>20</v>
      </c>
      <c r="C1028" s="7">
        <v>3</v>
      </c>
      <c r="D1028" s="10">
        <v>22.3</v>
      </c>
      <c r="E1028" s="10">
        <v>66.900000000000006</v>
      </c>
      <c r="F1028" s="9">
        <v>45698</v>
      </c>
      <c r="G1028" s="9">
        <v>45701</v>
      </c>
      <c r="H1028" s="7" t="s">
        <v>31</v>
      </c>
      <c r="I1028" s="8" t="s">
        <v>45</v>
      </c>
      <c r="J1028" s="7">
        <v>4</v>
      </c>
      <c r="K1028" s="7" t="s">
        <v>38</v>
      </c>
      <c r="L1028" s="7">
        <v>3</v>
      </c>
      <c r="M1028" s="7">
        <v>7</v>
      </c>
      <c r="N1028" s="7" t="s">
        <v>33</v>
      </c>
    </row>
    <row r="1029" spans="1:14" x14ac:dyDescent="0.3">
      <c r="A1029" s="3" t="s">
        <v>1112</v>
      </c>
      <c r="B1029" s="3" t="s">
        <v>25</v>
      </c>
      <c r="C1029" s="3">
        <v>1</v>
      </c>
      <c r="D1029" s="6">
        <v>32.9</v>
      </c>
      <c r="E1029" s="6">
        <v>32.9</v>
      </c>
      <c r="F1029" s="5">
        <v>45698</v>
      </c>
      <c r="G1029" s="5">
        <v>45703</v>
      </c>
      <c r="H1029" s="3" t="s">
        <v>31</v>
      </c>
      <c r="I1029" s="4" t="s">
        <v>21</v>
      </c>
      <c r="J1029" s="3">
        <v>4</v>
      </c>
      <c r="K1029" s="3" t="s">
        <v>38</v>
      </c>
      <c r="L1029" s="3">
        <v>5</v>
      </c>
      <c r="M1029" s="3">
        <v>7</v>
      </c>
      <c r="N1029" s="3" t="s">
        <v>33</v>
      </c>
    </row>
    <row r="1030" spans="1:14" x14ac:dyDescent="0.3">
      <c r="A1030" s="7" t="s">
        <v>1113</v>
      </c>
      <c r="B1030" s="7" t="s">
        <v>59</v>
      </c>
      <c r="C1030" s="7">
        <v>3</v>
      </c>
      <c r="D1030" s="10">
        <v>31.9</v>
      </c>
      <c r="E1030" s="10">
        <v>95.699999999999989</v>
      </c>
      <c r="F1030" s="9">
        <v>45698</v>
      </c>
      <c r="G1030" s="9">
        <v>45703</v>
      </c>
      <c r="H1030" s="7" t="s">
        <v>31</v>
      </c>
      <c r="I1030" s="8" t="s">
        <v>21</v>
      </c>
      <c r="J1030" s="7">
        <v>4</v>
      </c>
      <c r="K1030" s="7" t="s">
        <v>38</v>
      </c>
      <c r="L1030" s="7">
        <v>5</v>
      </c>
      <c r="M1030" s="7">
        <v>7</v>
      </c>
      <c r="N1030" s="7" t="s">
        <v>33</v>
      </c>
    </row>
    <row r="1031" spans="1:14" x14ac:dyDescent="0.3">
      <c r="A1031" s="3" t="s">
        <v>1114</v>
      </c>
      <c r="B1031" s="3" t="s">
        <v>44</v>
      </c>
      <c r="C1031" s="3">
        <v>2</v>
      </c>
      <c r="D1031" s="6">
        <v>94</v>
      </c>
      <c r="E1031" s="6">
        <v>188</v>
      </c>
      <c r="F1031" s="5">
        <v>45698</v>
      </c>
      <c r="G1031" s="5">
        <v>45699</v>
      </c>
      <c r="H1031" s="3" t="s">
        <v>26</v>
      </c>
      <c r="I1031" s="4" t="s">
        <v>45</v>
      </c>
      <c r="J1031" s="3">
        <v>5</v>
      </c>
      <c r="K1031" s="3" t="s">
        <v>38</v>
      </c>
      <c r="L1031" s="3">
        <v>1</v>
      </c>
      <c r="M1031" s="3">
        <v>7</v>
      </c>
      <c r="N1031" s="3" t="s">
        <v>28</v>
      </c>
    </row>
    <row r="1032" spans="1:14" x14ac:dyDescent="0.3">
      <c r="A1032" s="7" t="s">
        <v>1115</v>
      </c>
      <c r="B1032" s="7" t="s">
        <v>59</v>
      </c>
      <c r="C1032" s="7">
        <v>2</v>
      </c>
      <c r="D1032" s="10">
        <v>30.7</v>
      </c>
      <c r="E1032" s="10">
        <v>61.4</v>
      </c>
      <c r="F1032" s="9">
        <v>45698</v>
      </c>
      <c r="G1032" s="9">
        <v>45699</v>
      </c>
      <c r="H1032" s="7" t="s">
        <v>31</v>
      </c>
      <c r="I1032" s="8" t="s">
        <v>21</v>
      </c>
      <c r="J1032" s="7">
        <v>3</v>
      </c>
      <c r="K1032" s="7" t="s">
        <v>38</v>
      </c>
      <c r="L1032" s="7">
        <v>1</v>
      </c>
      <c r="M1032" s="7">
        <v>7</v>
      </c>
      <c r="N1032" s="7" t="s">
        <v>33</v>
      </c>
    </row>
    <row r="1033" spans="1:14" x14ac:dyDescent="0.3">
      <c r="A1033" s="3" t="s">
        <v>1116</v>
      </c>
      <c r="B1033" s="3" t="s">
        <v>42</v>
      </c>
      <c r="C1033" s="3">
        <v>5</v>
      </c>
      <c r="D1033" s="6">
        <v>90.5</v>
      </c>
      <c r="E1033" s="6">
        <v>452.5</v>
      </c>
      <c r="F1033" s="5">
        <v>45698</v>
      </c>
      <c r="G1033" s="5">
        <v>45705</v>
      </c>
      <c r="H1033" s="3" t="s">
        <v>26</v>
      </c>
      <c r="I1033" s="4" t="s">
        <v>21</v>
      </c>
      <c r="J1033" s="3">
        <v>5</v>
      </c>
      <c r="K1033" s="3" t="s">
        <v>38</v>
      </c>
      <c r="L1033" s="3">
        <v>7</v>
      </c>
      <c r="M1033" s="3">
        <v>7</v>
      </c>
      <c r="N1033" s="3" t="s">
        <v>28</v>
      </c>
    </row>
    <row r="1034" spans="1:14" x14ac:dyDescent="0.3">
      <c r="A1034" s="7" t="s">
        <v>1117</v>
      </c>
      <c r="B1034" s="7" t="s">
        <v>49</v>
      </c>
      <c r="C1034" s="7">
        <v>5</v>
      </c>
      <c r="D1034" s="10">
        <v>25.3</v>
      </c>
      <c r="E1034" s="10">
        <v>126.5</v>
      </c>
      <c r="F1034" s="9">
        <v>45698</v>
      </c>
      <c r="G1034" s="9">
        <v>45702</v>
      </c>
      <c r="H1034" s="7" t="s">
        <v>31</v>
      </c>
      <c r="I1034" s="8" t="s">
        <v>21</v>
      </c>
      <c r="J1034" s="7">
        <v>5</v>
      </c>
      <c r="K1034" s="7" t="s">
        <v>38</v>
      </c>
      <c r="L1034" s="7">
        <v>4</v>
      </c>
      <c r="M1034" s="7">
        <v>7</v>
      </c>
      <c r="N1034" s="7" t="s">
        <v>33</v>
      </c>
    </row>
    <row r="1035" spans="1:14" x14ac:dyDescent="0.3">
      <c r="A1035" s="3" t="s">
        <v>1118</v>
      </c>
      <c r="B1035" s="3" t="s">
        <v>44</v>
      </c>
      <c r="C1035" s="3">
        <v>3</v>
      </c>
      <c r="D1035" s="6">
        <v>58.1</v>
      </c>
      <c r="E1035" s="6">
        <v>174.3</v>
      </c>
      <c r="F1035" s="5">
        <v>45698</v>
      </c>
      <c r="G1035" s="5">
        <v>45702</v>
      </c>
      <c r="H1035" s="3"/>
      <c r="I1035" s="4" t="s">
        <v>21</v>
      </c>
      <c r="J1035" s="3">
        <v>5</v>
      </c>
      <c r="K1035" s="3" t="s">
        <v>38</v>
      </c>
      <c r="L1035" s="3">
        <v>4</v>
      </c>
      <c r="M1035" s="3">
        <v>7</v>
      </c>
      <c r="N1035" s="3" t="s">
        <v>23</v>
      </c>
    </row>
    <row r="1036" spans="1:14" x14ac:dyDescent="0.3">
      <c r="A1036" s="7" t="s">
        <v>1119</v>
      </c>
      <c r="B1036" s="7" t="s">
        <v>30</v>
      </c>
      <c r="C1036" s="7">
        <v>3</v>
      </c>
      <c r="D1036" s="10">
        <v>74.900000000000006</v>
      </c>
      <c r="E1036" s="10">
        <v>224.7</v>
      </c>
      <c r="F1036" s="9">
        <v>45698</v>
      </c>
      <c r="G1036" s="9">
        <v>45699</v>
      </c>
      <c r="H1036" s="7" t="s">
        <v>31</v>
      </c>
      <c r="I1036" s="8" t="s">
        <v>75</v>
      </c>
      <c r="J1036" s="7">
        <v>4</v>
      </c>
      <c r="K1036" s="7" t="s">
        <v>38</v>
      </c>
      <c r="L1036" s="7">
        <v>1</v>
      </c>
      <c r="M1036" s="7">
        <v>7</v>
      </c>
      <c r="N1036" s="7" t="s">
        <v>33</v>
      </c>
    </row>
    <row r="1037" spans="1:14" x14ac:dyDescent="0.3">
      <c r="A1037" s="3" t="s">
        <v>1120</v>
      </c>
      <c r="B1037" s="3" t="s">
        <v>37</v>
      </c>
      <c r="C1037" s="3">
        <v>2</v>
      </c>
      <c r="D1037" s="6">
        <v>32.5</v>
      </c>
      <c r="E1037" s="6">
        <v>65</v>
      </c>
      <c r="F1037" s="5">
        <v>45698</v>
      </c>
      <c r="G1037" s="5">
        <v>45699</v>
      </c>
      <c r="H1037" s="3" t="s">
        <v>26</v>
      </c>
      <c r="I1037" s="4" t="s">
        <v>45</v>
      </c>
      <c r="J1037" s="3">
        <v>5</v>
      </c>
      <c r="K1037" s="3" t="s">
        <v>116</v>
      </c>
      <c r="L1037" s="3">
        <v>1</v>
      </c>
      <c r="M1037" s="3">
        <v>7</v>
      </c>
      <c r="N1037" s="3" t="s">
        <v>28</v>
      </c>
    </row>
    <row r="1038" spans="1:14" x14ac:dyDescent="0.3">
      <c r="A1038" s="7" t="s">
        <v>1121</v>
      </c>
      <c r="B1038" s="7" t="s">
        <v>37</v>
      </c>
      <c r="C1038" s="7">
        <v>5</v>
      </c>
      <c r="D1038" s="10">
        <v>62</v>
      </c>
      <c r="E1038" s="10">
        <v>310</v>
      </c>
      <c r="F1038" s="9">
        <v>45698</v>
      </c>
      <c r="G1038" s="9">
        <v>45699</v>
      </c>
      <c r="H1038" s="7" t="s">
        <v>26</v>
      </c>
      <c r="I1038" s="8" t="s">
        <v>75</v>
      </c>
      <c r="J1038" s="7">
        <v>5</v>
      </c>
      <c r="K1038" s="7" t="s">
        <v>194</v>
      </c>
      <c r="L1038" s="7">
        <v>1</v>
      </c>
      <c r="M1038" s="7">
        <v>7</v>
      </c>
      <c r="N1038" s="7" t="s">
        <v>28</v>
      </c>
    </row>
    <row r="1039" spans="1:14" x14ac:dyDescent="0.3">
      <c r="A1039" s="3" t="s">
        <v>1122</v>
      </c>
      <c r="B1039" s="3" t="s">
        <v>81</v>
      </c>
      <c r="C1039" s="3">
        <v>6</v>
      </c>
      <c r="D1039" s="6">
        <v>28.9</v>
      </c>
      <c r="E1039" s="6">
        <v>173.4</v>
      </c>
      <c r="F1039" s="5">
        <v>45698</v>
      </c>
      <c r="G1039" s="5">
        <v>45701</v>
      </c>
      <c r="H1039" s="3" t="s">
        <v>31</v>
      </c>
      <c r="I1039" s="4" t="s">
        <v>21</v>
      </c>
      <c r="J1039" s="3">
        <v>3</v>
      </c>
      <c r="K1039" s="3" t="s">
        <v>60</v>
      </c>
      <c r="L1039" s="3">
        <v>3</v>
      </c>
      <c r="M1039" s="3">
        <v>7</v>
      </c>
      <c r="N1039" s="3" t="s">
        <v>33</v>
      </c>
    </row>
    <row r="1040" spans="1:14" x14ac:dyDescent="0.3">
      <c r="A1040" s="7" t="s">
        <v>1123</v>
      </c>
      <c r="B1040" s="7" t="s">
        <v>44</v>
      </c>
      <c r="C1040" s="7">
        <v>8</v>
      </c>
      <c r="D1040" s="10">
        <v>42.8</v>
      </c>
      <c r="E1040" s="10">
        <v>342.4</v>
      </c>
      <c r="F1040" s="9">
        <v>45698</v>
      </c>
      <c r="G1040" s="9">
        <v>45700</v>
      </c>
      <c r="H1040" s="7" t="s">
        <v>31</v>
      </c>
      <c r="I1040" s="8" t="s">
        <v>21</v>
      </c>
      <c r="J1040" s="7">
        <v>5</v>
      </c>
      <c r="K1040" s="7" t="s">
        <v>60</v>
      </c>
      <c r="L1040" s="7">
        <v>2</v>
      </c>
      <c r="M1040" s="7">
        <v>7</v>
      </c>
      <c r="N1040" s="7" t="s">
        <v>33</v>
      </c>
    </row>
    <row r="1041" spans="1:14" x14ac:dyDescent="0.3">
      <c r="A1041" s="3" t="s">
        <v>1124</v>
      </c>
      <c r="B1041" s="3" t="s">
        <v>49</v>
      </c>
      <c r="C1041" s="3">
        <v>8</v>
      </c>
      <c r="D1041" s="6">
        <v>39.4</v>
      </c>
      <c r="E1041" s="6">
        <v>315.2</v>
      </c>
      <c r="F1041" s="5">
        <v>45698</v>
      </c>
      <c r="G1041" s="5">
        <v>45700</v>
      </c>
      <c r="H1041" s="3" t="s">
        <v>26</v>
      </c>
      <c r="I1041" s="4" t="s">
        <v>21</v>
      </c>
      <c r="J1041" s="3">
        <v>4</v>
      </c>
      <c r="K1041" s="3" t="s">
        <v>57</v>
      </c>
      <c r="L1041" s="3">
        <v>2</v>
      </c>
      <c r="M1041" s="3">
        <v>7</v>
      </c>
      <c r="N1041" s="3" t="s">
        <v>28</v>
      </c>
    </row>
    <row r="1042" spans="1:14" x14ac:dyDescent="0.3">
      <c r="A1042" s="7" t="s">
        <v>1125</v>
      </c>
      <c r="B1042" s="7" t="s">
        <v>152</v>
      </c>
      <c r="C1042" s="7">
        <v>3</v>
      </c>
      <c r="D1042" s="10">
        <v>66.400000000000006</v>
      </c>
      <c r="E1042" s="10">
        <v>199.2</v>
      </c>
      <c r="F1042" s="9">
        <v>45698</v>
      </c>
      <c r="G1042" s="9">
        <v>45699</v>
      </c>
      <c r="H1042" s="7"/>
      <c r="I1042" s="8" t="s">
        <v>45</v>
      </c>
      <c r="J1042" s="7">
        <v>3</v>
      </c>
      <c r="K1042" s="7" t="s">
        <v>64</v>
      </c>
      <c r="L1042" s="7">
        <v>1</v>
      </c>
      <c r="M1042" s="7">
        <v>7</v>
      </c>
      <c r="N1042" s="7" t="s">
        <v>23</v>
      </c>
    </row>
    <row r="1043" spans="1:14" x14ac:dyDescent="0.3">
      <c r="A1043" s="3" t="s">
        <v>1126</v>
      </c>
      <c r="B1043" s="3" t="s">
        <v>141</v>
      </c>
      <c r="C1043" s="3">
        <v>4</v>
      </c>
      <c r="D1043" s="6">
        <v>35.9</v>
      </c>
      <c r="E1043" s="6">
        <v>143.6</v>
      </c>
      <c r="F1043" s="5">
        <v>45698</v>
      </c>
      <c r="G1043" s="5">
        <v>45705</v>
      </c>
      <c r="H1043" s="3" t="s">
        <v>31</v>
      </c>
      <c r="I1043" s="4" t="s">
        <v>40</v>
      </c>
      <c r="J1043" s="3">
        <v>4</v>
      </c>
      <c r="K1043" s="3" t="s">
        <v>64</v>
      </c>
      <c r="L1043" s="3">
        <v>7</v>
      </c>
      <c r="M1043" s="3">
        <v>7</v>
      </c>
      <c r="N1043" s="3" t="s">
        <v>33</v>
      </c>
    </row>
    <row r="1044" spans="1:14" x14ac:dyDescent="0.3">
      <c r="A1044" s="7" t="s">
        <v>1127</v>
      </c>
      <c r="B1044" s="7" t="s">
        <v>20</v>
      </c>
      <c r="C1044" s="7">
        <v>4</v>
      </c>
      <c r="D1044" s="10">
        <v>26.9</v>
      </c>
      <c r="E1044" s="10">
        <v>107.6</v>
      </c>
      <c r="F1044" s="9">
        <v>45698</v>
      </c>
      <c r="G1044" s="9">
        <v>45699</v>
      </c>
      <c r="H1044" s="7" t="s">
        <v>26</v>
      </c>
      <c r="I1044" s="8" t="s">
        <v>40</v>
      </c>
      <c r="J1044" s="7">
        <v>4</v>
      </c>
      <c r="K1044" s="7" t="s">
        <v>64</v>
      </c>
      <c r="L1044" s="7">
        <v>1</v>
      </c>
      <c r="M1044" s="7">
        <v>7</v>
      </c>
      <c r="N1044" s="7" t="s">
        <v>28</v>
      </c>
    </row>
    <row r="1045" spans="1:14" x14ac:dyDescent="0.3">
      <c r="A1045" s="3" t="s">
        <v>1128</v>
      </c>
      <c r="B1045" s="3" t="s">
        <v>30</v>
      </c>
      <c r="C1045" s="3">
        <v>1</v>
      </c>
      <c r="D1045" s="6">
        <v>55.1</v>
      </c>
      <c r="E1045" s="6">
        <v>55.1</v>
      </c>
      <c r="F1045" s="5">
        <v>45698</v>
      </c>
      <c r="G1045" s="5">
        <v>45699</v>
      </c>
      <c r="H1045" s="3" t="s">
        <v>31</v>
      </c>
      <c r="I1045" s="4" t="s">
        <v>21</v>
      </c>
      <c r="J1045" s="3">
        <v>4</v>
      </c>
      <c r="K1045" s="3" t="s">
        <v>64</v>
      </c>
      <c r="L1045" s="3">
        <v>1</v>
      </c>
      <c r="M1045" s="3">
        <v>7</v>
      </c>
      <c r="N1045" s="3" t="s">
        <v>33</v>
      </c>
    </row>
    <row r="1046" spans="1:14" x14ac:dyDescent="0.3">
      <c r="A1046" s="7" t="s">
        <v>1129</v>
      </c>
      <c r="B1046" s="7" t="s">
        <v>37</v>
      </c>
      <c r="C1046" s="7">
        <v>2</v>
      </c>
      <c r="D1046" s="10">
        <v>23.9</v>
      </c>
      <c r="E1046" s="10">
        <v>47.8</v>
      </c>
      <c r="F1046" s="9">
        <v>45698</v>
      </c>
      <c r="G1046" s="9">
        <v>45699</v>
      </c>
      <c r="H1046" s="7" t="s">
        <v>26</v>
      </c>
      <c r="I1046" s="8" t="s">
        <v>21</v>
      </c>
      <c r="J1046" s="7">
        <v>5</v>
      </c>
      <c r="K1046" s="7" t="s">
        <v>67</v>
      </c>
      <c r="L1046" s="7">
        <v>1</v>
      </c>
      <c r="M1046" s="7">
        <v>7</v>
      </c>
      <c r="N1046" s="7" t="s">
        <v>28</v>
      </c>
    </row>
    <row r="1047" spans="1:14" x14ac:dyDescent="0.3">
      <c r="A1047" s="3" t="s">
        <v>1130</v>
      </c>
      <c r="B1047" s="3" t="s">
        <v>51</v>
      </c>
      <c r="C1047" s="3">
        <v>13</v>
      </c>
      <c r="D1047" s="6">
        <v>21.1</v>
      </c>
      <c r="E1047" s="6">
        <v>274.3</v>
      </c>
      <c r="F1047" s="5">
        <v>45698</v>
      </c>
      <c r="G1047" s="5">
        <v>45706</v>
      </c>
      <c r="H1047" s="3" t="s">
        <v>31</v>
      </c>
      <c r="I1047" s="4" t="s">
        <v>21</v>
      </c>
      <c r="J1047" s="3">
        <v>3</v>
      </c>
      <c r="K1047" s="3" t="s">
        <v>67</v>
      </c>
      <c r="L1047" s="3">
        <v>8</v>
      </c>
      <c r="M1047" s="3">
        <v>7</v>
      </c>
      <c r="N1047" s="3" t="s">
        <v>33</v>
      </c>
    </row>
    <row r="1048" spans="1:14" x14ac:dyDescent="0.3">
      <c r="A1048" s="7" t="s">
        <v>1131</v>
      </c>
      <c r="B1048" s="7" t="s">
        <v>49</v>
      </c>
      <c r="C1048" s="7">
        <v>5</v>
      </c>
      <c r="D1048" s="10">
        <v>33.799999999999997</v>
      </c>
      <c r="E1048" s="10">
        <v>169</v>
      </c>
      <c r="F1048" s="9">
        <v>45698</v>
      </c>
      <c r="G1048" s="9">
        <v>45700</v>
      </c>
      <c r="H1048" s="7" t="s">
        <v>31</v>
      </c>
      <c r="I1048" s="8" t="s">
        <v>21</v>
      </c>
      <c r="J1048" s="7">
        <v>4</v>
      </c>
      <c r="K1048" s="7" t="s">
        <v>67</v>
      </c>
      <c r="L1048" s="7">
        <v>2</v>
      </c>
      <c r="M1048" s="7">
        <v>7</v>
      </c>
      <c r="N1048" s="7" t="s">
        <v>33</v>
      </c>
    </row>
    <row r="1049" spans="1:14" x14ac:dyDescent="0.3">
      <c r="A1049" s="3" t="s">
        <v>1132</v>
      </c>
      <c r="B1049" s="3" t="s">
        <v>30</v>
      </c>
      <c r="C1049" s="3">
        <v>4</v>
      </c>
      <c r="D1049" s="6">
        <v>56.1</v>
      </c>
      <c r="E1049" s="6">
        <v>224.4</v>
      </c>
      <c r="F1049" s="5">
        <v>45698</v>
      </c>
      <c r="G1049" s="5">
        <v>45698</v>
      </c>
      <c r="H1049" s="3" t="s">
        <v>31</v>
      </c>
      <c r="I1049" s="4" t="s">
        <v>56</v>
      </c>
      <c r="J1049" s="3">
        <v>5</v>
      </c>
      <c r="K1049" s="3" t="s">
        <v>77</v>
      </c>
      <c r="L1049" s="3">
        <v>0</v>
      </c>
      <c r="M1049" s="3">
        <v>7</v>
      </c>
      <c r="N1049" s="3" t="s">
        <v>33</v>
      </c>
    </row>
    <row r="1050" spans="1:14" x14ac:dyDescent="0.3">
      <c r="A1050" s="7" t="s">
        <v>1133</v>
      </c>
      <c r="B1050" s="7" t="s">
        <v>35</v>
      </c>
      <c r="C1050" s="7">
        <v>1</v>
      </c>
      <c r="D1050" s="10">
        <v>58.5</v>
      </c>
      <c r="E1050" s="10">
        <v>58.5</v>
      </c>
      <c r="F1050" s="9">
        <v>45699</v>
      </c>
      <c r="G1050" s="9">
        <v>45703</v>
      </c>
      <c r="H1050" s="7" t="s">
        <v>31</v>
      </c>
      <c r="I1050" s="8" t="s">
        <v>40</v>
      </c>
      <c r="J1050" s="7">
        <v>5</v>
      </c>
      <c r="K1050" s="7" t="s">
        <v>77</v>
      </c>
      <c r="L1050" s="7">
        <v>4</v>
      </c>
      <c r="M1050" s="7">
        <v>7</v>
      </c>
      <c r="N1050" s="7" t="s">
        <v>33</v>
      </c>
    </row>
    <row r="1051" spans="1:14" x14ac:dyDescent="0.3">
      <c r="A1051" s="3" t="s">
        <v>1134</v>
      </c>
      <c r="B1051" s="3" t="s">
        <v>44</v>
      </c>
      <c r="C1051" s="3">
        <v>1</v>
      </c>
      <c r="D1051" s="6">
        <v>84.2</v>
      </c>
      <c r="E1051" s="6">
        <v>84.2</v>
      </c>
      <c r="F1051" s="5">
        <v>45699</v>
      </c>
      <c r="G1051" s="5">
        <v>45701</v>
      </c>
      <c r="H1051" s="3" t="s">
        <v>26</v>
      </c>
      <c r="I1051" s="4" t="s">
        <v>56</v>
      </c>
      <c r="J1051" s="3">
        <v>4</v>
      </c>
      <c r="K1051" s="3" t="s">
        <v>82</v>
      </c>
      <c r="L1051" s="3">
        <v>2</v>
      </c>
      <c r="M1051" s="3">
        <v>7</v>
      </c>
      <c r="N1051" s="3" t="s">
        <v>28</v>
      </c>
    </row>
    <row r="1052" spans="1:14" x14ac:dyDescent="0.3">
      <c r="A1052" s="7" t="s">
        <v>1135</v>
      </c>
      <c r="B1052" s="7" t="s">
        <v>72</v>
      </c>
      <c r="C1052" s="7">
        <v>4</v>
      </c>
      <c r="D1052" s="10">
        <v>52</v>
      </c>
      <c r="E1052" s="10">
        <v>208</v>
      </c>
      <c r="F1052" s="9">
        <v>45699</v>
      </c>
      <c r="G1052" s="9">
        <v>45702</v>
      </c>
      <c r="H1052" s="7" t="s">
        <v>26</v>
      </c>
      <c r="I1052" s="8" t="s">
        <v>21</v>
      </c>
      <c r="J1052" s="7">
        <v>4</v>
      </c>
      <c r="K1052" s="7" t="s">
        <v>82</v>
      </c>
      <c r="L1052" s="7">
        <v>3</v>
      </c>
      <c r="M1052" s="7">
        <v>7</v>
      </c>
      <c r="N1052" s="7" t="s">
        <v>28</v>
      </c>
    </row>
    <row r="1053" spans="1:14" x14ac:dyDescent="0.3">
      <c r="A1053" s="3" t="s">
        <v>1136</v>
      </c>
      <c r="B1053" s="3" t="s">
        <v>37</v>
      </c>
      <c r="C1053" s="3">
        <v>5</v>
      </c>
      <c r="D1053" s="6">
        <v>31.5</v>
      </c>
      <c r="E1053" s="6">
        <v>157.5</v>
      </c>
      <c r="F1053" s="5">
        <v>45699</v>
      </c>
      <c r="G1053" s="5">
        <v>45700</v>
      </c>
      <c r="H1053" s="3" t="s">
        <v>31</v>
      </c>
      <c r="I1053" s="4" t="s">
        <v>21</v>
      </c>
      <c r="J1053" s="3">
        <v>5</v>
      </c>
      <c r="K1053" s="3" t="s">
        <v>82</v>
      </c>
      <c r="L1053" s="3">
        <v>1</v>
      </c>
      <c r="M1053" s="3">
        <v>7</v>
      </c>
      <c r="N1053" s="3" t="s">
        <v>33</v>
      </c>
    </row>
    <row r="1054" spans="1:14" x14ac:dyDescent="0.3">
      <c r="A1054" s="7" t="s">
        <v>1137</v>
      </c>
      <c r="B1054" s="7" t="s">
        <v>134</v>
      </c>
      <c r="C1054" s="7">
        <v>3</v>
      </c>
      <c r="D1054" s="10">
        <v>46.2</v>
      </c>
      <c r="E1054" s="10">
        <v>138.6</v>
      </c>
      <c r="F1054" s="9">
        <v>45699</v>
      </c>
      <c r="G1054" s="9">
        <v>45700</v>
      </c>
      <c r="H1054" s="7" t="s">
        <v>26</v>
      </c>
      <c r="I1054" s="8" t="s">
        <v>21</v>
      </c>
      <c r="J1054" s="7">
        <v>4</v>
      </c>
      <c r="K1054" s="7" t="s">
        <v>264</v>
      </c>
      <c r="L1054" s="7">
        <v>1</v>
      </c>
      <c r="M1054" s="7">
        <v>7</v>
      </c>
      <c r="N1054" s="7" t="s">
        <v>28</v>
      </c>
    </row>
    <row r="1055" spans="1:14" x14ac:dyDescent="0.3">
      <c r="A1055" s="3" t="s">
        <v>1138</v>
      </c>
      <c r="B1055" s="3" t="s">
        <v>30</v>
      </c>
      <c r="C1055" s="3">
        <v>6</v>
      </c>
      <c r="D1055" s="6">
        <v>135</v>
      </c>
      <c r="E1055" s="6">
        <v>810</v>
      </c>
      <c r="F1055" s="5">
        <v>45699</v>
      </c>
      <c r="G1055" s="5">
        <v>45700</v>
      </c>
      <c r="H1055" s="3" t="s">
        <v>31</v>
      </c>
      <c r="I1055" s="4" t="s">
        <v>40</v>
      </c>
      <c r="J1055" s="3">
        <v>5</v>
      </c>
      <c r="K1055" s="3" t="s">
        <v>114</v>
      </c>
      <c r="L1055" s="3">
        <v>1</v>
      </c>
      <c r="M1055" s="3">
        <v>7</v>
      </c>
      <c r="N1055" s="3" t="s">
        <v>33</v>
      </c>
    </row>
    <row r="1056" spans="1:14" x14ac:dyDescent="0.3">
      <c r="A1056" s="7" t="s">
        <v>1139</v>
      </c>
      <c r="B1056" s="7" t="s">
        <v>74</v>
      </c>
      <c r="C1056" s="7">
        <v>3</v>
      </c>
      <c r="D1056" s="10">
        <v>92.2</v>
      </c>
      <c r="E1056" s="10">
        <v>276.60000000000002</v>
      </c>
      <c r="F1056" s="9">
        <v>45699</v>
      </c>
      <c r="G1056" s="9">
        <v>45703</v>
      </c>
      <c r="H1056" s="7" t="s">
        <v>26</v>
      </c>
      <c r="I1056" s="8" t="s">
        <v>21</v>
      </c>
      <c r="J1056" s="7">
        <v>4</v>
      </c>
      <c r="K1056" s="7" t="s">
        <v>121</v>
      </c>
      <c r="L1056" s="7">
        <v>4</v>
      </c>
      <c r="M1056" s="7">
        <v>7</v>
      </c>
      <c r="N1056" s="7" t="s">
        <v>28</v>
      </c>
    </row>
    <row r="1057" spans="1:14" x14ac:dyDescent="0.3">
      <c r="A1057" s="3" t="s">
        <v>1140</v>
      </c>
      <c r="B1057" s="3" t="s">
        <v>49</v>
      </c>
      <c r="C1057" s="3">
        <v>1</v>
      </c>
      <c r="D1057" s="6">
        <v>36.6</v>
      </c>
      <c r="E1057" s="6">
        <v>36.6</v>
      </c>
      <c r="F1057" s="5">
        <v>45699</v>
      </c>
      <c r="G1057" s="5">
        <v>45701</v>
      </c>
      <c r="H1057" s="3" t="s">
        <v>26</v>
      </c>
      <c r="I1057" s="4" t="s">
        <v>45</v>
      </c>
      <c r="J1057" s="3">
        <v>5</v>
      </c>
      <c r="K1057" s="3" t="s">
        <v>121</v>
      </c>
      <c r="L1057" s="3">
        <v>2</v>
      </c>
      <c r="M1057" s="3">
        <v>7</v>
      </c>
      <c r="N1057" s="3" t="s">
        <v>28</v>
      </c>
    </row>
    <row r="1058" spans="1:14" x14ac:dyDescent="0.3">
      <c r="A1058" s="7" t="s">
        <v>1141</v>
      </c>
      <c r="B1058" s="7" t="s">
        <v>51</v>
      </c>
      <c r="C1058" s="7">
        <v>2</v>
      </c>
      <c r="D1058" s="10">
        <v>50.6</v>
      </c>
      <c r="E1058" s="10">
        <v>101.2</v>
      </c>
      <c r="F1058" s="9">
        <v>45699</v>
      </c>
      <c r="G1058" s="9">
        <v>45702</v>
      </c>
      <c r="H1058" s="7" t="s">
        <v>31</v>
      </c>
      <c r="I1058" s="8" t="s">
        <v>21</v>
      </c>
      <c r="J1058" s="7">
        <v>4</v>
      </c>
      <c r="K1058" s="7" t="s">
        <v>32</v>
      </c>
      <c r="L1058" s="7">
        <v>3</v>
      </c>
      <c r="M1058" s="7">
        <v>7</v>
      </c>
      <c r="N1058" s="7" t="s">
        <v>33</v>
      </c>
    </row>
    <row r="1059" spans="1:14" x14ac:dyDescent="0.3">
      <c r="A1059" s="3" t="s">
        <v>1142</v>
      </c>
      <c r="B1059" s="3" t="s">
        <v>152</v>
      </c>
      <c r="C1059" s="3">
        <v>7</v>
      </c>
      <c r="D1059" s="6">
        <v>56.7</v>
      </c>
      <c r="E1059" s="6">
        <v>396.9</v>
      </c>
      <c r="F1059" s="5">
        <v>45699</v>
      </c>
      <c r="G1059" s="5">
        <v>45702</v>
      </c>
      <c r="H1059" s="3" t="s">
        <v>31</v>
      </c>
      <c r="I1059" s="4" t="s">
        <v>21</v>
      </c>
      <c r="J1059" s="3">
        <v>4</v>
      </c>
      <c r="K1059" s="3" t="s">
        <v>32</v>
      </c>
      <c r="L1059" s="3">
        <v>3</v>
      </c>
      <c r="M1059" s="3">
        <v>7</v>
      </c>
      <c r="N1059" s="3" t="s">
        <v>33</v>
      </c>
    </row>
    <row r="1060" spans="1:14" x14ac:dyDescent="0.3">
      <c r="A1060" s="7" t="s">
        <v>1143</v>
      </c>
      <c r="B1060" s="7" t="s">
        <v>51</v>
      </c>
      <c r="C1060" s="7">
        <v>13</v>
      </c>
      <c r="D1060" s="10">
        <v>22.9</v>
      </c>
      <c r="E1060" s="10">
        <v>297.7</v>
      </c>
      <c r="F1060" s="9">
        <v>45699</v>
      </c>
      <c r="G1060" s="9">
        <v>45700</v>
      </c>
      <c r="H1060" s="7" t="s">
        <v>31</v>
      </c>
      <c r="I1060" s="8" t="s">
        <v>21</v>
      </c>
      <c r="J1060" s="7">
        <v>3</v>
      </c>
      <c r="K1060" s="7" t="s">
        <v>119</v>
      </c>
      <c r="L1060" s="7">
        <v>1</v>
      </c>
      <c r="M1060" s="7">
        <v>7</v>
      </c>
      <c r="N1060" s="7" t="s">
        <v>33</v>
      </c>
    </row>
    <row r="1061" spans="1:14" x14ac:dyDescent="0.3">
      <c r="A1061" s="3" t="s">
        <v>1144</v>
      </c>
      <c r="B1061" s="3" t="s">
        <v>129</v>
      </c>
      <c r="C1061" s="3">
        <v>19</v>
      </c>
      <c r="D1061" s="6">
        <v>53.6</v>
      </c>
      <c r="E1061" s="6">
        <v>1018.4</v>
      </c>
      <c r="F1061" s="5">
        <v>45699</v>
      </c>
      <c r="G1061" s="5">
        <v>45700</v>
      </c>
      <c r="H1061" s="3" t="s">
        <v>26</v>
      </c>
      <c r="I1061" s="4" t="s">
        <v>21</v>
      </c>
      <c r="J1061" s="3">
        <v>4</v>
      </c>
      <c r="K1061" s="3" t="s">
        <v>153</v>
      </c>
      <c r="L1061" s="3">
        <v>1</v>
      </c>
      <c r="M1061" s="3">
        <v>7</v>
      </c>
      <c r="N1061" s="3" t="s">
        <v>28</v>
      </c>
    </row>
    <row r="1062" spans="1:14" x14ac:dyDescent="0.3">
      <c r="A1062" s="7" t="s">
        <v>1145</v>
      </c>
      <c r="B1062" s="7" t="s">
        <v>152</v>
      </c>
      <c r="C1062" s="7">
        <v>2</v>
      </c>
      <c r="D1062" s="10">
        <v>30.2</v>
      </c>
      <c r="E1062" s="10">
        <v>60.4</v>
      </c>
      <c r="F1062" s="9">
        <v>45699</v>
      </c>
      <c r="G1062" s="9">
        <v>45701</v>
      </c>
      <c r="H1062" s="7"/>
      <c r="I1062" s="8" t="s">
        <v>45</v>
      </c>
      <c r="J1062" s="7">
        <v>5</v>
      </c>
      <c r="K1062" s="7" t="s">
        <v>38</v>
      </c>
      <c r="L1062" s="7">
        <v>2</v>
      </c>
      <c r="M1062" s="7">
        <v>7</v>
      </c>
      <c r="N1062" s="7" t="s">
        <v>23</v>
      </c>
    </row>
    <row r="1063" spans="1:14" x14ac:dyDescent="0.3">
      <c r="A1063" s="3" t="s">
        <v>1146</v>
      </c>
      <c r="B1063" s="3" t="s">
        <v>129</v>
      </c>
      <c r="C1063" s="3">
        <v>6</v>
      </c>
      <c r="D1063" s="6">
        <v>83.4</v>
      </c>
      <c r="E1063" s="6">
        <v>500.4</v>
      </c>
      <c r="F1063" s="5">
        <v>45699</v>
      </c>
      <c r="G1063" s="5">
        <v>45700</v>
      </c>
      <c r="H1063" s="3" t="s">
        <v>26</v>
      </c>
      <c r="I1063" s="4" t="s">
        <v>40</v>
      </c>
      <c r="J1063" s="3">
        <v>5</v>
      </c>
      <c r="K1063" s="3" t="s">
        <v>38</v>
      </c>
      <c r="L1063" s="3">
        <v>1</v>
      </c>
      <c r="M1063" s="3">
        <v>7</v>
      </c>
      <c r="N1063" s="3" t="s">
        <v>28</v>
      </c>
    </row>
    <row r="1064" spans="1:14" x14ac:dyDescent="0.3">
      <c r="A1064" s="7" t="s">
        <v>1147</v>
      </c>
      <c r="B1064" s="7" t="s">
        <v>81</v>
      </c>
      <c r="C1064" s="7">
        <v>12</v>
      </c>
      <c r="D1064" s="10">
        <v>16.600000000000001</v>
      </c>
      <c r="E1064" s="10">
        <v>199.2</v>
      </c>
      <c r="F1064" s="9">
        <v>45699</v>
      </c>
      <c r="G1064" s="9">
        <v>45701</v>
      </c>
      <c r="H1064" s="7" t="s">
        <v>26</v>
      </c>
      <c r="I1064" s="8" t="s">
        <v>40</v>
      </c>
      <c r="J1064" s="7">
        <v>4</v>
      </c>
      <c r="K1064" s="7" t="s">
        <v>38</v>
      </c>
      <c r="L1064" s="7">
        <v>2</v>
      </c>
      <c r="M1064" s="7">
        <v>7</v>
      </c>
      <c r="N1064" s="7" t="s">
        <v>28</v>
      </c>
    </row>
    <row r="1065" spans="1:14" x14ac:dyDescent="0.3">
      <c r="A1065" s="3" t="s">
        <v>1148</v>
      </c>
      <c r="B1065" s="3" t="s">
        <v>49</v>
      </c>
      <c r="C1065" s="3">
        <v>17</v>
      </c>
      <c r="D1065" s="6">
        <v>21.9</v>
      </c>
      <c r="E1065" s="6">
        <v>372.3</v>
      </c>
      <c r="F1065" s="5">
        <v>45699</v>
      </c>
      <c r="G1065" s="5">
        <v>45701</v>
      </c>
      <c r="H1065" s="3" t="s">
        <v>31</v>
      </c>
      <c r="I1065" s="4" t="s">
        <v>75</v>
      </c>
      <c r="J1065" s="3">
        <v>3</v>
      </c>
      <c r="K1065" s="3" t="s">
        <v>38</v>
      </c>
      <c r="L1065" s="3">
        <v>2</v>
      </c>
      <c r="M1065" s="3">
        <v>7</v>
      </c>
      <c r="N1065" s="3" t="s">
        <v>33</v>
      </c>
    </row>
    <row r="1066" spans="1:14" x14ac:dyDescent="0.3">
      <c r="A1066" s="7" t="s">
        <v>1149</v>
      </c>
      <c r="B1066" s="7" t="s">
        <v>49</v>
      </c>
      <c r="C1066" s="7">
        <v>28</v>
      </c>
      <c r="D1066" s="10">
        <v>33.799999999999997</v>
      </c>
      <c r="E1066" s="10">
        <v>946.39999999999986</v>
      </c>
      <c r="F1066" s="9">
        <v>45699</v>
      </c>
      <c r="G1066" s="9">
        <v>45701</v>
      </c>
      <c r="H1066" s="7" t="s">
        <v>26</v>
      </c>
      <c r="I1066" s="8" t="s">
        <v>45</v>
      </c>
      <c r="J1066" s="7">
        <v>2</v>
      </c>
      <c r="K1066" s="7" t="s">
        <v>38</v>
      </c>
      <c r="L1066" s="7">
        <v>2</v>
      </c>
      <c r="M1066" s="7">
        <v>7</v>
      </c>
      <c r="N1066" s="7" t="s">
        <v>28</v>
      </c>
    </row>
    <row r="1067" spans="1:14" x14ac:dyDescent="0.3">
      <c r="A1067" s="3" t="s">
        <v>1150</v>
      </c>
      <c r="B1067" s="3" t="s">
        <v>152</v>
      </c>
      <c r="C1067" s="3">
        <v>2</v>
      </c>
      <c r="D1067" s="6">
        <v>53.2</v>
      </c>
      <c r="E1067" s="6">
        <v>106.4</v>
      </c>
      <c r="F1067" s="5">
        <v>45699</v>
      </c>
      <c r="G1067" s="5">
        <v>45699</v>
      </c>
      <c r="H1067" s="3" t="s">
        <v>26</v>
      </c>
      <c r="I1067" s="4" t="s">
        <v>40</v>
      </c>
      <c r="J1067" s="3">
        <v>4</v>
      </c>
      <c r="K1067" s="3" t="s">
        <v>38</v>
      </c>
      <c r="L1067" s="3">
        <v>0</v>
      </c>
      <c r="M1067" s="3">
        <v>7</v>
      </c>
      <c r="N1067" s="3" t="s">
        <v>28</v>
      </c>
    </row>
    <row r="1068" spans="1:14" x14ac:dyDescent="0.3">
      <c r="A1068" s="7" t="s">
        <v>1151</v>
      </c>
      <c r="B1068" s="7" t="s">
        <v>30</v>
      </c>
      <c r="C1068" s="7">
        <v>2</v>
      </c>
      <c r="D1068" s="10">
        <v>176.7</v>
      </c>
      <c r="E1068" s="10">
        <v>353.4</v>
      </c>
      <c r="F1068" s="9">
        <v>45699</v>
      </c>
      <c r="G1068" s="9">
        <v>45702</v>
      </c>
      <c r="H1068" s="7" t="s">
        <v>31</v>
      </c>
      <c r="I1068" s="8" t="s">
        <v>45</v>
      </c>
      <c r="J1068" s="7">
        <v>4</v>
      </c>
      <c r="K1068" s="7" t="s">
        <v>38</v>
      </c>
      <c r="L1068" s="7">
        <v>3</v>
      </c>
      <c r="M1068" s="7">
        <v>7</v>
      </c>
      <c r="N1068" s="7" t="s">
        <v>33</v>
      </c>
    </row>
    <row r="1069" spans="1:14" x14ac:dyDescent="0.3">
      <c r="A1069" s="3" t="s">
        <v>1152</v>
      </c>
      <c r="B1069" s="3" t="s">
        <v>74</v>
      </c>
      <c r="C1069" s="3">
        <v>3</v>
      </c>
      <c r="D1069" s="6">
        <v>54</v>
      </c>
      <c r="E1069" s="6">
        <v>162</v>
      </c>
      <c r="F1069" s="5">
        <v>45699</v>
      </c>
      <c r="G1069" s="5">
        <v>45702</v>
      </c>
      <c r="H1069" s="3" t="s">
        <v>26</v>
      </c>
      <c r="I1069" s="4" t="s">
        <v>21</v>
      </c>
      <c r="J1069" s="3">
        <v>3</v>
      </c>
      <c r="K1069" s="3" t="s">
        <v>38</v>
      </c>
      <c r="L1069" s="3">
        <v>3</v>
      </c>
      <c r="M1069" s="3">
        <v>7</v>
      </c>
      <c r="N1069" s="3" t="s">
        <v>28</v>
      </c>
    </row>
    <row r="1070" spans="1:14" x14ac:dyDescent="0.3">
      <c r="A1070" s="7" t="s">
        <v>1153</v>
      </c>
      <c r="B1070" s="7" t="s">
        <v>51</v>
      </c>
      <c r="C1070" s="7">
        <v>2</v>
      </c>
      <c r="D1070" s="10">
        <v>70.099999999999994</v>
      </c>
      <c r="E1070" s="10">
        <v>140.19999999999999</v>
      </c>
      <c r="F1070" s="9">
        <v>45699</v>
      </c>
      <c r="G1070" s="9">
        <v>45707</v>
      </c>
      <c r="H1070" s="7" t="s">
        <v>31</v>
      </c>
      <c r="I1070" s="8" t="s">
        <v>56</v>
      </c>
      <c r="J1070" s="7">
        <v>5</v>
      </c>
      <c r="K1070" s="7" t="s">
        <v>38</v>
      </c>
      <c r="L1070" s="7">
        <v>8</v>
      </c>
      <c r="M1070" s="7">
        <v>7</v>
      </c>
      <c r="N1070" s="7" t="s">
        <v>33</v>
      </c>
    </row>
    <row r="1071" spans="1:14" x14ac:dyDescent="0.3">
      <c r="A1071" s="3" t="s">
        <v>1154</v>
      </c>
      <c r="B1071" s="3" t="s">
        <v>49</v>
      </c>
      <c r="C1071" s="3">
        <v>1</v>
      </c>
      <c r="D1071" s="6">
        <v>26.5</v>
      </c>
      <c r="E1071" s="6">
        <v>26.5</v>
      </c>
      <c r="F1071" s="5">
        <v>45699</v>
      </c>
      <c r="G1071" s="5">
        <v>45701</v>
      </c>
      <c r="H1071" s="3" t="s">
        <v>31</v>
      </c>
      <c r="I1071" s="4" t="s">
        <v>40</v>
      </c>
      <c r="J1071" s="3">
        <v>4</v>
      </c>
      <c r="K1071" s="3" t="s">
        <v>38</v>
      </c>
      <c r="L1071" s="3">
        <v>2</v>
      </c>
      <c r="M1071" s="3">
        <v>7</v>
      </c>
      <c r="N1071" s="3" t="s">
        <v>33</v>
      </c>
    </row>
    <row r="1072" spans="1:14" x14ac:dyDescent="0.3">
      <c r="A1072" s="7" t="s">
        <v>1155</v>
      </c>
      <c r="B1072" s="7" t="s">
        <v>47</v>
      </c>
      <c r="C1072" s="7">
        <v>5</v>
      </c>
      <c r="D1072" s="10">
        <v>89</v>
      </c>
      <c r="E1072" s="10">
        <v>445</v>
      </c>
      <c r="F1072" s="9">
        <v>45699</v>
      </c>
      <c r="G1072" s="9">
        <v>45701</v>
      </c>
      <c r="H1072" s="7" t="s">
        <v>26</v>
      </c>
      <c r="I1072" s="8" t="s">
        <v>45</v>
      </c>
      <c r="J1072" s="7">
        <v>2</v>
      </c>
      <c r="K1072" s="7" t="s">
        <v>38</v>
      </c>
      <c r="L1072" s="7">
        <v>2</v>
      </c>
      <c r="M1072" s="7">
        <v>7</v>
      </c>
      <c r="N1072" s="7" t="s">
        <v>28</v>
      </c>
    </row>
    <row r="1073" spans="1:14" x14ac:dyDescent="0.3">
      <c r="A1073" s="3" t="s">
        <v>1156</v>
      </c>
      <c r="B1073" s="3" t="s">
        <v>25</v>
      </c>
      <c r="C1073" s="3">
        <v>6</v>
      </c>
      <c r="D1073" s="6">
        <v>47</v>
      </c>
      <c r="E1073" s="6">
        <v>282</v>
      </c>
      <c r="F1073" s="5">
        <v>45699</v>
      </c>
      <c r="G1073" s="5">
        <v>45702</v>
      </c>
      <c r="H1073" s="3" t="s">
        <v>31</v>
      </c>
      <c r="I1073" s="4" t="s">
        <v>56</v>
      </c>
      <c r="J1073" s="3">
        <v>4</v>
      </c>
      <c r="K1073" s="3" t="s">
        <v>192</v>
      </c>
      <c r="L1073" s="3">
        <v>3</v>
      </c>
      <c r="M1073" s="3">
        <v>7</v>
      </c>
      <c r="N1073" s="3" t="s">
        <v>33</v>
      </c>
    </row>
    <row r="1074" spans="1:14" x14ac:dyDescent="0.3">
      <c r="A1074" s="7" t="s">
        <v>1157</v>
      </c>
      <c r="B1074" s="7" t="s">
        <v>35</v>
      </c>
      <c r="C1074" s="7">
        <v>2</v>
      </c>
      <c r="D1074" s="10">
        <v>55.2</v>
      </c>
      <c r="E1074" s="10">
        <v>110.4</v>
      </c>
      <c r="F1074" s="9">
        <v>45699</v>
      </c>
      <c r="G1074" s="9">
        <v>45702</v>
      </c>
      <c r="H1074" s="7" t="s">
        <v>26</v>
      </c>
      <c r="I1074" s="8" t="s">
        <v>40</v>
      </c>
      <c r="J1074" s="7">
        <v>3</v>
      </c>
      <c r="K1074" s="7" t="s">
        <v>60</v>
      </c>
      <c r="L1074" s="7">
        <v>3</v>
      </c>
      <c r="M1074" s="7">
        <v>7</v>
      </c>
      <c r="N1074" s="7" t="s">
        <v>28</v>
      </c>
    </row>
    <row r="1075" spans="1:14" x14ac:dyDescent="0.3">
      <c r="A1075" s="3" t="s">
        <v>1158</v>
      </c>
      <c r="B1075" s="3" t="s">
        <v>49</v>
      </c>
      <c r="C1075" s="3">
        <v>42</v>
      </c>
      <c r="D1075" s="6">
        <v>33.299999999999997</v>
      </c>
      <c r="E1075" s="6">
        <v>1398.6</v>
      </c>
      <c r="F1075" s="5">
        <v>45699</v>
      </c>
      <c r="G1075" s="5">
        <v>45713</v>
      </c>
      <c r="H1075" s="3" t="s">
        <v>26</v>
      </c>
      <c r="I1075" s="4" t="s">
        <v>40</v>
      </c>
      <c r="J1075" s="3">
        <v>5</v>
      </c>
      <c r="K1075" s="3" t="s">
        <v>60</v>
      </c>
      <c r="L1075" s="3">
        <v>14</v>
      </c>
      <c r="M1075" s="3">
        <v>7</v>
      </c>
      <c r="N1075" s="3" t="s">
        <v>28</v>
      </c>
    </row>
    <row r="1076" spans="1:14" x14ac:dyDescent="0.3">
      <c r="A1076" s="7" t="s">
        <v>1159</v>
      </c>
      <c r="B1076" s="7" t="s">
        <v>30</v>
      </c>
      <c r="C1076" s="7">
        <v>4</v>
      </c>
      <c r="D1076" s="10">
        <v>110.9</v>
      </c>
      <c r="E1076" s="10">
        <v>443.6</v>
      </c>
      <c r="F1076" s="9">
        <v>45700</v>
      </c>
      <c r="G1076" s="9">
        <v>45700</v>
      </c>
      <c r="H1076" s="7" t="s">
        <v>26</v>
      </c>
      <c r="I1076" s="8" t="s">
        <v>45</v>
      </c>
      <c r="J1076" s="7">
        <v>2</v>
      </c>
      <c r="K1076" s="7" t="s">
        <v>60</v>
      </c>
      <c r="L1076" s="7">
        <v>0</v>
      </c>
      <c r="M1076" s="7">
        <v>7</v>
      </c>
      <c r="N1076" s="7" t="s">
        <v>28</v>
      </c>
    </row>
    <row r="1077" spans="1:14" x14ac:dyDescent="0.3">
      <c r="A1077" s="3" t="s">
        <v>1160</v>
      </c>
      <c r="B1077" s="3" t="s">
        <v>30</v>
      </c>
      <c r="C1077" s="3">
        <v>6</v>
      </c>
      <c r="D1077" s="6">
        <v>67.3</v>
      </c>
      <c r="E1077" s="6">
        <v>403.8</v>
      </c>
      <c r="F1077" s="5">
        <v>45700</v>
      </c>
      <c r="G1077" s="5">
        <v>45701</v>
      </c>
      <c r="H1077" s="3" t="s">
        <v>26</v>
      </c>
      <c r="I1077" s="4" t="s">
        <v>21</v>
      </c>
      <c r="J1077" s="3">
        <v>4</v>
      </c>
      <c r="K1077" s="3" t="s">
        <v>67</v>
      </c>
      <c r="L1077" s="3">
        <v>1</v>
      </c>
      <c r="M1077" s="3">
        <v>7</v>
      </c>
      <c r="N1077" s="3" t="s">
        <v>28</v>
      </c>
    </row>
    <row r="1078" spans="1:14" x14ac:dyDescent="0.3">
      <c r="A1078" s="7" t="s">
        <v>1161</v>
      </c>
      <c r="B1078" s="7" t="s">
        <v>44</v>
      </c>
      <c r="C1078" s="7">
        <v>3</v>
      </c>
      <c r="D1078" s="10">
        <v>69.7</v>
      </c>
      <c r="E1078" s="10">
        <v>209.1</v>
      </c>
      <c r="F1078" s="9">
        <v>45700</v>
      </c>
      <c r="G1078" s="9">
        <v>45701</v>
      </c>
      <c r="H1078" s="7" t="s">
        <v>26</v>
      </c>
      <c r="I1078" s="8" t="s">
        <v>45</v>
      </c>
      <c r="J1078" s="7">
        <v>3</v>
      </c>
      <c r="K1078" s="7" t="s">
        <v>67</v>
      </c>
      <c r="L1078" s="7">
        <v>1</v>
      </c>
      <c r="M1078" s="7">
        <v>7</v>
      </c>
      <c r="N1078" s="7" t="s">
        <v>28</v>
      </c>
    </row>
    <row r="1079" spans="1:14" x14ac:dyDescent="0.3">
      <c r="A1079" s="3" t="s">
        <v>1162</v>
      </c>
      <c r="B1079" s="3" t="s">
        <v>42</v>
      </c>
      <c r="C1079" s="3">
        <v>1</v>
      </c>
      <c r="D1079" s="6">
        <v>39.1</v>
      </c>
      <c r="E1079" s="6">
        <v>39.1</v>
      </c>
      <c r="F1079" s="5">
        <v>45700</v>
      </c>
      <c r="G1079" s="5">
        <v>45705</v>
      </c>
      <c r="H1079" s="3" t="s">
        <v>26</v>
      </c>
      <c r="I1079" s="4" t="s">
        <v>21</v>
      </c>
      <c r="J1079" s="3">
        <v>3</v>
      </c>
      <c r="K1079" s="3" t="s">
        <v>109</v>
      </c>
      <c r="L1079" s="3">
        <v>5</v>
      </c>
      <c r="M1079" s="3">
        <v>7</v>
      </c>
      <c r="N1079" s="3" t="s">
        <v>28</v>
      </c>
    </row>
    <row r="1080" spans="1:14" x14ac:dyDescent="0.3">
      <c r="A1080" s="7" t="s">
        <v>1163</v>
      </c>
      <c r="B1080" s="7" t="s">
        <v>30</v>
      </c>
      <c r="C1080" s="7">
        <v>3</v>
      </c>
      <c r="D1080" s="10">
        <v>208.6</v>
      </c>
      <c r="E1080" s="10">
        <v>625.79999999999995</v>
      </c>
      <c r="F1080" s="9">
        <v>45700</v>
      </c>
      <c r="G1080" s="9">
        <v>45700</v>
      </c>
      <c r="H1080" s="7" t="s">
        <v>26</v>
      </c>
      <c r="I1080" s="8" t="s">
        <v>75</v>
      </c>
      <c r="J1080" s="7">
        <v>5</v>
      </c>
      <c r="K1080" s="7" t="s">
        <v>109</v>
      </c>
      <c r="L1080" s="7">
        <v>0</v>
      </c>
      <c r="M1080" s="7">
        <v>7</v>
      </c>
      <c r="N1080" s="7" t="s">
        <v>28</v>
      </c>
    </row>
    <row r="1081" spans="1:14" x14ac:dyDescent="0.3">
      <c r="A1081" s="3" t="s">
        <v>1164</v>
      </c>
      <c r="B1081" s="3" t="s">
        <v>129</v>
      </c>
      <c r="C1081" s="3">
        <v>3</v>
      </c>
      <c r="D1081" s="6">
        <v>27.8</v>
      </c>
      <c r="E1081" s="6">
        <v>83.4</v>
      </c>
      <c r="F1081" s="5">
        <v>45700</v>
      </c>
      <c r="G1081" s="5">
        <v>45701</v>
      </c>
      <c r="H1081" s="3" t="s">
        <v>26</v>
      </c>
      <c r="I1081" s="4" t="s">
        <v>56</v>
      </c>
      <c r="J1081" s="3">
        <v>3</v>
      </c>
      <c r="K1081" s="3" t="s">
        <v>82</v>
      </c>
      <c r="L1081" s="3">
        <v>1</v>
      </c>
      <c r="M1081" s="3">
        <v>7</v>
      </c>
      <c r="N1081" s="3" t="s">
        <v>28</v>
      </c>
    </row>
    <row r="1082" spans="1:14" x14ac:dyDescent="0.3">
      <c r="A1082" s="7" t="s">
        <v>1165</v>
      </c>
      <c r="B1082" s="7" t="s">
        <v>59</v>
      </c>
      <c r="C1082" s="7">
        <v>5</v>
      </c>
      <c r="D1082" s="10">
        <v>29.4</v>
      </c>
      <c r="E1082" s="10">
        <v>147</v>
      </c>
      <c r="F1082" s="9">
        <v>45700</v>
      </c>
      <c r="G1082" s="9">
        <v>45702</v>
      </c>
      <c r="H1082" s="7" t="s">
        <v>31</v>
      </c>
      <c r="I1082" s="8" t="s">
        <v>21</v>
      </c>
      <c r="J1082" s="7">
        <v>4</v>
      </c>
      <c r="K1082" s="7" t="s">
        <v>82</v>
      </c>
      <c r="L1082" s="7">
        <v>2</v>
      </c>
      <c r="M1082" s="7">
        <v>7</v>
      </c>
      <c r="N1082" s="7" t="s">
        <v>33</v>
      </c>
    </row>
    <row r="1083" spans="1:14" x14ac:dyDescent="0.3">
      <c r="A1083" s="3" t="s">
        <v>1166</v>
      </c>
      <c r="B1083" s="3" t="s">
        <v>51</v>
      </c>
      <c r="C1083" s="3">
        <v>2</v>
      </c>
      <c r="D1083" s="6">
        <v>29.2</v>
      </c>
      <c r="E1083" s="6">
        <v>58.4</v>
      </c>
      <c r="F1083" s="5">
        <v>45700</v>
      </c>
      <c r="G1083" s="5">
        <v>45702</v>
      </c>
      <c r="H1083" s="3" t="s">
        <v>31</v>
      </c>
      <c r="I1083" s="4" t="s">
        <v>40</v>
      </c>
      <c r="J1083" s="3">
        <v>5</v>
      </c>
      <c r="K1083" s="3" t="s">
        <v>119</v>
      </c>
      <c r="L1083" s="3">
        <v>2</v>
      </c>
      <c r="M1083" s="3">
        <v>7</v>
      </c>
      <c r="N1083" s="3" t="s">
        <v>33</v>
      </c>
    </row>
    <row r="1084" spans="1:14" x14ac:dyDescent="0.3">
      <c r="A1084" s="7" t="s">
        <v>1167</v>
      </c>
      <c r="B1084" s="7" t="s">
        <v>59</v>
      </c>
      <c r="C1084" s="7">
        <v>5</v>
      </c>
      <c r="D1084" s="10">
        <v>26.5</v>
      </c>
      <c r="E1084" s="10">
        <v>132.5</v>
      </c>
      <c r="F1084" s="9">
        <v>45700</v>
      </c>
      <c r="G1084" s="9">
        <v>45702</v>
      </c>
      <c r="H1084" s="7" t="s">
        <v>31</v>
      </c>
      <c r="I1084" s="8" t="s">
        <v>21</v>
      </c>
      <c r="J1084" s="7">
        <v>4</v>
      </c>
      <c r="K1084" s="7" t="s">
        <v>249</v>
      </c>
      <c r="L1084" s="7">
        <v>2</v>
      </c>
      <c r="M1084" s="7">
        <v>7</v>
      </c>
      <c r="N1084" s="7" t="s">
        <v>33</v>
      </c>
    </row>
    <row r="1085" spans="1:14" x14ac:dyDescent="0.3">
      <c r="A1085" s="3" t="s">
        <v>1168</v>
      </c>
      <c r="B1085" s="3" t="s">
        <v>42</v>
      </c>
      <c r="C1085" s="3">
        <v>1</v>
      </c>
      <c r="D1085" s="6">
        <v>30.3</v>
      </c>
      <c r="E1085" s="6">
        <v>30.3</v>
      </c>
      <c r="F1085" s="5">
        <v>45700</v>
      </c>
      <c r="G1085" s="5">
        <v>45701</v>
      </c>
      <c r="H1085" s="3" t="s">
        <v>31</v>
      </c>
      <c r="I1085" s="4" t="s">
        <v>75</v>
      </c>
      <c r="J1085" s="3">
        <v>3</v>
      </c>
      <c r="K1085" s="3" t="s">
        <v>87</v>
      </c>
      <c r="L1085" s="3">
        <v>1</v>
      </c>
      <c r="M1085" s="3">
        <v>7</v>
      </c>
      <c r="N1085" s="3" t="s">
        <v>33</v>
      </c>
    </row>
    <row r="1086" spans="1:14" x14ac:dyDescent="0.3">
      <c r="A1086" s="7" t="s">
        <v>1169</v>
      </c>
      <c r="B1086" s="7" t="s">
        <v>134</v>
      </c>
      <c r="C1086" s="7">
        <v>12</v>
      </c>
      <c r="D1086" s="10">
        <v>39.700000000000003</v>
      </c>
      <c r="E1086" s="10">
        <v>476.4</v>
      </c>
      <c r="F1086" s="9">
        <v>45700</v>
      </c>
      <c r="G1086" s="9">
        <v>45701</v>
      </c>
      <c r="H1086" s="7" t="s">
        <v>31</v>
      </c>
      <c r="I1086" s="8" t="s">
        <v>21</v>
      </c>
      <c r="J1086" s="7">
        <v>4</v>
      </c>
      <c r="K1086" s="7" t="s">
        <v>121</v>
      </c>
      <c r="L1086" s="7">
        <v>1</v>
      </c>
      <c r="M1086" s="7">
        <v>7</v>
      </c>
      <c r="N1086" s="7" t="s">
        <v>33</v>
      </c>
    </row>
    <row r="1087" spans="1:14" x14ac:dyDescent="0.3">
      <c r="A1087" s="3" t="s">
        <v>1170</v>
      </c>
      <c r="B1087" s="3" t="s">
        <v>47</v>
      </c>
      <c r="C1087" s="3">
        <v>10</v>
      </c>
      <c r="D1087" s="6">
        <v>58.9</v>
      </c>
      <c r="E1087" s="6">
        <v>589</v>
      </c>
      <c r="F1087" s="5">
        <v>45700</v>
      </c>
      <c r="G1087" s="5">
        <v>45702</v>
      </c>
      <c r="H1087" s="3" t="s">
        <v>31</v>
      </c>
      <c r="I1087" s="4" t="s">
        <v>40</v>
      </c>
      <c r="J1087" s="3">
        <v>2</v>
      </c>
      <c r="K1087" s="3" t="s">
        <v>121</v>
      </c>
      <c r="L1087" s="3">
        <v>2</v>
      </c>
      <c r="M1087" s="3">
        <v>7</v>
      </c>
      <c r="N1087" s="3" t="s">
        <v>33</v>
      </c>
    </row>
    <row r="1088" spans="1:14" x14ac:dyDescent="0.3">
      <c r="A1088" s="7" t="s">
        <v>1171</v>
      </c>
      <c r="B1088" s="7" t="s">
        <v>30</v>
      </c>
      <c r="C1088" s="7">
        <v>2</v>
      </c>
      <c r="D1088" s="10">
        <v>174.1</v>
      </c>
      <c r="E1088" s="10">
        <v>348.2</v>
      </c>
      <c r="F1088" s="9">
        <v>45700</v>
      </c>
      <c r="G1088" s="9">
        <v>45702</v>
      </c>
      <c r="H1088" s="7" t="s">
        <v>31</v>
      </c>
      <c r="I1088" s="8" t="s">
        <v>21</v>
      </c>
      <c r="J1088" s="7">
        <v>3</v>
      </c>
      <c r="K1088" s="7" t="s">
        <v>153</v>
      </c>
      <c r="L1088" s="7">
        <v>2</v>
      </c>
      <c r="M1088" s="7">
        <v>7</v>
      </c>
      <c r="N1088" s="7" t="s">
        <v>33</v>
      </c>
    </row>
    <row r="1089" spans="1:14" x14ac:dyDescent="0.3">
      <c r="A1089" s="3" t="s">
        <v>1172</v>
      </c>
      <c r="B1089" s="3" t="s">
        <v>44</v>
      </c>
      <c r="C1089" s="3">
        <v>2</v>
      </c>
      <c r="D1089" s="6">
        <v>70.8</v>
      </c>
      <c r="E1089" s="6">
        <v>141.6</v>
      </c>
      <c r="F1089" s="5">
        <v>45700</v>
      </c>
      <c r="G1089" s="5">
        <v>45703</v>
      </c>
      <c r="H1089" s="3" t="s">
        <v>26</v>
      </c>
      <c r="I1089" s="4" t="s">
        <v>45</v>
      </c>
      <c r="J1089" s="3">
        <v>4</v>
      </c>
      <c r="K1089" s="3" t="s">
        <v>153</v>
      </c>
      <c r="L1089" s="3">
        <v>3</v>
      </c>
      <c r="M1089" s="3">
        <v>7</v>
      </c>
      <c r="N1089" s="3" t="s">
        <v>28</v>
      </c>
    </row>
    <row r="1090" spans="1:14" x14ac:dyDescent="0.3">
      <c r="A1090" s="7" t="s">
        <v>1173</v>
      </c>
      <c r="B1090" s="7" t="s">
        <v>47</v>
      </c>
      <c r="C1090" s="7">
        <v>2</v>
      </c>
      <c r="D1090" s="10">
        <v>57.4</v>
      </c>
      <c r="E1090" s="10">
        <v>114.8</v>
      </c>
      <c r="F1090" s="9">
        <v>45700</v>
      </c>
      <c r="G1090" s="9">
        <v>45702</v>
      </c>
      <c r="H1090" s="7" t="s">
        <v>31</v>
      </c>
      <c r="I1090" s="8" t="s">
        <v>40</v>
      </c>
      <c r="J1090" s="7">
        <v>3</v>
      </c>
      <c r="K1090" s="7" t="s">
        <v>22</v>
      </c>
      <c r="L1090" s="7">
        <v>2</v>
      </c>
      <c r="M1090" s="7">
        <v>7</v>
      </c>
      <c r="N1090" s="7" t="s">
        <v>33</v>
      </c>
    </row>
    <row r="1091" spans="1:14" x14ac:dyDescent="0.3">
      <c r="A1091" s="3" t="s">
        <v>1174</v>
      </c>
      <c r="B1091" s="3" t="s">
        <v>20</v>
      </c>
      <c r="C1091" s="3">
        <v>2</v>
      </c>
      <c r="D1091" s="6">
        <v>28.5</v>
      </c>
      <c r="E1091" s="6">
        <v>57</v>
      </c>
      <c r="F1091" s="5">
        <v>45700</v>
      </c>
      <c r="G1091" s="5">
        <v>45702</v>
      </c>
      <c r="H1091" s="3" t="s">
        <v>26</v>
      </c>
      <c r="I1091" s="4" t="s">
        <v>56</v>
      </c>
      <c r="J1091" s="3">
        <v>3</v>
      </c>
      <c r="K1091" s="3" t="s">
        <v>38</v>
      </c>
      <c r="L1091" s="3">
        <v>2</v>
      </c>
      <c r="M1091" s="3">
        <v>7</v>
      </c>
      <c r="N1091" s="3" t="s">
        <v>28</v>
      </c>
    </row>
    <row r="1092" spans="1:14" x14ac:dyDescent="0.3">
      <c r="A1092" s="7" t="s">
        <v>1175</v>
      </c>
      <c r="B1092" s="7" t="s">
        <v>30</v>
      </c>
      <c r="C1092" s="7">
        <v>20</v>
      </c>
      <c r="D1092" s="10">
        <v>106.6</v>
      </c>
      <c r="E1092" s="10">
        <v>2132</v>
      </c>
      <c r="F1092" s="9">
        <v>45700</v>
      </c>
      <c r="G1092" s="9">
        <v>45701</v>
      </c>
      <c r="H1092" s="7"/>
      <c r="I1092" s="8" t="s">
        <v>40</v>
      </c>
      <c r="J1092" s="7">
        <v>2</v>
      </c>
      <c r="K1092" s="7" t="s">
        <v>38</v>
      </c>
      <c r="L1092" s="7">
        <v>1</v>
      </c>
      <c r="M1092" s="7">
        <v>7</v>
      </c>
      <c r="N1092" s="7" t="s">
        <v>23</v>
      </c>
    </row>
    <row r="1093" spans="1:14" x14ac:dyDescent="0.3">
      <c r="A1093" s="3" t="s">
        <v>1176</v>
      </c>
      <c r="B1093" s="3" t="s">
        <v>30</v>
      </c>
      <c r="C1093" s="3">
        <v>3</v>
      </c>
      <c r="D1093" s="6">
        <v>119.7</v>
      </c>
      <c r="E1093" s="6">
        <v>359.1</v>
      </c>
      <c r="F1093" s="5">
        <v>45700</v>
      </c>
      <c r="G1093" s="5">
        <v>45701</v>
      </c>
      <c r="H1093" s="3" t="s">
        <v>31</v>
      </c>
      <c r="I1093" s="4" t="s">
        <v>40</v>
      </c>
      <c r="J1093" s="3">
        <v>2</v>
      </c>
      <c r="K1093" s="3" t="s">
        <v>38</v>
      </c>
      <c r="L1093" s="3">
        <v>1</v>
      </c>
      <c r="M1093" s="3">
        <v>7</v>
      </c>
      <c r="N1093" s="3" t="s">
        <v>33</v>
      </c>
    </row>
    <row r="1094" spans="1:14" x14ac:dyDescent="0.3">
      <c r="A1094" s="7" t="s">
        <v>1177</v>
      </c>
      <c r="B1094" s="7" t="s">
        <v>152</v>
      </c>
      <c r="C1094" s="7">
        <v>1</v>
      </c>
      <c r="D1094" s="10">
        <v>73.3</v>
      </c>
      <c r="E1094" s="10">
        <v>73.3</v>
      </c>
      <c r="F1094" s="9">
        <v>45700</v>
      </c>
      <c r="G1094" s="9">
        <v>45705</v>
      </c>
      <c r="H1094" s="7" t="s">
        <v>31</v>
      </c>
      <c r="I1094" s="8" t="s">
        <v>21</v>
      </c>
      <c r="J1094" s="7">
        <v>5</v>
      </c>
      <c r="K1094" s="7" t="s">
        <v>38</v>
      </c>
      <c r="L1094" s="7">
        <v>5</v>
      </c>
      <c r="M1094" s="7">
        <v>7</v>
      </c>
      <c r="N1094" s="7" t="s">
        <v>33</v>
      </c>
    </row>
    <row r="1095" spans="1:14" x14ac:dyDescent="0.3">
      <c r="A1095" s="3" t="s">
        <v>1178</v>
      </c>
      <c r="B1095" s="3" t="s">
        <v>20</v>
      </c>
      <c r="C1095" s="3">
        <v>2</v>
      </c>
      <c r="D1095" s="6">
        <v>25.8</v>
      </c>
      <c r="E1095" s="6">
        <v>51.6</v>
      </c>
      <c r="F1095" s="5">
        <v>45700</v>
      </c>
      <c r="G1095" s="5">
        <v>45714</v>
      </c>
      <c r="H1095" s="3" t="s">
        <v>26</v>
      </c>
      <c r="I1095" s="4" t="s">
        <v>45</v>
      </c>
      <c r="J1095" s="3">
        <v>4</v>
      </c>
      <c r="K1095" s="3" t="s">
        <v>38</v>
      </c>
      <c r="L1095" s="3">
        <v>14</v>
      </c>
      <c r="M1095" s="3">
        <v>7</v>
      </c>
      <c r="N1095" s="3" t="s">
        <v>28</v>
      </c>
    </row>
    <row r="1096" spans="1:14" x14ac:dyDescent="0.3">
      <c r="A1096" s="7" t="s">
        <v>1179</v>
      </c>
      <c r="B1096" s="7" t="s">
        <v>141</v>
      </c>
      <c r="C1096" s="7">
        <v>3</v>
      </c>
      <c r="D1096" s="10">
        <v>49.1</v>
      </c>
      <c r="E1096" s="10">
        <v>147.30000000000001</v>
      </c>
      <c r="F1096" s="9">
        <v>45700</v>
      </c>
      <c r="G1096" s="9">
        <v>45702</v>
      </c>
      <c r="H1096" s="7" t="s">
        <v>31</v>
      </c>
      <c r="I1096" s="8" t="s">
        <v>21</v>
      </c>
      <c r="J1096" s="7">
        <v>4</v>
      </c>
      <c r="K1096" s="7" t="s">
        <v>192</v>
      </c>
      <c r="L1096" s="7">
        <v>2</v>
      </c>
      <c r="M1096" s="7">
        <v>7</v>
      </c>
      <c r="N1096" s="7" t="s">
        <v>33</v>
      </c>
    </row>
    <row r="1097" spans="1:14" x14ac:dyDescent="0.3">
      <c r="A1097" s="3" t="s">
        <v>1180</v>
      </c>
      <c r="B1097" s="3" t="s">
        <v>25</v>
      </c>
      <c r="C1097" s="3">
        <v>1</v>
      </c>
      <c r="D1097" s="6">
        <v>44.9</v>
      </c>
      <c r="E1097" s="6">
        <v>44.9</v>
      </c>
      <c r="F1097" s="5">
        <v>45700</v>
      </c>
      <c r="G1097" s="5">
        <v>45703</v>
      </c>
      <c r="H1097" s="3" t="s">
        <v>31</v>
      </c>
      <c r="I1097" s="4" t="s">
        <v>56</v>
      </c>
      <c r="J1097" s="3">
        <v>5</v>
      </c>
      <c r="K1097" s="3" t="s">
        <v>60</v>
      </c>
      <c r="L1097" s="3">
        <v>3</v>
      </c>
      <c r="M1097" s="3">
        <v>7</v>
      </c>
      <c r="N1097" s="3" t="s">
        <v>33</v>
      </c>
    </row>
    <row r="1098" spans="1:14" x14ac:dyDescent="0.3">
      <c r="A1098" s="7" t="s">
        <v>1181</v>
      </c>
      <c r="B1098" s="7" t="s">
        <v>129</v>
      </c>
      <c r="C1098" s="7">
        <v>7</v>
      </c>
      <c r="D1098" s="10">
        <v>29.9</v>
      </c>
      <c r="E1098" s="10">
        <v>209.3</v>
      </c>
      <c r="F1098" s="9">
        <v>45700</v>
      </c>
      <c r="G1098" s="9">
        <v>45701</v>
      </c>
      <c r="H1098" s="7" t="s">
        <v>31</v>
      </c>
      <c r="I1098" s="8" t="s">
        <v>21</v>
      </c>
      <c r="J1098" s="7">
        <v>4</v>
      </c>
      <c r="K1098" s="7" t="s">
        <v>60</v>
      </c>
      <c r="L1098" s="7">
        <v>1</v>
      </c>
      <c r="M1098" s="7">
        <v>7</v>
      </c>
      <c r="N1098" s="7" t="s">
        <v>33</v>
      </c>
    </row>
    <row r="1099" spans="1:14" x14ac:dyDescent="0.3">
      <c r="A1099" s="3" t="s">
        <v>1182</v>
      </c>
      <c r="B1099" s="3" t="s">
        <v>47</v>
      </c>
      <c r="C1099" s="3">
        <v>2</v>
      </c>
      <c r="D1099" s="6">
        <v>54.3</v>
      </c>
      <c r="E1099" s="6">
        <v>108.6</v>
      </c>
      <c r="F1099" s="5">
        <v>45701</v>
      </c>
      <c r="G1099" s="5">
        <v>45702</v>
      </c>
      <c r="H1099" s="3" t="s">
        <v>26</v>
      </c>
      <c r="I1099" s="4" t="s">
        <v>56</v>
      </c>
      <c r="J1099" s="3">
        <v>4</v>
      </c>
      <c r="K1099" s="3" t="s">
        <v>57</v>
      </c>
      <c r="L1099" s="3">
        <v>1</v>
      </c>
      <c r="M1099" s="3">
        <v>7</v>
      </c>
      <c r="N1099" s="3" t="s">
        <v>28</v>
      </c>
    </row>
    <row r="1100" spans="1:14" x14ac:dyDescent="0.3">
      <c r="A1100" s="7" t="s">
        <v>1183</v>
      </c>
      <c r="B1100" s="7" t="s">
        <v>51</v>
      </c>
      <c r="C1100" s="7">
        <v>4</v>
      </c>
      <c r="D1100" s="10">
        <v>57</v>
      </c>
      <c r="E1100" s="10">
        <v>228</v>
      </c>
      <c r="F1100" s="9">
        <v>45701</v>
      </c>
      <c r="G1100" s="9">
        <v>45703</v>
      </c>
      <c r="H1100" s="7" t="s">
        <v>31</v>
      </c>
      <c r="I1100" s="8" t="s">
        <v>21</v>
      </c>
      <c r="J1100" s="7">
        <v>4</v>
      </c>
      <c r="K1100" s="7" t="s">
        <v>67</v>
      </c>
      <c r="L1100" s="7">
        <v>2</v>
      </c>
      <c r="M1100" s="7">
        <v>7</v>
      </c>
      <c r="N1100" s="7" t="s">
        <v>33</v>
      </c>
    </row>
    <row r="1101" spans="1:14" x14ac:dyDescent="0.3">
      <c r="A1101" s="3" t="s">
        <v>1184</v>
      </c>
      <c r="B1101" s="3" t="s">
        <v>30</v>
      </c>
      <c r="C1101" s="3">
        <v>1</v>
      </c>
      <c r="D1101" s="6">
        <v>139.19999999999999</v>
      </c>
      <c r="E1101" s="6">
        <v>139.19999999999999</v>
      </c>
      <c r="F1101" s="5">
        <v>45701</v>
      </c>
      <c r="G1101" s="5">
        <v>45702</v>
      </c>
      <c r="H1101" s="3" t="s">
        <v>31</v>
      </c>
      <c r="I1101" s="4" t="s">
        <v>56</v>
      </c>
      <c r="J1101" s="3">
        <v>5</v>
      </c>
      <c r="K1101" s="3" t="s">
        <v>67</v>
      </c>
      <c r="L1101" s="3">
        <v>1</v>
      </c>
      <c r="M1101" s="3">
        <v>7</v>
      </c>
      <c r="N1101" s="3" t="s">
        <v>33</v>
      </c>
    </row>
    <row r="1102" spans="1:14" x14ac:dyDescent="0.3">
      <c r="A1102" s="7" t="s">
        <v>1185</v>
      </c>
      <c r="B1102" s="7" t="s">
        <v>59</v>
      </c>
      <c r="C1102" s="7">
        <v>1</v>
      </c>
      <c r="D1102" s="10">
        <v>33</v>
      </c>
      <c r="E1102" s="10">
        <v>33</v>
      </c>
      <c r="F1102" s="9">
        <v>45701</v>
      </c>
      <c r="G1102" s="9">
        <v>45704</v>
      </c>
      <c r="H1102" s="7" t="s">
        <v>31</v>
      </c>
      <c r="I1102" s="8" t="s">
        <v>21</v>
      </c>
      <c r="J1102" s="7">
        <v>5</v>
      </c>
      <c r="K1102" s="7" t="s">
        <v>67</v>
      </c>
      <c r="L1102" s="7">
        <v>3</v>
      </c>
      <c r="M1102" s="7">
        <v>7</v>
      </c>
      <c r="N1102" s="7" t="s">
        <v>33</v>
      </c>
    </row>
    <row r="1103" spans="1:14" x14ac:dyDescent="0.3">
      <c r="A1103" s="3" t="s">
        <v>1186</v>
      </c>
      <c r="B1103" s="3" t="s">
        <v>72</v>
      </c>
      <c r="C1103" s="3">
        <v>6</v>
      </c>
      <c r="D1103" s="6">
        <v>80.2</v>
      </c>
      <c r="E1103" s="6">
        <v>481.2</v>
      </c>
      <c r="F1103" s="5">
        <v>45701</v>
      </c>
      <c r="G1103" s="5">
        <v>45703</v>
      </c>
      <c r="H1103" s="3" t="s">
        <v>26</v>
      </c>
      <c r="I1103" s="4" t="s">
        <v>40</v>
      </c>
      <c r="J1103" s="3">
        <v>2</v>
      </c>
      <c r="K1103" s="3" t="s">
        <v>67</v>
      </c>
      <c r="L1103" s="3">
        <v>2</v>
      </c>
      <c r="M1103" s="3">
        <v>7</v>
      </c>
      <c r="N1103" s="3" t="s">
        <v>28</v>
      </c>
    </row>
    <row r="1104" spans="1:14" x14ac:dyDescent="0.3">
      <c r="A1104" s="7" t="s">
        <v>1187</v>
      </c>
      <c r="B1104" s="7" t="s">
        <v>152</v>
      </c>
      <c r="C1104" s="7">
        <v>8</v>
      </c>
      <c r="D1104" s="10">
        <v>49</v>
      </c>
      <c r="E1104" s="10">
        <v>392</v>
      </c>
      <c r="F1104" s="9">
        <v>45701</v>
      </c>
      <c r="G1104" s="9">
        <v>45702</v>
      </c>
      <c r="H1104" s="7"/>
      <c r="I1104" s="8" t="s">
        <v>45</v>
      </c>
      <c r="J1104" s="7">
        <v>3</v>
      </c>
      <c r="K1104" s="7" t="s">
        <v>77</v>
      </c>
      <c r="L1104" s="7">
        <v>1</v>
      </c>
      <c r="M1104" s="7">
        <v>7</v>
      </c>
      <c r="N1104" s="7" t="s">
        <v>23</v>
      </c>
    </row>
    <row r="1105" spans="1:14" x14ac:dyDescent="0.3">
      <c r="A1105" s="3" t="s">
        <v>1188</v>
      </c>
      <c r="B1105" s="3" t="s">
        <v>25</v>
      </c>
      <c r="C1105" s="3">
        <v>4</v>
      </c>
      <c r="D1105" s="6">
        <v>104.4</v>
      </c>
      <c r="E1105" s="6">
        <v>417.6</v>
      </c>
      <c r="F1105" s="5">
        <v>45701</v>
      </c>
      <c r="G1105" s="5">
        <v>45701</v>
      </c>
      <c r="H1105" s="3" t="s">
        <v>31</v>
      </c>
      <c r="I1105" s="4" t="s">
        <v>21</v>
      </c>
      <c r="J1105" s="3">
        <v>4</v>
      </c>
      <c r="K1105" s="3" t="s">
        <v>77</v>
      </c>
      <c r="L1105" s="3">
        <v>0</v>
      </c>
      <c r="M1105" s="3">
        <v>7</v>
      </c>
      <c r="N1105" s="3" t="s">
        <v>33</v>
      </c>
    </row>
    <row r="1106" spans="1:14" x14ac:dyDescent="0.3">
      <c r="A1106" s="7" t="s">
        <v>1189</v>
      </c>
      <c r="B1106" s="7" t="s">
        <v>35</v>
      </c>
      <c r="C1106" s="7">
        <v>1</v>
      </c>
      <c r="D1106" s="10">
        <v>41.6</v>
      </c>
      <c r="E1106" s="10">
        <v>41.6</v>
      </c>
      <c r="F1106" s="9">
        <v>45701</v>
      </c>
      <c r="G1106" s="9">
        <v>45704</v>
      </c>
      <c r="H1106" s="7" t="s">
        <v>26</v>
      </c>
      <c r="I1106" s="8" t="s">
        <v>56</v>
      </c>
      <c r="J1106" s="7">
        <v>4</v>
      </c>
      <c r="K1106" s="7" t="s">
        <v>82</v>
      </c>
      <c r="L1106" s="7">
        <v>3</v>
      </c>
      <c r="M1106" s="7">
        <v>7</v>
      </c>
      <c r="N1106" s="7" t="s">
        <v>28</v>
      </c>
    </row>
    <row r="1107" spans="1:14" x14ac:dyDescent="0.3">
      <c r="A1107" s="3" t="s">
        <v>1190</v>
      </c>
      <c r="B1107" s="3" t="s">
        <v>177</v>
      </c>
      <c r="C1107" s="3">
        <v>2</v>
      </c>
      <c r="D1107" s="6">
        <v>16.399999999999999</v>
      </c>
      <c r="E1107" s="6">
        <v>32.799999999999997</v>
      </c>
      <c r="F1107" s="5">
        <v>45701</v>
      </c>
      <c r="G1107" s="5">
        <v>45702</v>
      </c>
      <c r="H1107" s="3" t="s">
        <v>94</v>
      </c>
      <c r="I1107" s="4" t="s">
        <v>21</v>
      </c>
      <c r="J1107" s="3">
        <v>5</v>
      </c>
      <c r="K1107" s="3" t="s">
        <v>82</v>
      </c>
      <c r="L1107" s="3">
        <v>1</v>
      </c>
      <c r="M1107" s="3">
        <v>7</v>
      </c>
      <c r="N1107" s="3" t="s">
        <v>95</v>
      </c>
    </row>
    <row r="1108" spans="1:14" x14ac:dyDescent="0.3">
      <c r="A1108" s="7" t="s">
        <v>1191</v>
      </c>
      <c r="B1108" s="7" t="s">
        <v>49</v>
      </c>
      <c r="C1108" s="7">
        <v>2</v>
      </c>
      <c r="D1108" s="10">
        <v>22</v>
      </c>
      <c r="E1108" s="10">
        <v>44</v>
      </c>
      <c r="F1108" s="9">
        <v>45701</v>
      </c>
      <c r="G1108" s="9">
        <v>45702</v>
      </c>
      <c r="H1108" s="7" t="s">
        <v>26</v>
      </c>
      <c r="I1108" s="8" t="s">
        <v>45</v>
      </c>
      <c r="J1108" s="7">
        <v>5</v>
      </c>
      <c r="K1108" s="7" t="s">
        <v>264</v>
      </c>
      <c r="L1108" s="7">
        <v>1</v>
      </c>
      <c r="M1108" s="7">
        <v>7</v>
      </c>
      <c r="N1108" s="7" t="s">
        <v>28</v>
      </c>
    </row>
    <row r="1109" spans="1:14" x14ac:dyDescent="0.3">
      <c r="A1109" s="3" t="s">
        <v>1192</v>
      </c>
      <c r="B1109" s="3" t="s">
        <v>129</v>
      </c>
      <c r="C1109" s="3">
        <v>2</v>
      </c>
      <c r="D1109" s="6">
        <v>33.6</v>
      </c>
      <c r="E1109" s="6">
        <v>67.2</v>
      </c>
      <c r="F1109" s="5">
        <v>45701</v>
      </c>
      <c r="G1109" s="5">
        <v>45706</v>
      </c>
      <c r="H1109" s="3" t="s">
        <v>31</v>
      </c>
      <c r="I1109" s="4" t="s">
        <v>21</v>
      </c>
      <c r="J1109" s="3">
        <v>4</v>
      </c>
      <c r="K1109" s="3" t="s">
        <v>121</v>
      </c>
      <c r="L1109" s="3">
        <v>5</v>
      </c>
      <c r="M1109" s="3">
        <v>7</v>
      </c>
      <c r="N1109" s="3" t="s">
        <v>33</v>
      </c>
    </row>
    <row r="1110" spans="1:14" x14ac:dyDescent="0.3">
      <c r="A1110" s="7" t="s">
        <v>1193</v>
      </c>
      <c r="B1110" s="7" t="s">
        <v>72</v>
      </c>
      <c r="C1110" s="7">
        <v>6</v>
      </c>
      <c r="D1110" s="10">
        <v>43</v>
      </c>
      <c r="E1110" s="10">
        <v>258</v>
      </c>
      <c r="F1110" s="9">
        <v>45701</v>
      </c>
      <c r="G1110" s="9">
        <v>45702</v>
      </c>
      <c r="H1110" s="7" t="s">
        <v>31</v>
      </c>
      <c r="I1110" s="8" t="s">
        <v>45</v>
      </c>
      <c r="J1110" s="7">
        <v>4</v>
      </c>
      <c r="K1110" s="7" t="s">
        <v>121</v>
      </c>
      <c r="L1110" s="7">
        <v>1</v>
      </c>
      <c r="M1110" s="7">
        <v>7</v>
      </c>
      <c r="N1110" s="7" t="s">
        <v>33</v>
      </c>
    </row>
    <row r="1111" spans="1:14" x14ac:dyDescent="0.3">
      <c r="A1111" s="3" t="s">
        <v>1194</v>
      </c>
      <c r="B1111" s="3" t="s">
        <v>44</v>
      </c>
      <c r="C1111" s="3">
        <v>5</v>
      </c>
      <c r="D1111" s="6">
        <v>108.8</v>
      </c>
      <c r="E1111" s="6">
        <v>544</v>
      </c>
      <c r="F1111" s="5">
        <v>45701</v>
      </c>
      <c r="G1111" s="5">
        <v>45704</v>
      </c>
      <c r="H1111" s="3" t="s">
        <v>31</v>
      </c>
      <c r="I1111" s="4" t="s">
        <v>75</v>
      </c>
      <c r="J1111" s="3">
        <v>5</v>
      </c>
      <c r="K1111" s="3" t="s">
        <v>121</v>
      </c>
      <c r="L1111" s="3">
        <v>3</v>
      </c>
      <c r="M1111" s="3">
        <v>7</v>
      </c>
      <c r="N1111" s="3" t="s">
        <v>33</v>
      </c>
    </row>
    <row r="1112" spans="1:14" x14ac:dyDescent="0.3">
      <c r="A1112" s="7" t="s">
        <v>1195</v>
      </c>
      <c r="B1112" s="7" t="s">
        <v>20</v>
      </c>
      <c r="C1112" s="7">
        <v>9</v>
      </c>
      <c r="D1112" s="10">
        <v>29.3</v>
      </c>
      <c r="E1112" s="10">
        <v>263.7</v>
      </c>
      <c r="F1112" s="9">
        <v>45701</v>
      </c>
      <c r="G1112" s="9">
        <v>45703</v>
      </c>
      <c r="H1112" s="7" t="s">
        <v>26</v>
      </c>
      <c r="I1112" s="8" t="s">
        <v>75</v>
      </c>
      <c r="J1112" s="7">
        <v>5</v>
      </c>
      <c r="K1112" s="7" t="s">
        <v>121</v>
      </c>
      <c r="L1112" s="7">
        <v>2</v>
      </c>
      <c r="M1112" s="7">
        <v>7</v>
      </c>
      <c r="N1112" s="7" t="s">
        <v>28</v>
      </c>
    </row>
    <row r="1113" spans="1:14" x14ac:dyDescent="0.3">
      <c r="A1113" s="3" t="s">
        <v>1196</v>
      </c>
      <c r="B1113" s="3" t="s">
        <v>30</v>
      </c>
      <c r="C1113" s="3">
        <v>1</v>
      </c>
      <c r="D1113" s="6">
        <v>122.7</v>
      </c>
      <c r="E1113" s="6">
        <v>122.7</v>
      </c>
      <c r="F1113" s="5">
        <v>45701</v>
      </c>
      <c r="G1113" s="5">
        <v>45704</v>
      </c>
      <c r="H1113" s="3" t="s">
        <v>94</v>
      </c>
      <c r="I1113" s="4" t="s">
        <v>21</v>
      </c>
      <c r="J1113" s="3">
        <v>5</v>
      </c>
      <c r="K1113" s="3" t="s">
        <v>27</v>
      </c>
      <c r="L1113" s="3">
        <v>3</v>
      </c>
      <c r="M1113" s="3">
        <v>7</v>
      </c>
      <c r="N1113" s="3" t="s">
        <v>95</v>
      </c>
    </row>
    <row r="1114" spans="1:14" x14ac:dyDescent="0.3">
      <c r="A1114" s="7" t="s">
        <v>1197</v>
      </c>
      <c r="B1114" s="7" t="s">
        <v>37</v>
      </c>
      <c r="C1114" s="7">
        <v>7</v>
      </c>
      <c r="D1114" s="10">
        <v>22.9</v>
      </c>
      <c r="E1114" s="10">
        <v>160.30000000000001</v>
      </c>
      <c r="F1114" s="9">
        <v>45701</v>
      </c>
      <c r="G1114" s="9">
        <v>45702</v>
      </c>
      <c r="H1114" s="7" t="s">
        <v>31</v>
      </c>
      <c r="I1114" s="8" t="s">
        <v>21</v>
      </c>
      <c r="J1114" s="7">
        <v>4</v>
      </c>
      <c r="K1114" s="7" t="s">
        <v>114</v>
      </c>
      <c r="L1114" s="7">
        <v>1</v>
      </c>
      <c r="M1114" s="7">
        <v>7</v>
      </c>
      <c r="N1114" s="7" t="s">
        <v>33</v>
      </c>
    </row>
    <row r="1115" spans="1:14" x14ac:dyDescent="0.3">
      <c r="A1115" s="3" t="s">
        <v>1198</v>
      </c>
      <c r="B1115" s="3" t="s">
        <v>49</v>
      </c>
      <c r="C1115" s="3">
        <v>10</v>
      </c>
      <c r="D1115" s="6">
        <v>25.5</v>
      </c>
      <c r="E1115" s="6">
        <v>255</v>
      </c>
      <c r="F1115" s="5">
        <v>45701</v>
      </c>
      <c r="G1115" s="5">
        <v>45708</v>
      </c>
      <c r="H1115" s="3" t="s">
        <v>31</v>
      </c>
      <c r="I1115" s="4" t="s">
        <v>21</v>
      </c>
      <c r="J1115" s="3">
        <v>4</v>
      </c>
      <c r="K1115" s="3" t="s">
        <v>337</v>
      </c>
      <c r="L1115" s="3">
        <v>7</v>
      </c>
      <c r="M1115" s="3">
        <v>7</v>
      </c>
      <c r="N1115" s="3" t="s">
        <v>33</v>
      </c>
    </row>
    <row r="1116" spans="1:14" x14ac:dyDescent="0.3">
      <c r="A1116" s="7" t="s">
        <v>1199</v>
      </c>
      <c r="B1116" s="7" t="s">
        <v>141</v>
      </c>
      <c r="C1116" s="7">
        <v>3</v>
      </c>
      <c r="D1116" s="10">
        <v>23.4</v>
      </c>
      <c r="E1116" s="10">
        <v>70.199999999999989</v>
      </c>
      <c r="F1116" s="9">
        <v>45701</v>
      </c>
      <c r="G1116" s="9">
        <v>45705</v>
      </c>
      <c r="H1116" s="7" t="s">
        <v>31</v>
      </c>
      <c r="I1116" s="8" t="s">
        <v>21</v>
      </c>
      <c r="J1116" s="7">
        <v>5</v>
      </c>
      <c r="K1116" s="7" t="s">
        <v>38</v>
      </c>
      <c r="L1116" s="7">
        <v>4</v>
      </c>
      <c r="M1116" s="7">
        <v>7</v>
      </c>
      <c r="N1116" s="7" t="s">
        <v>33</v>
      </c>
    </row>
    <row r="1117" spans="1:14" x14ac:dyDescent="0.3">
      <c r="A1117" s="3" t="s">
        <v>1200</v>
      </c>
      <c r="B1117" s="3" t="s">
        <v>42</v>
      </c>
      <c r="C1117" s="3">
        <v>8</v>
      </c>
      <c r="D1117" s="6">
        <v>27.4</v>
      </c>
      <c r="E1117" s="6">
        <v>219.2</v>
      </c>
      <c r="F1117" s="5">
        <v>45701</v>
      </c>
      <c r="G1117" s="5">
        <v>45704</v>
      </c>
      <c r="H1117" s="3" t="s">
        <v>31</v>
      </c>
      <c r="I1117" s="4" t="s">
        <v>45</v>
      </c>
      <c r="J1117" s="3">
        <v>4</v>
      </c>
      <c r="K1117" s="3" t="s">
        <v>38</v>
      </c>
      <c r="L1117" s="3">
        <v>3</v>
      </c>
      <c r="M1117" s="3">
        <v>7</v>
      </c>
      <c r="N1117" s="3" t="s">
        <v>33</v>
      </c>
    </row>
    <row r="1118" spans="1:14" x14ac:dyDescent="0.3">
      <c r="A1118" s="7" t="s">
        <v>1201</v>
      </c>
      <c r="B1118" s="7" t="s">
        <v>42</v>
      </c>
      <c r="C1118" s="7">
        <v>5</v>
      </c>
      <c r="D1118" s="10">
        <v>68.400000000000006</v>
      </c>
      <c r="E1118" s="10">
        <v>342</v>
      </c>
      <c r="F1118" s="9">
        <v>45701</v>
      </c>
      <c r="G1118" s="9">
        <v>45702</v>
      </c>
      <c r="H1118" s="7" t="s">
        <v>31</v>
      </c>
      <c r="I1118" s="8" t="s">
        <v>21</v>
      </c>
      <c r="J1118" s="7">
        <v>4</v>
      </c>
      <c r="K1118" s="7" t="s">
        <v>38</v>
      </c>
      <c r="L1118" s="7">
        <v>1</v>
      </c>
      <c r="M1118" s="7">
        <v>7</v>
      </c>
      <c r="N1118" s="7" t="s">
        <v>33</v>
      </c>
    </row>
    <row r="1119" spans="1:14" x14ac:dyDescent="0.3">
      <c r="A1119" s="3" t="s">
        <v>1202</v>
      </c>
      <c r="B1119" s="3" t="s">
        <v>44</v>
      </c>
      <c r="C1119" s="3">
        <v>1</v>
      </c>
      <c r="D1119" s="6">
        <v>51.9</v>
      </c>
      <c r="E1119" s="6">
        <v>51.9</v>
      </c>
      <c r="F1119" s="5">
        <v>45701</v>
      </c>
      <c r="G1119" s="5">
        <v>45701</v>
      </c>
      <c r="H1119" s="3" t="s">
        <v>31</v>
      </c>
      <c r="I1119" s="4" t="s">
        <v>21</v>
      </c>
      <c r="J1119" s="3">
        <v>4</v>
      </c>
      <c r="K1119" s="3" t="s">
        <v>38</v>
      </c>
      <c r="L1119" s="3">
        <v>0</v>
      </c>
      <c r="M1119" s="3">
        <v>7</v>
      </c>
      <c r="N1119" s="3" t="s">
        <v>33</v>
      </c>
    </row>
    <row r="1120" spans="1:14" x14ac:dyDescent="0.3">
      <c r="A1120" s="7" t="s">
        <v>1203</v>
      </c>
      <c r="B1120" s="7" t="s">
        <v>20</v>
      </c>
      <c r="C1120" s="7">
        <v>5</v>
      </c>
      <c r="D1120" s="10">
        <v>26.4</v>
      </c>
      <c r="E1120" s="10">
        <v>132</v>
      </c>
      <c r="F1120" s="9">
        <v>45701</v>
      </c>
      <c r="G1120" s="9">
        <v>45704</v>
      </c>
      <c r="H1120" s="7" t="s">
        <v>31</v>
      </c>
      <c r="I1120" s="8" t="s">
        <v>21</v>
      </c>
      <c r="J1120" s="7">
        <v>5</v>
      </c>
      <c r="K1120" s="7" t="s">
        <v>38</v>
      </c>
      <c r="L1120" s="7">
        <v>3</v>
      </c>
      <c r="M1120" s="7">
        <v>7</v>
      </c>
      <c r="N1120" s="7" t="s">
        <v>33</v>
      </c>
    </row>
    <row r="1121" spans="1:14" x14ac:dyDescent="0.3">
      <c r="A1121" s="3" t="s">
        <v>1204</v>
      </c>
      <c r="B1121" s="3" t="s">
        <v>74</v>
      </c>
      <c r="C1121" s="3">
        <v>2</v>
      </c>
      <c r="D1121" s="6">
        <v>117</v>
      </c>
      <c r="E1121" s="6">
        <v>234</v>
      </c>
      <c r="F1121" s="5">
        <v>45701</v>
      </c>
      <c r="G1121" s="5">
        <v>45702</v>
      </c>
      <c r="H1121" s="3" t="s">
        <v>31</v>
      </c>
      <c r="I1121" s="4" t="s">
        <v>40</v>
      </c>
      <c r="J1121" s="3">
        <v>3</v>
      </c>
      <c r="K1121" s="3" t="s">
        <v>38</v>
      </c>
      <c r="L1121" s="3">
        <v>1</v>
      </c>
      <c r="M1121" s="3">
        <v>7</v>
      </c>
      <c r="N1121" s="3" t="s">
        <v>33</v>
      </c>
    </row>
    <row r="1122" spans="1:14" x14ac:dyDescent="0.3">
      <c r="A1122" s="7" t="s">
        <v>1205</v>
      </c>
      <c r="B1122" s="7" t="s">
        <v>47</v>
      </c>
      <c r="C1122" s="7">
        <v>3</v>
      </c>
      <c r="D1122" s="10">
        <v>49.6</v>
      </c>
      <c r="E1122" s="10">
        <v>148.80000000000001</v>
      </c>
      <c r="F1122" s="9">
        <v>45702</v>
      </c>
      <c r="G1122" s="9">
        <v>45704</v>
      </c>
      <c r="H1122" s="7" t="s">
        <v>31</v>
      </c>
      <c r="I1122" s="8" t="s">
        <v>21</v>
      </c>
      <c r="J1122" s="7">
        <v>4</v>
      </c>
      <c r="K1122" s="7" t="s">
        <v>38</v>
      </c>
      <c r="L1122" s="7">
        <v>2</v>
      </c>
      <c r="M1122" s="7">
        <v>7</v>
      </c>
      <c r="N1122" s="7" t="s">
        <v>33</v>
      </c>
    </row>
    <row r="1123" spans="1:14" x14ac:dyDescent="0.3">
      <c r="A1123" s="3" t="s">
        <v>1206</v>
      </c>
      <c r="B1123" s="3" t="s">
        <v>37</v>
      </c>
      <c r="C1123" s="3">
        <v>3</v>
      </c>
      <c r="D1123" s="6">
        <v>38</v>
      </c>
      <c r="E1123" s="6">
        <v>114</v>
      </c>
      <c r="F1123" s="5">
        <v>45702</v>
      </c>
      <c r="G1123" s="5">
        <v>45705</v>
      </c>
      <c r="H1123" s="3" t="s">
        <v>26</v>
      </c>
      <c r="I1123" s="4" t="s">
        <v>45</v>
      </c>
      <c r="J1123" s="3">
        <v>2</v>
      </c>
      <c r="K1123" s="3" t="s">
        <v>38</v>
      </c>
      <c r="L1123" s="3">
        <v>3</v>
      </c>
      <c r="M1123" s="3">
        <v>7</v>
      </c>
      <c r="N1123" s="3" t="s">
        <v>28</v>
      </c>
    </row>
    <row r="1124" spans="1:14" x14ac:dyDescent="0.3">
      <c r="A1124" s="7" t="s">
        <v>1207</v>
      </c>
      <c r="B1124" s="7" t="s">
        <v>20</v>
      </c>
      <c r="C1124" s="7">
        <v>3</v>
      </c>
      <c r="D1124" s="10">
        <v>20.6</v>
      </c>
      <c r="E1124" s="10">
        <v>61.8</v>
      </c>
      <c r="F1124" s="9">
        <v>45702</v>
      </c>
      <c r="G1124" s="9">
        <v>45704</v>
      </c>
      <c r="H1124" s="7" t="s">
        <v>31</v>
      </c>
      <c r="I1124" s="8" t="s">
        <v>75</v>
      </c>
      <c r="J1124" s="7">
        <v>5</v>
      </c>
      <c r="K1124" s="7" t="s">
        <v>38</v>
      </c>
      <c r="L1124" s="7">
        <v>2</v>
      </c>
      <c r="M1124" s="7">
        <v>7</v>
      </c>
      <c r="N1124" s="7" t="s">
        <v>33</v>
      </c>
    </row>
    <row r="1125" spans="1:14" x14ac:dyDescent="0.3">
      <c r="A1125" s="3" t="s">
        <v>1208</v>
      </c>
      <c r="B1125" s="3" t="s">
        <v>20</v>
      </c>
      <c r="C1125" s="3">
        <v>2</v>
      </c>
      <c r="D1125" s="6">
        <v>16</v>
      </c>
      <c r="E1125" s="6">
        <v>32</v>
      </c>
      <c r="F1125" s="5">
        <v>45702</v>
      </c>
      <c r="G1125" s="5">
        <v>45703</v>
      </c>
      <c r="H1125" s="3" t="s">
        <v>26</v>
      </c>
      <c r="I1125" s="4" t="s">
        <v>40</v>
      </c>
      <c r="J1125" s="3">
        <v>3</v>
      </c>
      <c r="K1125" s="3" t="s">
        <v>194</v>
      </c>
      <c r="L1125" s="3">
        <v>1</v>
      </c>
      <c r="M1125" s="3">
        <v>7</v>
      </c>
      <c r="N1125" s="3" t="s">
        <v>28</v>
      </c>
    </row>
    <row r="1126" spans="1:14" x14ac:dyDescent="0.3">
      <c r="A1126" s="7" t="s">
        <v>1209</v>
      </c>
      <c r="B1126" s="7" t="s">
        <v>129</v>
      </c>
      <c r="C1126" s="7">
        <v>4</v>
      </c>
      <c r="D1126" s="10">
        <v>49.3</v>
      </c>
      <c r="E1126" s="10">
        <v>197.2</v>
      </c>
      <c r="F1126" s="9">
        <v>45702</v>
      </c>
      <c r="G1126" s="9">
        <v>45703</v>
      </c>
      <c r="H1126" s="7" t="s">
        <v>31</v>
      </c>
      <c r="I1126" s="8" t="s">
        <v>45</v>
      </c>
      <c r="J1126" s="7">
        <v>4</v>
      </c>
      <c r="K1126" s="7" t="s">
        <v>164</v>
      </c>
      <c r="L1126" s="7">
        <v>1</v>
      </c>
      <c r="M1126" s="7">
        <v>7</v>
      </c>
      <c r="N1126" s="7" t="s">
        <v>33</v>
      </c>
    </row>
    <row r="1127" spans="1:14" x14ac:dyDescent="0.3">
      <c r="A1127" s="3" t="s">
        <v>1210</v>
      </c>
      <c r="B1127" s="3" t="s">
        <v>51</v>
      </c>
      <c r="C1127" s="3">
        <v>2</v>
      </c>
      <c r="D1127" s="6">
        <v>24.1</v>
      </c>
      <c r="E1127" s="6">
        <v>48.2</v>
      </c>
      <c r="F1127" s="5">
        <v>45702</v>
      </c>
      <c r="G1127" s="5">
        <v>45706</v>
      </c>
      <c r="H1127" s="3" t="s">
        <v>31</v>
      </c>
      <c r="I1127" s="4" t="s">
        <v>21</v>
      </c>
      <c r="J1127" s="3">
        <v>4</v>
      </c>
      <c r="K1127" s="3" t="s">
        <v>60</v>
      </c>
      <c r="L1127" s="3">
        <v>4</v>
      </c>
      <c r="M1127" s="3">
        <v>7</v>
      </c>
      <c r="N1127" s="3" t="s">
        <v>33</v>
      </c>
    </row>
    <row r="1128" spans="1:14" x14ac:dyDescent="0.3">
      <c r="A1128" s="7" t="s">
        <v>1211</v>
      </c>
      <c r="B1128" s="7" t="s">
        <v>129</v>
      </c>
      <c r="C1128" s="7">
        <v>8</v>
      </c>
      <c r="D1128" s="10">
        <v>32.700000000000003</v>
      </c>
      <c r="E1128" s="10">
        <v>261.60000000000002</v>
      </c>
      <c r="F1128" s="9">
        <v>45702</v>
      </c>
      <c r="G1128" s="9">
        <v>45703</v>
      </c>
      <c r="H1128" s="7" t="s">
        <v>31</v>
      </c>
      <c r="I1128" s="8" t="s">
        <v>40</v>
      </c>
      <c r="J1128" s="7">
        <v>4</v>
      </c>
      <c r="K1128" s="7" t="s">
        <v>60</v>
      </c>
      <c r="L1128" s="7">
        <v>1</v>
      </c>
      <c r="M1128" s="7">
        <v>7</v>
      </c>
      <c r="N1128" s="7" t="s">
        <v>33</v>
      </c>
    </row>
    <row r="1129" spans="1:14" x14ac:dyDescent="0.3">
      <c r="A1129" s="3" t="s">
        <v>1212</v>
      </c>
      <c r="B1129" s="3" t="s">
        <v>44</v>
      </c>
      <c r="C1129" s="3">
        <v>3</v>
      </c>
      <c r="D1129" s="6">
        <v>74.400000000000006</v>
      </c>
      <c r="E1129" s="6">
        <v>223.2</v>
      </c>
      <c r="F1129" s="5">
        <v>45702</v>
      </c>
      <c r="G1129" s="5">
        <v>45703</v>
      </c>
      <c r="H1129" s="3" t="s">
        <v>31</v>
      </c>
      <c r="I1129" s="4" t="s">
        <v>56</v>
      </c>
      <c r="J1129" s="3">
        <v>5</v>
      </c>
      <c r="K1129" s="3" t="s">
        <v>67</v>
      </c>
      <c r="L1129" s="3">
        <v>1</v>
      </c>
      <c r="M1129" s="3">
        <v>7</v>
      </c>
      <c r="N1129" s="3" t="s">
        <v>33</v>
      </c>
    </row>
    <row r="1130" spans="1:14" x14ac:dyDescent="0.3">
      <c r="A1130" s="7" t="s">
        <v>1213</v>
      </c>
      <c r="B1130" s="7" t="s">
        <v>74</v>
      </c>
      <c r="C1130" s="7">
        <v>1</v>
      </c>
      <c r="D1130" s="10">
        <v>45.6</v>
      </c>
      <c r="E1130" s="10">
        <v>45.6</v>
      </c>
      <c r="F1130" s="9">
        <v>45702</v>
      </c>
      <c r="G1130" s="9">
        <v>45706</v>
      </c>
      <c r="H1130" s="7" t="s">
        <v>31</v>
      </c>
      <c r="I1130" s="8" t="s">
        <v>75</v>
      </c>
      <c r="J1130" s="7">
        <v>4</v>
      </c>
      <c r="K1130" s="7" t="s">
        <v>67</v>
      </c>
      <c r="L1130" s="7">
        <v>4</v>
      </c>
      <c r="M1130" s="7">
        <v>7</v>
      </c>
      <c r="N1130" s="7" t="s">
        <v>33</v>
      </c>
    </row>
    <row r="1131" spans="1:14" x14ac:dyDescent="0.3">
      <c r="A1131" s="3" t="s">
        <v>1214</v>
      </c>
      <c r="B1131" s="3" t="s">
        <v>49</v>
      </c>
      <c r="C1131" s="3">
        <v>8</v>
      </c>
      <c r="D1131" s="6">
        <v>19.600000000000001</v>
      </c>
      <c r="E1131" s="6">
        <v>156.80000000000001</v>
      </c>
      <c r="F1131" s="5">
        <v>45702</v>
      </c>
      <c r="G1131" s="5">
        <v>45715</v>
      </c>
      <c r="H1131" s="3" t="s">
        <v>31</v>
      </c>
      <c r="I1131" s="4" t="s">
        <v>21</v>
      </c>
      <c r="J1131" s="3">
        <v>4</v>
      </c>
      <c r="K1131" s="3" t="s">
        <v>67</v>
      </c>
      <c r="L1131" s="3">
        <v>13</v>
      </c>
      <c r="M1131" s="3">
        <v>7</v>
      </c>
      <c r="N1131" s="3" t="s">
        <v>33</v>
      </c>
    </row>
    <row r="1132" spans="1:14" x14ac:dyDescent="0.3">
      <c r="A1132" s="7" t="s">
        <v>1215</v>
      </c>
      <c r="B1132" s="7" t="s">
        <v>51</v>
      </c>
      <c r="C1132" s="7">
        <v>1</v>
      </c>
      <c r="D1132" s="10">
        <v>51.8</v>
      </c>
      <c r="E1132" s="10">
        <v>51.8</v>
      </c>
      <c r="F1132" s="9">
        <v>45702</v>
      </c>
      <c r="G1132" s="9">
        <v>45703</v>
      </c>
      <c r="H1132" s="7" t="s">
        <v>31</v>
      </c>
      <c r="I1132" s="8" t="s">
        <v>40</v>
      </c>
      <c r="J1132" s="7">
        <v>4</v>
      </c>
      <c r="K1132" s="7" t="s">
        <v>67</v>
      </c>
      <c r="L1132" s="7">
        <v>1</v>
      </c>
      <c r="M1132" s="7">
        <v>7</v>
      </c>
      <c r="N1132" s="7" t="s">
        <v>33</v>
      </c>
    </row>
    <row r="1133" spans="1:14" x14ac:dyDescent="0.3">
      <c r="A1133" s="3" t="s">
        <v>1216</v>
      </c>
      <c r="B1133" s="3" t="s">
        <v>44</v>
      </c>
      <c r="C1133" s="3">
        <v>1</v>
      </c>
      <c r="D1133" s="6">
        <v>74.7</v>
      </c>
      <c r="E1133" s="6">
        <v>74.7</v>
      </c>
      <c r="F1133" s="5">
        <v>45702</v>
      </c>
      <c r="G1133" s="5">
        <v>45703</v>
      </c>
      <c r="H1133" s="3" t="s">
        <v>26</v>
      </c>
      <c r="I1133" s="4" t="s">
        <v>21</v>
      </c>
      <c r="J1133" s="3">
        <v>3</v>
      </c>
      <c r="K1133" s="3" t="s">
        <v>67</v>
      </c>
      <c r="L1133" s="3">
        <v>1</v>
      </c>
      <c r="M1133" s="3">
        <v>7</v>
      </c>
      <c r="N1133" s="3" t="s">
        <v>28</v>
      </c>
    </row>
    <row r="1134" spans="1:14" x14ac:dyDescent="0.3">
      <c r="A1134" s="7" t="s">
        <v>1217</v>
      </c>
      <c r="B1134" s="7" t="s">
        <v>177</v>
      </c>
      <c r="C1134" s="7">
        <v>3</v>
      </c>
      <c r="D1134" s="10">
        <v>22.4</v>
      </c>
      <c r="E1134" s="10">
        <v>67.199999999999989</v>
      </c>
      <c r="F1134" s="9">
        <v>45702</v>
      </c>
      <c r="G1134" s="9">
        <v>45703</v>
      </c>
      <c r="H1134" s="7" t="s">
        <v>31</v>
      </c>
      <c r="I1134" s="8" t="s">
        <v>40</v>
      </c>
      <c r="J1134" s="7">
        <v>5</v>
      </c>
      <c r="K1134" s="7" t="s">
        <v>77</v>
      </c>
      <c r="L1134" s="7">
        <v>1</v>
      </c>
      <c r="M1134" s="7">
        <v>7</v>
      </c>
      <c r="N1134" s="7" t="s">
        <v>33</v>
      </c>
    </row>
    <row r="1135" spans="1:14" x14ac:dyDescent="0.3">
      <c r="A1135" s="3" t="s">
        <v>1218</v>
      </c>
      <c r="B1135" s="3" t="s">
        <v>25</v>
      </c>
      <c r="C1135" s="3">
        <v>4</v>
      </c>
      <c r="D1135" s="6">
        <v>31.4</v>
      </c>
      <c r="E1135" s="6">
        <v>125.6</v>
      </c>
      <c r="F1135" s="5">
        <v>45702</v>
      </c>
      <c r="G1135" s="5">
        <v>45703</v>
      </c>
      <c r="H1135" s="3" t="s">
        <v>31</v>
      </c>
      <c r="I1135" s="4" t="s">
        <v>40</v>
      </c>
      <c r="J1135" s="3">
        <v>4</v>
      </c>
      <c r="K1135" s="3" t="s">
        <v>77</v>
      </c>
      <c r="L1135" s="3">
        <v>1</v>
      </c>
      <c r="M1135" s="3">
        <v>7</v>
      </c>
      <c r="N1135" s="3" t="s">
        <v>33</v>
      </c>
    </row>
    <row r="1136" spans="1:14" x14ac:dyDescent="0.3">
      <c r="A1136" s="7" t="s">
        <v>1219</v>
      </c>
      <c r="B1136" s="7" t="s">
        <v>44</v>
      </c>
      <c r="C1136" s="7">
        <v>1</v>
      </c>
      <c r="D1136" s="10">
        <v>94</v>
      </c>
      <c r="E1136" s="10">
        <v>94</v>
      </c>
      <c r="F1136" s="9">
        <v>45702</v>
      </c>
      <c r="G1136" s="9">
        <v>45702</v>
      </c>
      <c r="H1136" s="7" t="s">
        <v>31</v>
      </c>
      <c r="I1136" s="8" t="s">
        <v>40</v>
      </c>
      <c r="J1136" s="7">
        <v>5</v>
      </c>
      <c r="K1136" s="7" t="s">
        <v>79</v>
      </c>
      <c r="L1136" s="7">
        <v>0</v>
      </c>
      <c r="M1136" s="7">
        <v>7</v>
      </c>
      <c r="N1136" s="7" t="s">
        <v>33</v>
      </c>
    </row>
    <row r="1137" spans="1:14" x14ac:dyDescent="0.3">
      <c r="A1137" s="3" t="s">
        <v>1220</v>
      </c>
      <c r="B1137" s="3" t="s">
        <v>59</v>
      </c>
      <c r="C1137" s="3">
        <v>1</v>
      </c>
      <c r="D1137" s="6">
        <v>22.3</v>
      </c>
      <c r="E1137" s="6">
        <v>22.3</v>
      </c>
      <c r="F1137" s="5">
        <v>45702</v>
      </c>
      <c r="G1137" s="5">
        <v>45703</v>
      </c>
      <c r="H1137" s="3" t="s">
        <v>26</v>
      </c>
      <c r="I1137" s="4" t="s">
        <v>75</v>
      </c>
      <c r="J1137" s="3">
        <v>4</v>
      </c>
      <c r="K1137" s="3" t="s">
        <v>119</v>
      </c>
      <c r="L1137" s="3">
        <v>1</v>
      </c>
      <c r="M1137" s="3">
        <v>7</v>
      </c>
      <c r="N1137" s="3" t="s">
        <v>28</v>
      </c>
    </row>
    <row r="1138" spans="1:14" x14ac:dyDescent="0.3">
      <c r="A1138" s="7" t="s">
        <v>1221</v>
      </c>
      <c r="B1138" s="7" t="s">
        <v>20</v>
      </c>
      <c r="C1138" s="7">
        <v>1</v>
      </c>
      <c r="D1138" s="10">
        <v>21.9</v>
      </c>
      <c r="E1138" s="10">
        <v>21.9</v>
      </c>
      <c r="F1138" s="9">
        <v>45702</v>
      </c>
      <c r="G1138" s="9">
        <v>45705</v>
      </c>
      <c r="H1138" s="7" t="s">
        <v>31</v>
      </c>
      <c r="I1138" s="8" t="s">
        <v>45</v>
      </c>
      <c r="J1138" s="7">
        <v>4</v>
      </c>
      <c r="K1138" s="7" t="s">
        <v>121</v>
      </c>
      <c r="L1138" s="7">
        <v>3</v>
      </c>
      <c r="M1138" s="7">
        <v>7</v>
      </c>
      <c r="N1138" s="7" t="s">
        <v>33</v>
      </c>
    </row>
    <row r="1139" spans="1:14" x14ac:dyDescent="0.3">
      <c r="A1139" s="3" t="s">
        <v>1222</v>
      </c>
      <c r="B1139" s="3" t="s">
        <v>141</v>
      </c>
      <c r="C1139" s="3">
        <v>3</v>
      </c>
      <c r="D1139" s="6">
        <v>27</v>
      </c>
      <c r="E1139" s="6">
        <v>81</v>
      </c>
      <c r="F1139" s="5">
        <v>45702</v>
      </c>
      <c r="G1139" s="5">
        <v>45704</v>
      </c>
      <c r="H1139" s="3" t="s">
        <v>31</v>
      </c>
      <c r="I1139" s="4" t="s">
        <v>75</v>
      </c>
      <c r="J1139" s="3">
        <v>5</v>
      </c>
      <c r="K1139" s="3" t="s">
        <v>32</v>
      </c>
      <c r="L1139" s="3">
        <v>2</v>
      </c>
      <c r="M1139" s="3">
        <v>7</v>
      </c>
      <c r="N1139" s="3" t="s">
        <v>33</v>
      </c>
    </row>
    <row r="1140" spans="1:14" x14ac:dyDescent="0.3">
      <c r="A1140" s="7" t="s">
        <v>1223</v>
      </c>
      <c r="B1140" s="7" t="s">
        <v>30</v>
      </c>
      <c r="C1140" s="7">
        <v>4</v>
      </c>
      <c r="D1140" s="10">
        <v>149.6</v>
      </c>
      <c r="E1140" s="10">
        <v>598.4</v>
      </c>
      <c r="F1140" s="9">
        <v>45702</v>
      </c>
      <c r="G1140" s="9">
        <v>45702</v>
      </c>
      <c r="H1140" s="7" t="s">
        <v>31</v>
      </c>
      <c r="I1140" s="8" t="s">
        <v>75</v>
      </c>
      <c r="J1140" s="7">
        <v>4</v>
      </c>
      <c r="K1140" s="7" t="s">
        <v>153</v>
      </c>
      <c r="L1140" s="7">
        <v>0</v>
      </c>
      <c r="M1140" s="7">
        <v>7</v>
      </c>
      <c r="N1140" s="7" t="s">
        <v>33</v>
      </c>
    </row>
    <row r="1141" spans="1:14" x14ac:dyDescent="0.3">
      <c r="A1141" s="3" t="s">
        <v>1224</v>
      </c>
      <c r="B1141" s="3" t="s">
        <v>30</v>
      </c>
      <c r="C1141" s="3">
        <v>4</v>
      </c>
      <c r="D1141" s="6">
        <v>129.1</v>
      </c>
      <c r="E1141" s="6">
        <v>516.4</v>
      </c>
      <c r="F1141" s="5">
        <v>45702</v>
      </c>
      <c r="G1141" s="5">
        <v>45712</v>
      </c>
      <c r="H1141" s="3" t="s">
        <v>26</v>
      </c>
      <c r="I1141" s="4" t="s">
        <v>21</v>
      </c>
      <c r="J1141" s="3">
        <v>3</v>
      </c>
      <c r="K1141" s="3" t="s">
        <v>38</v>
      </c>
      <c r="L1141" s="3">
        <v>10</v>
      </c>
      <c r="M1141" s="3">
        <v>7</v>
      </c>
      <c r="N1141" s="3" t="s">
        <v>28</v>
      </c>
    </row>
    <row r="1142" spans="1:14" x14ac:dyDescent="0.3">
      <c r="A1142" s="7" t="s">
        <v>1225</v>
      </c>
      <c r="B1142" s="7" t="s">
        <v>25</v>
      </c>
      <c r="C1142" s="7">
        <v>12</v>
      </c>
      <c r="D1142" s="10">
        <v>40.4</v>
      </c>
      <c r="E1142" s="10">
        <v>484.8</v>
      </c>
      <c r="F1142" s="9">
        <v>45702</v>
      </c>
      <c r="G1142" s="9">
        <v>45703</v>
      </c>
      <c r="H1142" s="7" t="s">
        <v>26</v>
      </c>
      <c r="I1142" s="8" t="s">
        <v>40</v>
      </c>
      <c r="J1142" s="7">
        <v>3</v>
      </c>
      <c r="K1142" s="7" t="s">
        <v>38</v>
      </c>
      <c r="L1142" s="7">
        <v>1</v>
      </c>
      <c r="M1142" s="7">
        <v>7</v>
      </c>
      <c r="N1142" s="7" t="s">
        <v>28</v>
      </c>
    </row>
    <row r="1143" spans="1:14" x14ac:dyDescent="0.3">
      <c r="A1143" s="3" t="s">
        <v>1226</v>
      </c>
      <c r="B1143" s="3" t="s">
        <v>37</v>
      </c>
      <c r="C1143" s="3">
        <v>3</v>
      </c>
      <c r="D1143" s="6">
        <v>48.5</v>
      </c>
      <c r="E1143" s="6">
        <v>145.5</v>
      </c>
      <c r="F1143" s="5">
        <v>45702</v>
      </c>
      <c r="G1143" s="5">
        <v>45704</v>
      </c>
      <c r="H1143" s="3" t="s">
        <v>31</v>
      </c>
      <c r="I1143" s="4" t="s">
        <v>21</v>
      </c>
      <c r="J1143" s="3">
        <v>2</v>
      </c>
      <c r="K1143" s="3" t="s">
        <v>38</v>
      </c>
      <c r="L1143" s="3">
        <v>2</v>
      </c>
      <c r="M1143" s="3">
        <v>7</v>
      </c>
      <c r="N1143" s="3" t="s">
        <v>33</v>
      </c>
    </row>
    <row r="1144" spans="1:14" x14ac:dyDescent="0.3">
      <c r="A1144" s="7" t="s">
        <v>1227</v>
      </c>
      <c r="B1144" s="7" t="s">
        <v>51</v>
      </c>
      <c r="C1144" s="7">
        <v>2</v>
      </c>
      <c r="D1144" s="10">
        <v>37.6</v>
      </c>
      <c r="E1144" s="10">
        <v>75.2</v>
      </c>
      <c r="F1144" s="9">
        <v>45702</v>
      </c>
      <c r="G1144" s="9">
        <v>45704</v>
      </c>
      <c r="H1144" s="7" t="s">
        <v>31</v>
      </c>
      <c r="I1144" s="8" t="s">
        <v>40</v>
      </c>
      <c r="J1144" s="7">
        <v>5</v>
      </c>
      <c r="K1144" s="7" t="s">
        <v>38</v>
      </c>
      <c r="L1144" s="7">
        <v>2</v>
      </c>
      <c r="M1144" s="7">
        <v>7</v>
      </c>
      <c r="N1144" s="7" t="s">
        <v>33</v>
      </c>
    </row>
    <row r="1145" spans="1:14" x14ac:dyDescent="0.3">
      <c r="A1145" s="3" t="s">
        <v>1228</v>
      </c>
      <c r="B1145" s="3" t="s">
        <v>49</v>
      </c>
      <c r="C1145" s="3">
        <v>2</v>
      </c>
      <c r="D1145" s="6">
        <v>19.600000000000001</v>
      </c>
      <c r="E1145" s="6">
        <v>39.200000000000003</v>
      </c>
      <c r="F1145" s="5">
        <v>45702</v>
      </c>
      <c r="G1145" s="5">
        <v>45703</v>
      </c>
      <c r="H1145" s="3" t="s">
        <v>26</v>
      </c>
      <c r="I1145" s="4" t="s">
        <v>56</v>
      </c>
      <c r="J1145" s="3">
        <v>2</v>
      </c>
      <c r="K1145" s="3" t="s">
        <v>116</v>
      </c>
      <c r="L1145" s="3">
        <v>1</v>
      </c>
      <c r="M1145" s="3">
        <v>7</v>
      </c>
      <c r="N1145" s="3" t="s">
        <v>28</v>
      </c>
    </row>
    <row r="1146" spans="1:14" x14ac:dyDescent="0.3">
      <c r="A1146" s="7" t="s">
        <v>1229</v>
      </c>
      <c r="B1146" s="7" t="s">
        <v>49</v>
      </c>
      <c r="C1146" s="7">
        <v>5</v>
      </c>
      <c r="D1146" s="10">
        <v>18.5</v>
      </c>
      <c r="E1146" s="10">
        <v>92.5</v>
      </c>
      <c r="F1146" s="9">
        <v>45702</v>
      </c>
      <c r="G1146" s="9">
        <v>45703</v>
      </c>
      <c r="H1146" s="7" t="s">
        <v>31</v>
      </c>
      <c r="I1146" s="8" t="s">
        <v>45</v>
      </c>
      <c r="J1146" s="7">
        <v>3</v>
      </c>
      <c r="K1146" s="7" t="s">
        <v>60</v>
      </c>
      <c r="L1146" s="7">
        <v>1</v>
      </c>
      <c r="M1146" s="7">
        <v>7</v>
      </c>
      <c r="N1146" s="7" t="s">
        <v>33</v>
      </c>
    </row>
    <row r="1147" spans="1:14" x14ac:dyDescent="0.3">
      <c r="A1147" s="3" t="s">
        <v>1230</v>
      </c>
      <c r="B1147" s="3" t="s">
        <v>42</v>
      </c>
      <c r="C1147" s="3">
        <v>3</v>
      </c>
      <c r="D1147" s="6">
        <v>25.5</v>
      </c>
      <c r="E1147" s="6">
        <v>76.5</v>
      </c>
      <c r="F1147" s="5">
        <v>45702</v>
      </c>
      <c r="G1147" s="5">
        <v>45704</v>
      </c>
      <c r="H1147" s="3" t="s">
        <v>31</v>
      </c>
      <c r="I1147" s="4" t="s">
        <v>75</v>
      </c>
      <c r="J1147" s="3">
        <v>3</v>
      </c>
      <c r="K1147" s="3" t="s">
        <v>60</v>
      </c>
      <c r="L1147" s="3">
        <v>2</v>
      </c>
      <c r="M1147" s="3">
        <v>7</v>
      </c>
      <c r="N1147" s="3" t="s">
        <v>33</v>
      </c>
    </row>
    <row r="1148" spans="1:14" x14ac:dyDescent="0.3">
      <c r="A1148" s="7" t="s">
        <v>1231</v>
      </c>
      <c r="B1148" s="7" t="s">
        <v>30</v>
      </c>
      <c r="C1148" s="7">
        <v>2</v>
      </c>
      <c r="D1148" s="10">
        <v>94.7</v>
      </c>
      <c r="E1148" s="10">
        <v>189.4</v>
      </c>
      <c r="F1148" s="9">
        <v>45702</v>
      </c>
      <c r="G1148" s="9">
        <v>45703</v>
      </c>
      <c r="H1148" s="7" t="s">
        <v>31</v>
      </c>
      <c r="I1148" s="8" t="s">
        <v>45</v>
      </c>
      <c r="J1148" s="7">
        <v>4</v>
      </c>
      <c r="K1148" s="7" t="s">
        <v>57</v>
      </c>
      <c r="L1148" s="7">
        <v>1</v>
      </c>
      <c r="M1148" s="7">
        <v>7</v>
      </c>
      <c r="N1148" s="7" t="s">
        <v>33</v>
      </c>
    </row>
    <row r="1149" spans="1:14" x14ac:dyDescent="0.3">
      <c r="A1149" s="3" t="s">
        <v>1232</v>
      </c>
      <c r="B1149" s="3" t="s">
        <v>25</v>
      </c>
      <c r="C1149" s="3">
        <v>6</v>
      </c>
      <c r="D1149" s="6">
        <v>38.799999999999997</v>
      </c>
      <c r="E1149" s="6">
        <v>232.8</v>
      </c>
      <c r="F1149" s="5">
        <v>45702</v>
      </c>
      <c r="G1149" s="5">
        <v>45707</v>
      </c>
      <c r="H1149" s="3" t="s">
        <v>31</v>
      </c>
      <c r="I1149" s="4" t="s">
        <v>45</v>
      </c>
      <c r="J1149" s="3">
        <v>5</v>
      </c>
      <c r="K1149" s="3" t="s">
        <v>67</v>
      </c>
      <c r="L1149" s="3">
        <v>5</v>
      </c>
      <c r="M1149" s="3">
        <v>7</v>
      </c>
      <c r="N1149" s="3" t="s">
        <v>33</v>
      </c>
    </row>
    <row r="1150" spans="1:14" x14ac:dyDescent="0.3">
      <c r="A1150" s="7" t="s">
        <v>1233</v>
      </c>
      <c r="B1150" s="7" t="s">
        <v>51</v>
      </c>
      <c r="C1150" s="7">
        <v>2</v>
      </c>
      <c r="D1150" s="10">
        <v>49.4</v>
      </c>
      <c r="E1150" s="10">
        <v>98.8</v>
      </c>
      <c r="F1150" s="9">
        <v>45703</v>
      </c>
      <c r="G1150" s="9">
        <v>45711</v>
      </c>
      <c r="H1150" s="7" t="s">
        <v>26</v>
      </c>
      <c r="I1150" s="8" t="s">
        <v>75</v>
      </c>
      <c r="J1150" s="7">
        <v>3</v>
      </c>
      <c r="K1150" s="7" t="s">
        <v>67</v>
      </c>
      <c r="L1150" s="7">
        <v>8</v>
      </c>
      <c r="M1150" s="7">
        <v>7</v>
      </c>
      <c r="N1150" s="7" t="s">
        <v>28</v>
      </c>
    </row>
    <row r="1151" spans="1:14" x14ac:dyDescent="0.3">
      <c r="A1151" s="3" t="s">
        <v>1234</v>
      </c>
      <c r="B1151" s="3" t="s">
        <v>47</v>
      </c>
      <c r="C1151" s="3">
        <v>3</v>
      </c>
      <c r="D1151" s="6">
        <v>68</v>
      </c>
      <c r="E1151" s="6">
        <v>204</v>
      </c>
      <c r="F1151" s="5">
        <v>45703</v>
      </c>
      <c r="G1151" s="5">
        <v>45706</v>
      </c>
      <c r="H1151" s="3" t="s">
        <v>26</v>
      </c>
      <c r="I1151" s="4" t="s">
        <v>21</v>
      </c>
      <c r="J1151" s="3">
        <v>5</v>
      </c>
      <c r="K1151" s="3" t="s">
        <v>67</v>
      </c>
      <c r="L1151" s="3">
        <v>3</v>
      </c>
      <c r="M1151" s="3">
        <v>7</v>
      </c>
      <c r="N1151" s="3" t="s">
        <v>28</v>
      </c>
    </row>
    <row r="1152" spans="1:14" x14ac:dyDescent="0.3">
      <c r="A1152" s="7" t="s">
        <v>1235</v>
      </c>
      <c r="B1152" s="7" t="s">
        <v>129</v>
      </c>
      <c r="C1152" s="7">
        <v>7</v>
      </c>
      <c r="D1152" s="10">
        <v>63.7</v>
      </c>
      <c r="E1152" s="10">
        <v>445.9</v>
      </c>
      <c r="F1152" s="9">
        <v>45703</v>
      </c>
      <c r="G1152" s="9">
        <v>45704</v>
      </c>
      <c r="H1152" s="7" t="s">
        <v>31</v>
      </c>
      <c r="I1152" s="8" t="s">
        <v>45</v>
      </c>
      <c r="J1152" s="7">
        <v>5</v>
      </c>
      <c r="K1152" s="7" t="s">
        <v>67</v>
      </c>
      <c r="L1152" s="7">
        <v>1</v>
      </c>
      <c r="M1152" s="7">
        <v>7</v>
      </c>
      <c r="N1152" s="7" t="s">
        <v>33</v>
      </c>
    </row>
    <row r="1153" spans="1:14" x14ac:dyDescent="0.3">
      <c r="A1153" s="3" t="s">
        <v>1236</v>
      </c>
      <c r="B1153" s="3" t="s">
        <v>59</v>
      </c>
      <c r="C1153" s="3">
        <v>2</v>
      </c>
      <c r="D1153" s="6">
        <v>66.2</v>
      </c>
      <c r="E1153" s="6">
        <v>132.4</v>
      </c>
      <c r="F1153" s="5">
        <v>45703</v>
      </c>
      <c r="G1153" s="5">
        <v>45704</v>
      </c>
      <c r="H1153" s="3" t="s">
        <v>31</v>
      </c>
      <c r="I1153" s="4" t="s">
        <v>75</v>
      </c>
      <c r="J1153" s="3">
        <v>5</v>
      </c>
      <c r="K1153" s="3" t="s">
        <v>109</v>
      </c>
      <c r="L1153" s="3">
        <v>1</v>
      </c>
      <c r="M1153" s="3">
        <v>7</v>
      </c>
      <c r="N1153" s="3" t="s">
        <v>33</v>
      </c>
    </row>
    <row r="1154" spans="1:14" x14ac:dyDescent="0.3">
      <c r="A1154" s="7" t="s">
        <v>1237</v>
      </c>
      <c r="B1154" s="7" t="s">
        <v>74</v>
      </c>
      <c r="C1154" s="7">
        <v>3</v>
      </c>
      <c r="D1154" s="10">
        <v>32.299999999999997</v>
      </c>
      <c r="E1154" s="10">
        <v>96.899999999999991</v>
      </c>
      <c r="F1154" s="9">
        <v>45703</v>
      </c>
      <c r="G1154" s="9">
        <v>45704</v>
      </c>
      <c r="H1154" s="7" t="s">
        <v>94</v>
      </c>
      <c r="I1154" s="8" t="s">
        <v>45</v>
      </c>
      <c r="J1154" s="7">
        <v>3</v>
      </c>
      <c r="K1154" s="7" t="s">
        <v>77</v>
      </c>
      <c r="L1154" s="7">
        <v>1</v>
      </c>
      <c r="M1154" s="7">
        <v>7</v>
      </c>
      <c r="N1154" s="7" t="s">
        <v>95</v>
      </c>
    </row>
    <row r="1155" spans="1:14" x14ac:dyDescent="0.3">
      <c r="A1155" s="3" t="s">
        <v>1238</v>
      </c>
      <c r="B1155" s="3" t="s">
        <v>37</v>
      </c>
      <c r="C1155" s="3">
        <v>2</v>
      </c>
      <c r="D1155" s="6">
        <v>66.900000000000006</v>
      </c>
      <c r="E1155" s="6">
        <v>133.80000000000001</v>
      </c>
      <c r="F1155" s="5">
        <v>45703</v>
      </c>
      <c r="G1155" s="5">
        <v>45706</v>
      </c>
      <c r="H1155" s="3" t="s">
        <v>26</v>
      </c>
      <c r="I1155" s="4" t="s">
        <v>40</v>
      </c>
      <c r="J1155" s="3">
        <v>4</v>
      </c>
      <c r="K1155" s="3" t="s">
        <v>82</v>
      </c>
      <c r="L1155" s="3">
        <v>3</v>
      </c>
      <c r="M1155" s="3">
        <v>7</v>
      </c>
      <c r="N1155" s="3" t="s">
        <v>28</v>
      </c>
    </row>
    <row r="1156" spans="1:14" x14ac:dyDescent="0.3">
      <c r="A1156" s="7" t="s">
        <v>1239</v>
      </c>
      <c r="B1156" s="7" t="s">
        <v>37</v>
      </c>
      <c r="C1156" s="7">
        <v>12</v>
      </c>
      <c r="D1156" s="10">
        <v>25.2</v>
      </c>
      <c r="E1156" s="10">
        <v>302.39999999999998</v>
      </c>
      <c r="F1156" s="9">
        <v>45703</v>
      </c>
      <c r="G1156" s="9">
        <v>45707</v>
      </c>
      <c r="H1156" s="7" t="s">
        <v>31</v>
      </c>
      <c r="I1156" s="8" t="s">
        <v>21</v>
      </c>
      <c r="J1156" s="7">
        <v>3</v>
      </c>
      <c r="K1156" s="7" t="s">
        <v>82</v>
      </c>
      <c r="L1156" s="7">
        <v>4</v>
      </c>
      <c r="M1156" s="7">
        <v>7</v>
      </c>
      <c r="N1156" s="7" t="s">
        <v>33</v>
      </c>
    </row>
    <row r="1157" spans="1:14" x14ac:dyDescent="0.3">
      <c r="A1157" s="3" t="s">
        <v>1240</v>
      </c>
      <c r="B1157" s="3" t="s">
        <v>59</v>
      </c>
      <c r="C1157" s="3">
        <v>6</v>
      </c>
      <c r="D1157" s="6">
        <v>29.5</v>
      </c>
      <c r="E1157" s="6">
        <v>177</v>
      </c>
      <c r="F1157" s="5">
        <v>45703</v>
      </c>
      <c r="G1157" s="5">
        <v>45704</v>
      </c>
      <c r="H1157" s="3" t="s">
        <v>26</v>
      </c>
      <c r="I1157" s="4" t="s">
        <v>45</v>
      </c>
      <c r="J1157" s="3">
        <v>4</v>
      </c>
      <c r="K1157" s="3" t="s">
        <v>82</v>
      </c>
      <c r="L1157" s="3">
        <v>1</v>
      </c>
      <c r="M1157" s="3">
        <v>7</v>
      </c>
      <c r="N1157" s="3" t="s">
        <v>28</v>
      </c>
    </row>
    <row r="1158" spans="1:14" x14ac:dyDescent="0.3">
      <c r="A1158" s="7" t="s">
        <v>1241</v>
      </c>
      <c r="B1158" s="7" t="s">
        <v>49</v>
      </c>
      <c r="C1158" s="7">
        <v>5</v>
      </c>
      <c r="D1158" s="10">
        <v>21.6</v>
      </c>
      <c r="E1158" s="10">
        <v>108</v>
      </c>
      <c r="F1158" s="9">
        <v>45703</v>
      </c>
      <c r="G1158" s="9">
        <v>45705</v>
      </c>
      <c r="H1158" s="7" t="s">
        <v>31</v>
      </c>
      <c r="I1158" s="8" t="s">
        <v>21</v>
      </c>
      <c r="J1158" s="7">
        <v>5</v>
      </c>
      <c r="K1158" s="7" t="s">
        <v>315</v>
      </c>
      <c r="L1158" s="7">
        <v>2</v>
      </c>
      <c r="M1158" s="7">
        <v>7</v>
      </c>
      <c r="N1158" s="7" t="s">
        <v>33</v>
      </c>
    </row>
    <row r="1159" spans="1:14" x14ac:dyDescent="0.3">
      <c r="A1159" s="3" t="s">
        <v>1242</v>
      </c>
      <c r="B1159" s="3" t="s">
        <v>74</v>
      </c>
      <c r="C1159" s="3">
        <v>3</v>
      </c>
      <c r="D1159" s="6">
        <v>69</v>
      </c>
      <c r="E1159" s="6">
        <v>207</v>
      </c>
      <c r="F1159" s="5">
        <v>45703</v>
      </c>
      <c r="G1159" s="5">
        <v>45704</v>
      </c>
      <c r="H1159" s="3" t="s">
        <v>31</v>
      </c>
      <c r="I1159" s="4" t="s">
        <v>21</v>
      </c>
      <c r="J1159" s="3">
        <v>4</v>
      </c>
      <c r="K1159" s="3" t="s">
        <v>114</v>
      </c>
      <c r="L1159" s="3">
        <v>1</v>
      </c>
      <c r="M1159" s="3">
        <v>7</v>
      </c>
      <c r="N1159" s="3" t="s">
        <v>33</v>
      </c>
    </row>
    <row r="1160" spans="1:14" x14ac:dyDescent="0.3">
      <c r="A1160" s="7" t="s">
        <v>1243</v>
      </c>
      <c r="B1160" s="7" t="s">
        <v>47</v>
      </c>
      <c r="C1160" s="7">
        <v>2</v>
      </c>
      <c r="D1160" s="10">
        <v>115</v>
      </c>
      <c r="E1160" s="10">
        <v>230</v>
      </c>
      <c r="F1160" s="9">
        <v>45703</v>
      </c>
      <c r="G1160" s="9">
        <v>45707</v>
      </c>
      <c r="H1160" s="7" t="s">
        <v>26</v>
      </c>
      <c r="I1160" s="8" t="s">
        <v>21</v>
      </c>
      <c r="J1160" s="7">
        <v>5</v>
      </c>
      <c r="K1160" s="7" t="s">
        <v>114</v>
      </c>
      <c r="L1160" s="7">
        <v>4</v>
      </c>
      <c r="M1160" s="7">
        <v>7</v>
      </c>
      <c r="N1160" s="7" t="s">
        <v>28</v>
      </c>
    </row>
    <row r="1161" spans="1:14" x14ac:dyDescent="0.3">
      <c r="A1161" s="3" t="s">
        <v>1244</v>
      </c>
      <c r="B1161" s="3" t="s">
        <v>30</v>
      </c>
      <c r="C1161" s="3">
        <v>2</v>
      </c>
      <c r="D1161" s="6">
        <v>109.3</v>
      </c>
      <c r="E1161" s="6">
        <v>218.6</v>
      </c>
      <c r="F1161" s="5">
        <v>45703</v>
      </c>
      <c r="G1161" s="5">
        <v>45705</v>
      </c>
      <c r="H1161" s="3"/>
      <c r="I1161" s="4" t="s">
        <v>56</v>
      </c>
      <c r="J1161" s="3">
        <v>3</v>
      </c>
      <c r="K1161" s="3" t="s">
        <v>116</v>
      </c>
      <c r="L1161" s="3">
        <v>2</v>
      </c>
      <c r="M1161" s="3">
        <v>7</v>
      </c>
      <c r="N1161" s="3" t="s">
        <v>23</v>
      </c>
    </row>
    <row r="1162" spans="1:14" x14ac:dyDescent="0.3">
      <c r="A1162" s="7" t="s">
        <v>1245</v>
      </c>
      <c r="B1162" s="7" t="s">
        <v>51</v>
      </c>
      <c r="C1162" s="7">
        <v>2</v>
      </c>
      <c r="D1162" s="10">
        <v>66.599999999999994</v>
      </c>
      <c r="E1162" s="10">
        <v>133.19999999999999</v>
      </c>
      <c r="F1162" s="9">
        <v>45703</v>
      </c>
      <c r="G1162" s="9">
        <v>45706</v>
      </c>
      <c r="H1162" s="7"/>
      <c r="I1162" s="8" t="s">
        <v>75</v>
      </c>
      <c r="J1162" s="7">
        <v>3</v>
      </c>
      <c r="K1162" s="7" t="s">
        <v>116</v>
      </c>
      <c r="L1162" s="7">
        <v>3</v>
      </c>
      <c r="M1162" s="7">
        <v>7</v>
      </c>
      <c r="N1162" s="7" t="s">
        <v>23</v>
      </c>
    </row>
    <row r="1163" spans="1:14" x14ac:dyDescent="0.3">
      <c r="A1163" s="3" t="s">
        <v>1246</v>
      </c>
      <c r="B1163" s="3" t="s">
        <v>74</v>
      </c>
      <c r="C1163" s="3">
        <v>5</v>
      </c>
      <c r="D1163" s="6">
        <v>47.7</v>
      </c>
      <c r="E1163" s="6">
        <v>238.5</v>
      </c>
      <c r="F1163" s="5">
        <v>45703</v>
      </c>
      <c r="G1163" s="5">
        <v>45704</v>
      </c>
      <c r="H1163" s="3" t="s">
        <v>26</v>
      </c>
      <c r="I1163" s="4" t="s">
        <v>56</v>
      </c>
      <c r="J1163" s="3">
        <v>5</v>
      </c>
      <c r="K1163" s="3" t="s">
        <v>121</v>
      </c>
      <c r="L1163" s="3">
        <v>1</v>
      </c>
      <c r="M1163" s="3">
        <v>7</v>
      </c>
      <c r="N1163" s="3" t="s">
        <v>28</v>
      </c>
    </row>
    <row r="1164" spans="1:14" x14ac:dyDescent="0.3">
      <c r="A1164" s="7" t="s">
        <v>1247</v>
      </c>
      <c r="B1164" s="7" t="s">
        <v>49</v>
      </c>
      <c r="C1164" s="7">
        <v>2</v>
      </c>
      <c r="D1164" s="10">
        <v>46</v>
      </c>
      <c r="E1164" s="10">
        <v>92</v>
      </c>
      <c r="F1164" s="9">
        <v>45703</v>
      </c>
      <c r="G1164" s="9">
        <v>45704</v>
      </c>
      <c r="H1164" s="7" t="s">
        <v>31</v>
      </c>
      <c r="I1164" s="8" t="s">
        <v>75</v>
      </c>
      <c r="J1164" s="7">
        <v>2</v>
      </c>
      <c r="K1164" s="7" t="s">
        <v>153</v>
      </c>
      <c r="L1164" s="7">
        <v>1</v>
      </c>
      <c r="M1164" s="7">
        <v>7</v>
      </c>
      <c r="N1164" s="7" t="s">
        <v>33</v>
      </c>
    </row>
    <row r="1165" spans="1:14" x14ac:dyDescent="0.3">
      <c r="A1165" s="3" t="s">
        <v>1248</v>
      </c>
      <c r="B1165" s="3" t="s">
        <v>25</v>
      </c>
      <c r="C1165" s="3">
        <v>6</v>
      </c>
      <c r="D1165" s="6">
        <v>39.299999999999997</v>
      </c>
      <c r="E1165" s="6">
        <v>235.8</v>
      </c>
      <c r="F1165" s="5">
        <v>45703</v>
      </c>
      <c r="G1165" s="5">
        <v>45705</v>
      </c>
      <c r="H1165" s="3" t="s">
        <v>26</v>
      </c>
      <c r="I1165" s="4" t="s">
        <v>56</v>
      </c>
      <c r="J1165" s="3">
        <v>5</v>
      </c>
      <c r="K1165" s="3" t="s">
        <v>38</v>
      </c>
      <c r="L1165" s="3">
        <v>2</v>
      </c>
      <c r="M1165" s="3">
        <v>7</v>
      </c>
      <c r="N1165" s="3" t="s">
        <v>28</v>
      </c>
    </row>
    <row r="1166" spans="1:14" x14ac:dyDescent="0.3">
      <c r="A1166" s="7" t="s">
        <v>1249</v>
      </c>
      <c r="B1166" s="7" t="s">
        <v>51</v>
      </c>
      <c r="C1166" s="7">
        <v>1</v>
      </c>
      <c r="D1166" s="10">
        <v>70.2</v>
      </c>
      <c r="E1166" s="10">
        <v>70.2</v>
      </c>
      <c r="F1166" s="9">
        <v>45703</v>
      </c>
      <c r="G1166" s="9">
        <v>45704</v>
      </c>
      <c r="H1166" s="7" t="s">
        <v>31</v>
      </c>
      <c r="I1166" s="8" t="s">
        <v>21</v>
      </c>
      <c r="J1166" s="7">
        <v>2</v>
      </c>
      <c r="K1166" s="7" t="s">
        <v>38</v>
      </c>
      <c r="L1166" s="7">
        <v>1</v>
      </c>
      <c r="M1166" s="7">
        <v>7</v>
      </c>
      <c r="N1166" s="7" t="s">
        <v>33</v>
      </c>
    </row>
    <row r="1167" spans="1:14" x14ac:dyDescent="0.3">
      <c r="A1167" s="3" t="s">
        <v>1250</v>
      </c>
      <c r="B1167" s="3" t="s">
        <v>35</v>
      </c>
      <c r="C1167" s="3">
        <v>4</v>
      </c>
      <c r="D1167" s="6">
        <v>71.5</v>
      </c>
      <c r="E1167" s="6">
        <v>286</v>
      </c>
      <c r="F1167" s="5">
        <v>45703</v>
      </c>
      <c r="G1167" s="5">
        <v>45703</v>
      </c>
      <c r="H1167" s="3" t="s">
        <v>31</v>
      </c>
      <c r="I1167" s="4" t="s">
        <v>40</v>
      </c>
      <c r="J1167" s="3">
        <v>5</v>
      </c>
      <c r="K1167" s="3" t="s">
        <v>38</v>
      </c>
      <c r="L1167" s="3">
        <v>0</v>
      </c>
      <c r="M1167" s="3">
        <v>7</v>
      </c>
      <c r="N1167" s="3" t="s">
        <v>33</v>
      </c>
    </row>
    <row r="1168" spans="1:14" x14ac:dyDescent="0.3">
      <c r="A1168" s="7" t="s">
        <v>1251</v>
      </c>
      <c r="B1168" s="7" t="s">
        <v>59</v>
      </c>
      <c r="C1168" s="7">
        <v>7</v>
      </c>
      <c r="D1168" s="10">
        <v>31</v>
      </c>
      <c r="E1168" s="10">
        <v>217</v>
      </c>
      <c r="F1168" s="9">
        <v>45703</v>
      </c>
      <c r="G1168" s="9">
        <v>45710</v>
      </c>
      <c r="H1168" s="7" t="s">
        <v>31</v>
      </c>
      <c r="I1168" s="8" t="s">
        <v>56</v>
      </c>
      <c r="J1168" s="7">
        <v>5</v>
      </c>
      <c r="K1168" s="7" t="s">
        <v>38</v>
      </c>
      <c r="L1168" s="7">
        <v>7</v>
      </c>
      <c r="M1168" s="7">
        <v>7</v>
      </c>
      <c r="N1168" s="7" t="s">
        <v>33</v>
      </c>
    </row>
    <row r="1169" spans="1:14" x14ac:dyDescent="0.3">
      <c r="A1169" s="3" t="s">
        <v>1252</v>
      </c>
      <c r="B1169" s="3" t="s">
        <v>30</v>
      </c>
      <c r="C1169" s="3">
        <v>5</v>
      </c>
      <c r="D1169" s="6">
        <v>68.2</v>
      </c>
      <c r="E1169" s="6">
        <v>341</v>
      </c>
      <c r="F1169" s="5">
        <v>45703</v>
      </c>
      <c r="G1169" s="5">
        <v>45708</v>
      </c>
      <c r="H1169" s="3" t="s">
        <v>31</v>
      </c>
      <c r="I1169" s="4" t="s">
        <v>21</v>
      </c>
      <c r="J1169" s="3">
        <v>5</v>
      </c>
      <c r="K1169" s="3" t="s">
        <v>38</v>
      </c>
      <c r="L1169" s="3">
        <v>5</v>
      </c>
      <c r="M1169" s="3">
        <v>7</v>
      </c>
      <c r="N1169" s="3" t="s">
        <v>33</v>
      </c>
    </row>
    <row r="1170" spans="1:14" x14ac:dyDescent="0.3">
      <c r="A1170" s="7" t="s">
        <v>1253</v>
      </c>
      <c r="B1170" s="7" t="s">
        <v>30</v>
      </c>
      <c r="C1170" s="7">
        <v>1</v>
      </c>
      <c r="D1170" s="10">
        <v>91.4</v>
      </c>
      <c r="E1170" s="10">
        <v>91.4</v>
      </c>
      <c r="F1170" s="9">
        <v>45703</v>
      </c>
      <c r="G1170" s="9">
        <v>45707</v>
      </c>
      <c r="H1170" s="7" t="s">
        <v>31</v>
      </c>
      <c r="I1170" s="8" t="s">
        <v>40</v>
      </c>
      <c r="J1170" s="7">
        <v>5</v>
      </c>
      <c r="K1170" s="7" t="s">
        <v>60</v>
      </c>
      <c r="L1170" s="7">
        <v>4</v>
      </c>
      <c r="M1170" s="7">
        <v>7</v>
      </c>
      <c r="N1170" s="7" t="s">
        <v>33</v>
      </c>
    </row>
    <row r="1171" spans="1:14" x14ac:dyDescent="0.3">
      <c r="A1171" s="3" t="s">
        <v>1254</v>
      </c>
      <c r="B1171" s="3" t="s">
        <v>44</v>
      </c>
      <c r="C1171" s="3">
        <v>10</v>
      </c>
      <c r="D1171" s="6">
        <v>112.9</v>
      </c>
      <c r="E1171" s="6">
        <v>1129</v>
      </c>
      <c r="F1171" s="5">
        <v>45703</v>
      </c>
      <c r="G1171" s="5">
        <v>45704</v>
      </c>
      <c r="H1171" s="3" t="s">
        <v>31</v>
      </c>
      <c r="I1171" s="4" t="s">
        <v>21</v>
      </c>
      <c r="J1171" s="3">
        <v>4</v>
      </c>
      <c r="K1171" s="3" t="s">
        <v>60</v>
      </c>
      <c r="L1171" s="3">
        <v>1</v>
      </c>
      <c r="M1171" s="3">
        <v>7</v>
      </c>
      <c r="N1171" s="3" t="s">
        <v>33</v>
      </c>
    </row>
    <row r="1172" spans="1:14" x14ac:dyDescent="0.3">
      <c r="A1172" s="7" t="s">
        <v>1255</v>
      </c>
      <c r="B1172" s="7" t="s">
        <v>141</v>
      </c>
      <c r="C1172" s="7">
        <v>9</v>
      </c>
      <c r="D1172" s="10">
        <v>33.700000000000003</v>
      </c>
      <c r="E1172" s="10">
        <v>303.3</v>
      </c>
      <c r="F1172" s="9">
        <v>45703</v>
      </c>
      <c r="G1172" s="9">
        <v>45704</v>
      </c>
      <c r="H1172" s="7" t="s">
        <v>31</v>
      </c>
      <c r="I1172" s="8" t="s">
        <v>40</v>
      </c>
      <c r="J1172" s="7">
        <v>5</v>
      </c>
      <c r="K1172" s="7" t="s">
        <v>67</v>
      </c>
      <c r="L1172" s="7">
        <v>1</v>
      </c>
      <c r="M1172" s="7">
        <v>7</v>
      </c>
      <c r="N1172" s="7" t="s">
        <v>33</v>
      </c>
    </row>
    <row r="1173" spans="1:14" x14ac:dyDescent="0.3">
      <c r="A1173" s="3" t="s">
        <v>1256</v>
      </c>
      <c r="B1173" s="3" t="s">
        <v>129</v>
      </c>
      <c r="C1173" s="3">
        <v>10</v>
      </c>
      <c r="D1173" s="6">
        <v>35.299999999999997</v>
      </c>
      <c r="E1173" s="6">
        <v>353</v>
      </c>
      <c r="F1173" s="5">
        <v>45703</v>
      </c>
      <c r="G1173" s="5">
        <v>45705</v>
      </c>
      <c r="H1173" s="3" t="s">
        <v>26</v>
      </c>
      <c r="I1173" s="4" t="s">
        <v>45</v>
      </c>
      <c r="J1173" s="3">
        <v>4</v>
      </c>
      <c r="K1173" s="3" t="s">
        <v>67</v>
      </c>
      <c r="L1173" s="3">
        <v>2</v>
      </c>
      <c r="M1173" s="3">
        <v>7</v>
      </c>
      <c r="N1173" s="3" t="s">
        <v>28</v>
      </c>
    </row>
    <row r="1174" spans="1:14" x14ac:dyDescent="0.3">
      <c r="A1174" s="7" t="s">
        <v>1257</v>
      </c>
      <c r="B1174" s="7" t="s">
        <v>152</v>
      </c>
      <c r="C1174" s="7">
        <v>3</v>
      </c>
      <c r="D1174" s="10">
        <v>45.6</v>
      </c>
      <c r="E1174" s="10">
        <v>136.80000000000001</v>
      </c>
      <c r="F1174" s="9">
        <v>45703</v>
      </c>
      <c r="G1174" s="9">
        <v>45707</v>
      </c>
      <c r="H1174" s="7" t="s">
        <v>26</v>
      </c>
      <c r="I1174" s="8" t="s">
        <v>56</v>
      </c>
      <c r="J1174" s="7">
        <v>4</v>
      </c>
      <c r="K1174" s="7" t="s">
        <v>67</v>
      </c>
      <c r="L1174" s="7">
        <v>4</v>
      </c>
      <c r="M1174" s="7">
        <v>7</v>
      </c>
      <c r="N1174" s="7" t="s">
        <v>28</v>
      </c>
    </row>
    <row r="1175" spans="1:14" x14ac:dyDescent="0.3">
      <c r="A1175" s="3" t="s">
        <v>1258</v>
      </c>
      <c r="B1175" s="3" t="s">
        <v>47</v>
      </c>
      <c r="C1175" s="3">
        <v>7</v>
      </c>
      <c r="D1175" s="6">
        <v>47.1</v>
      </c>
      <c r="E1175" s="6">
        <v>329.7</v>
      </c>
      <c r="F1175" s="5">
        <v>45703</v>
      </c>
      <c r="G1175" s="5">
        <v>45704</v>
      </c>
      <c r="H1175" s="3" t="s">
        <v>31</v>
      </c>
      <c r="I1175" s="4" t="s">
        <v>75</v>
      </c>
      <c r="J1175" s="3">
        <v>5</v>
      </c>
      <c r="K1175" s="3" t="s">
        <v>77</v>
      </c>
      <c r="L1175" s="3">
        <v>1</v>
      </c>
      <c r="M1175" s="3">
        <v>7</v>
      </c>
      <c r="N1175" s="3" t="s">
        <v>33</v>
      </c>
    </row>
    <row r="1176" spans="1:14" x14ac:dyDescent="0.3">
      <c r="A1176" s="7" t="s">
        <v>1259</v>
      </c>
      <c r="B1176" s="7" t="s">
        <v>49</v>
      </c>
      <c r="C1176" s="7">
        <v>5</v>
      </c>
      <c r="D1176" s="10">
        <v>16.2</v>
      </c>
      <c r="E1176" s="10">
        <v>81</v>
      </c>
      <c r="F1176" s="9">
        <v>45703</v>
      </c>
      <c r="G1176" s="9">
        <v>45705</v>
      </c>
      <c r="H1176" s="7" t="s">
        <v>31</v>
      </c>
      <c r="I1176" s="8" t="s">
        <v>56</v>
      </c>
      <c r="J1176" s="7">
        <v>5</v>
      </c>
      <c r="K1176" s="7" t="s">
        <v>116</v>
      </c>
      <c r="L1176" s="7">
        <v>2</v>
      </c>
      <c r="M1176" s="7">
        <v>7</v>
      </c>
      <c r="N1176" s="7" t="s">
        <v>33</v>
      </c>
    </row>
    <row r="1177" spans="1:14" x14ac:dyDescent="0.3">
      <c r="A1177" s="3" t="s">
        <v>1260</v>
      </c>
      <c r="B1177" s="3" t="s">
        <v>25</v>
      </c>
      <c r="C1177" s="3">
        <v>2</v>
      </c>
      <c r="D1177" s="6">
        <v>159.69999999999999</v>
      </c>
      <c r="E1177" s="6">
        <v>319.39999999999998</v>
      </c>
      <c r="F1177" s="5">
        <v>45704</v>
      </c>
      <c r="G1177" s="5">
        <v>45705</v>
      </c>
      <c r="H1177" s="3" t="s">
        <v>26</v>
      </c>
      <c r="I1177" s="4" t="s">
        <v>75</v>
      </c>
      <c r="J1177" s="3">
        <v>4</v>
      </c>
      <c r="K1177" s="3" t="s">
        <v>87</v>
      </c>
      <c r="L1177" s="3">
        <v>1</v>
      </c>
      <c r="M1177" s="3">
        <v>8</v>
      </c>
      <c r="N1177" s="3" t="s">
        <v>28</v>
      </c>
    </row>
    <row r="1178" spans="1:14" x14ac:dyDescent="0.3">
      <c r="A1178" s="7" t="s">
        <v>1261</v>
      </c>
      <c r="B1178" s="7" t="s">
        <v>49</v>
      </c>
      <c r="C1178" s="7">
        <v>4</v>
      </c>
      <c r="D1178" s="10">
        <v>19</v>
      </c>
      <c r="E1178" s="10">
        <v>76</v>
      </c>
      <c r="F1178" s="9">
        <v>45704</v>
      </c>
      <c r="G1178" s="9">
        <v>45711</v>
      </c>
      <c r="H1178" s="7" t="s">
        <v>31</v>
      </c>
      <c r="I1178" s="8" t="s">
        <v>45</v>
      </c>
      <c r="J1178" s="7">
        <v>5</v>
      </c>
      <c r="K1178" s="7" t="s">
        <v>121</v>
      </c>
      <c r="L1178" s="7">
        <v>7</v>
      </c>
      <c r="M1178" s="7">
        <v>8</v>
      </c>
      <c r="N1178" s="7" t="s">
        <v>33</v>
      </c>
    </row>
    <row r="1179" spans="1:14" x14ac:dyDescent="0.3">
      <c r="A1179" s="3" t="s">
        <v>1262</v>
      </c>
      <c r="B1179" s="3" t="s">
        <v>44</v>
      </c>
      <c r="C1179" s="3">
        <v>6</v>
      </c>
      <c r="D1179" s="6">
        <v>91.1</v>
      </c>
      <c r="E1179" s="6">
        <v>546.59999999999991</v>
      </c>
      <c r="F1179" s="5">
        <v>45704</v>
      </c>
      <c r="G1179" s="5">
        <v>45713</v>
      </c>
      <c r="H1179" s="3" t="s">
        <v>31</v>
      </c>
      <c r="I1179" s="4" t="s">
        <v>75</v>
      </c>
      <c r="J1179" s="3">
        <v>4</v>
      </c>
      <c r="K1179" s="3" t="s">
        <v>121</v>
      </c>
      <c r="L1179" s="3">
        <v>9</v>
      </c>
      <c r="M1179" s="3">
        <v>8</v>
      </c>
      <c r="N1179" s="3" t="s">
        <v>33</v>
      </c>
    </row>
    <row r="1180" spans="1:14" x14ac:dyDescent="0.3">
      <c r="A1180" s="7" t="s">
        <v>1263</v>
      </c>
      <c r="B1180" s="7" t="s">
        <v>30</v>
      </c>
      <c r="C1180" s="7">
        <v>5</v>
      </c>
      <c r="D1180" s="10">
        <v>94.1</v>
      </c>
      <c r="E1180" s="10">
        <v>470.5</v>
      </c>
      <c r="F1180" s="9">
        <v>45704</v>
      </c>
      <c r="G1180" s="9">
        <v>45707</v>
      </c>
      <c r="H1180" s="7"/>
      <c r="I1180" s="8" t="s">
        <v>40</v>
      </c>
      <c r="J1180" s="7">
        <v>3</v>
      </c>
      <c r="K1180" s="7" t="s">
        <v>121</v>
      </c>
      <c r="L1180" s="7">
        <v>3</v>
      </c>
      <c r="M1180" s="7">
        <v>8</v>
      </c>
      <c r="N1180" s="7" t="s">
        <v>23</v>
      </c>
    </row>
    <row r="1181" spans="1:14" x14ac:dyDescent="0.3">
      <c r="A1181" s="3" t="s">
        <v>1264</v>
      </c>
      <c r="B1181" s="3" t="s">
        <v>51</v>
      </c>
      <c r="C1181" s="3">
        <v>9</v>
      </c>
      <c r="D1181" s="6">
        <v>21.1</v>
      </c>
      <c r="E1181" s="6">
        <v>189.9</v>
      </c>
      <c r="F1181" s="5">
        <v>45704</v>
      </c>
      <c r="G1181" s="5">
        <v>45705</v>
      </c>
      <c r="H1181" s="3" t="s">
        <v>31</v>
      </c>
      <c r="I1181" s="4" t="s">
        <v>75</v>
      </c>
      <c r="J1181" s="3">
        <v>5</v>
      </c>
      <c r="K1181" s="3" t="s">
        <v>214</v>
      </c>
      <c r="L1181" s="3">
        <v>1</v>
      </c>
      <c r="M1181" s="3">
        <v>8</v>
      </c>
      <c r="N1181" s="3" t="s">
        <v>33</v>
      </c>
    </row>
    <row r="1182" spans="1:14" x14ac:dyDescent="0.3">
      <c r="A1182" s="7" t="s">
        <v>1265</v>
      </c>
      <c r="B1182" s="7" t="s">
        <v>49</v>
      </c>
      <c r="C1182" s="7">
        <v>7</v>
      </c>
      <c r="D1182" s="10">
        <v>15.3</v>
      </c>
      <c r="E1182" s="10">
        <v>107.1</v>
      </c>
      <c r="F1182" s="9">
        <v>45704</v>
      </c>
      <c r="G1182" s="9">
        <v>45712</v>
      </c>
      <c r="H1182" s="7" t="s">
        <v>31</v>
      </c>
      <c r="I1182" s="8" t="s">
        <v>45</v>
      </c>
      <c r="J1182" s="7">
        <v>4</v>
      </c>
      <c r="K1182" s="7" t="s">
        <v>27</v>
      </c>
      <c r="L1182" s="7">
        <v>8</v>
      </c>
      <c r="M1182" s="7">
        <v>8</v>
      </c>
      <c r="N1182" s="7" t="s">
        <v>33</v>
      </c>
    </row>
    <row r="1183" spans="1:14" x14ac:dyDescent="0.3">
      <c r="A1183" s="3" t="s">
        <v>1266</v>
      </c>
      <c r="B1183" s="3" t="s">
        <v>129</v>
      </c>
      <c r="C1183" s="3">
        <v>4</v>
      </c>
      <c r="D1183" s="6">
        <v>21.3</v>
      </c>
      <c r="E1183" s="6">
        <v>85.2</v>
      </c>
      <c r="F1183" s="5">
        <v>45704</v>
      </c>
      <c r="G1183" s="5">
        <v>45707</v>
      </c>
      <c r="H1183" s="3" t="s">
        <v>26</v>
      </c>
      <c r="I1183" s="4" t="s">
        <v>40</v>
      </c>
      <c r="J1183" s="3">
        <v>4</v>
      </c>
      <c r="K1183" s="3" t="s">
        <v>38</v>
      </c>
      <c r="L1183" s="3">
        <v>3</v>
      </c>
      <c r="M1183" s="3">
        <v>8</v>
      </c>
      <c r="N1183" s="3" t="s">
        <v>28</v>
      </c>
    </row>
    <row r="1184" spans="1:14" x14ac:dyDescent="0.3">
      <c r="A1184" s="7" t="s">
        <v>1267</v>
      </c>
      <c r="B1184" s="7" t="s">
        <v>20</v>
      </c>
      <c r="C1184" s="7">
        <v>2</v>
      </c>
      <c r="D1184" s="10">
        <v>23.2</v>
      </c>
      <c r="E1184" s="10">
        <v>46.4</v>
      </c>
      <c r="F1184" s="9">
        <v>45704</v>
      </c>
      <c r="G1184" s="9">
        <v>45704</v>
      </c>
      <c r="H1184" s="7"/>
      <c r="I1184" s="8" t="s">
        <v>56</v>
      </c>
      <c r="J1184" s="7">
        <v>3</v>
      </c>
      <c r="K1184" s="7" t="s">
        <v>38</v>
      </c>
      <c r="L1184" s="7">
        <v>0</v>
      </c>
      <c r="M1184" s="7">
        <v>8</v>
      </c>
      <c r="N1184" s="7" t="s">
        <v>23</v>
      </c>
    </row>
    <row r="1185" spans="1:14" x14ac:dyDescent="0.3">
      <c r="A1185" s="3" t="s">
        <v>1268</v>
      </c>
      <c r="B1185" s="3" t="s">
        <v>37</v>
      </c>
      <c r="C1185" s="3">
        <v>3</v>
      </c>
      <c r="D1185" s="6">
        <v>25.7</v>
      </c>
      <c r="E1185" s="6">
        <v>77.099999999999994</v>
      </c>
      <c r="F1185" s="5">
        <v>45704</v>
      </c>
      <c r="G1185" s="5">
        <v>45705</v>
      </c>
      <c r="H1185" s="3" t="s">
        <v>26</v>
      </c>
      <c r="I1185" s="4" t="s">
        <v>75</v>
      </c>
      <c r="J1185" s="3">
        <v>4</v>
      </c>
      <c r="K1185" s="3" t="s">
        <v>38</v>
      </c>
      <c r="L1185" s="3">
        <v>1</v>
      </c>
      <c r="M1185" s="3">
        <v>8</v>
      </c>
      <c r="N1185" s="3" t="s">
        <v>28</v>
      </c>
    </row>
    <row r="1186" spans="1:14" x14ac:dyDescent="0.3">
      <c r="A1186" s="7" t="s">
        <v>1269</v>
      </c>
      <c r="B1186" s="7" t="s">
        <v>20</v>
      </c>
      <c r="C1186" s="7">
        <v>9</v>
      </c>
      <c r="D1186" s="10">
        <v>31.6</v>
      </c>
      <c r="E1186" s="10">
        <v>284.39999999999998</v>
      </c>
      <c r="F1186" s="9">
        <v>45704</v>
      </c>
      <c r="G1186" s="9">
        <v>45706</v>
      </c>
      <c r="H1186" s="7" t="s">
        <v>31</v>
      </c>
      <c r="I1186" s="8" t="s">
        <v>21</v>
      </c>
      <c r="J1186" s="7">
        <v>4</v>
      </c>
      <c r="K1186" s="7" t="s">
        <v>38</v>
      </c>
      <c r="L1186" s="7">
        <v>2</v>
      </c>
      <c r="M1186" s="7">
        <v>8</v>
      </c>
      <c r="N1186" s="7" t="s">
        <v>33</v>
      </c>
    </row>
    <row r="1187" spans="1:14" x14ac:dyDescent="0.3">
      <c r="A1187" s="3" t="s">
        <v>1270</v>
      </c>
      <c r="B1187" s="3" t="s">
        <v>44</v>
      </c>
      <c r="C1187" s="3">
        <v>1</v>
      </c>
      <c r="D1187" s="6">
        <v>64.2</v>
      </c>
      <c r="E1187" s="6">
        <v>64.2</v>
      </c>
      <c r="F1187" s="5">
        <v>45704</v>
      </c>
      <c r="G1187" s="5">
        <v>45709</v>
      </c>
      <c r="H1187" s="3" t="s">
        <v>26</v>
      </c>
      <c r="I1187" s="4" t="s">
        <v>21</v>
      </c>
      <c r="J1187" s="3">
        <v>4</v>
      </c>
      <c r="K1187" s="3" t="s">
        <v>38</v>
      </c>
      <c r="L1187" s="3">
        <v>5</v>
      </c>
      <c r="M1187" s="3">
        <v>8</v>
      </c>
      <c r="N1187" s="3" t="s">
        <v>28</v>
      </c>
    </row>
    <row r="1188" spans="1:14" x14ac:dyDescent="0.3">
      <c r="A1188" s="7" t="s">
        <v>1271</v>
      </c>
      <c r="B1188" s="7" t="s">
        <v>49</v>
      </c>
      <c r="C1188" s="7">
        <v>2</v>
      </c>
      <c r="D1188" s="10">
        <v>55.8</v>
      </c>
      <c r="E1188" s="10">
        <v>111.6</v>
      </c>
      <c r="F1188" s="9">
        <v>45704</v>
      </c>
      <c r="G1188" s="9">
        <v>45706</v>
      </c>
      <c r="H1188" s="7"/>
      <c r="I1188" s="8" t="s">
        <v>21</v>
      </c>
      <c r="J1188" s="7">
        <v>4</v>
      </c>
      <c r="K1188" s="7" t="s">
        <v>38</v>
      </c>
      <c r="L1188" s="7">
        <v>2</v>
      </c>
      <c r="M1188" s="7">
        <v>8</v>
      </c>
      <c r="N1188" s="7" t="s">
        <v>23</v>
      </c>
    </row>
    <row r="1189" spans="1:14" x14ac:dyDescent="0.3">
      <c r="A1189" s="3" t="s">
        <v>1272</v>
      </c>
      <c r="B1189" s="3" t="s">
        <v>49</v>
      </c>
      <c r="C1189" s="3">
        <v>2</v>
      </c>
      <c r="D1189" s="6">
        <v>28.1</v>
      </c>
      <c r="E1189" s="6">
        <v>56.2</v>
      </c>
      <c r="F1189" s="5">
        <v>45704</v>
      </c>
      <c r="G1189" s="5">
        <v>45705</v>
      </c>
      <c r="H1189" s="3" t="s">
        <v>31</v>
      </c>
      <c r="I1189" s="4" t="s">
        <v>75</v>
      </c>
      <c r="J1189" s="3">
        <v>3</v>
      </c>
      <c r="K1189" s="3" t="s">
        <v>38</v>
      </c>
      <c r="L1189" s="3">
        <v>1</v>
      </c>
      <c r="M1189" s="3">
        <v>8</v>
      </c>
      <c r="N1189" s="3" t="s">
        <v>33</v>
      </c>
    </row>
    <row r="1190" spans="1:14" x14ac:dyDescent="0.3">
      <c r="A1190" s="7" t="s">
        <v>1273</v>
      </c>
      <c r="B1190" s="7" t="s">
        <v>20</v>
      </c>
      <c r="C1190" s="7">
        <v>2</v>
      </c>
      <c r="D1190" s="10">
        <v>11.6</v>
      </c>
      <c r="E1190" s="10">
        <v>23.2</v>
      </c>
      <c r="F1190" s="9">
        <v>45704</v>
      </c>
      <c r="G1190" s="9">
        <v>45706</v>
      </c>
      <c r="H1190" s="7" t="s">
        <v>31</v>
      </c>
      <c r="I1190" s="8" t="s">
        <v>40</v>
      </c>
      <c r="J1190" s="7">
        <v>4</v>
      </c>
      <c r="K1190" s="7" t="s">
        <v>192</v>
      </c>
      <c r="L1190" s="7">
        <v>2</v>
      </c>
      <c r="M1190" s="7">
        <v>8</v>
      </c>
      <c r="N1190" s="7" t="s">
        <v>33</v>
      </c>
    </row>
    <row r="1191" spans="1:14" x14ac:dyDescent="0.3">
      <c r="A1191" s="3" t="s">
        <v>1274</v>
      </c>
      <c r="B1191" s="3" t="s">
        <v>42</v>
      </c>
      <c r="C1191" s="3">
        <v>3</v>
      </c>
      <c r="D1191" s="6">
        <v>50.4</v>
      </c>
      <c r="E1191" s="6">
        <v>151.19999999999999</v>
      </c>
      <c r="F1191" s="5">
        <v>45704</v>
      </c>
      <c r="G1191" s="5">
        <v>45705</v>
      </c>
      <c r="H1191" s="3" t="s">
        <v>26</v>
      </c>
      <c r="I1191" s="4" t="s">
        <v>75</v>
      </c>
      <c r="J1191" s="3">
        <v>5</v>
      </c>
      <c r="K1191" s="3" t="s">
        <v>194</v>
      </c>
      <c r="L1191" s="3">
        <v>1</v>
      </c>
      <c r="M1191" s="3">
        <v>8</v>
      </c>
      <c r="N1191" s="3" t="s">
        <v>28</v>
      </c>
    </row>
    <row r="1192" spans="1:14" x14ac:dyDescent="0.3">
      <c r="A1192" s="7" t="s">
        <v>1275</v>
      </c>
      <c r="B1192" s="7" t="s">
        <v>44</v>
      </c>
      <c r="C1192" s="7">
        <v>6</v>
      </c>
      <c r="D1192" s="10">
        <v>48.3</v>
      </c>
      <c r="E1192" s="10">
        <v>289.8</v>
      </c>
      <c r="F1192" s="9">
        <v>45704</v>
      </c>
      <c r="G1192" s="9">
        <v>45708</v>
      </c>
      <c r="H1192" s="7" t="s">
        <v>31</v>
      </c>
      <c r="I1192" s="8" t="s">
        <v>21</v>
      </c>
      <c r="J1192" s="7">
        <v>4</v>
      </c>
      <c r="K1192" s="7" t="s">
        <v>194</v>
      </c>
      <c r="L1192" s="7">
        <v>4</v>
      </c>
      <c r="M1192" s="7">
        <v>8</v>
      </c>
      <c r="N1192" s="7" t="s">
        <v>33</v>
      </c>
    </row>
    <row r="1193" spans="1:14" x14ac:dyDescent="0.3">
      <c r="A1193" s="3" t="s">
        <v>1276</v>
      </c>
      <c r="B1193" s="3" t="s">
        <v>141</v>
      </c>
      <c r="C1193" s="3">
        <v>7</v>
      </c>
      <c r="D1193" s="6">
        <v>32.200000000000003</v>
      </c>
      <c r="E1193" s="6">
        <v>225.4</v>
      </c>
      <c r="F1193" s="5">
        <v>45704</v>
      </c>
      <c r="G1193" s="5">
        <v>45706</v>
      </c>
      <c r="H1193" s="3" t="s">
        <v>31</v>
      </c>
      <c r="I1193" s="4" t="s">
        <v>45</v>
      </c>
      <c r="J1193" s="3">
        <v>4</v>
      </c>
      <c r="K1193" s="3" t="s">
        <v>194</v>
      </c>
      <c r="L1193" s="3">
        <v>2</v>
      </c>
      <c r="M1193" s="3">
        <v>8</v>
      </c>
      <c r="N1193" s="3" t="s">
        <v>33</v>
      </c>
    </row>
    <row r="1194" spans="1:14" x14ac:dyDescent="0.3">
      <c r="A1194" s="7" t="s">
        <v>1277</v>
      </c>
      <c r="B1194" s="7" t="s">
        <v>47</v>
      </c>
      <c r="C1194" s="7">
        <v>28</v>
      </c>
      <c r="D1194" s="10">
        <v>48.5</v>
      </c>
      <c r="E1194" s="10">
        <v>1358</v>
      </c>
      <c r="F1194" s="9">
        <v>45704</v>
      </c>
      <c r="G1194" s="9">
        <v>45705</v>
      </c>
      <c r="H1194" s="7" t="s">
        <v>26</v>
      </c>
      <c r="I1194" s="8" t="s">
        <v>21</v>
      </c>
      <c r="J1194" s="7">
        <v>4</v>
      </c>
      <c r="K1194" s="7" t="s">
        <v>57</v>
      </c>
      <c r="L1194" s="7">
        <v>1</v>
      </c>
      <c r="M1194" s="7">
        <v>8</v>
      </c>
      <c r="N1194" s="7" t="s">
        <v>28</v>
      </c>
    </row>
    <row r="1195" spans="1:14" x14ac:dyDescent="0.3">
      <c r="A1195" s="3" t="s">
        <v>1278</v>
      </c>
      <c r="B1195" s="3" t="s">
        <v>30</v>
      </c>
      <c r="C1195" s="3">
        <v>5</v>
      </c>
      <c r="D1195" s="6">
        <v>62</v>
      </c>
      <c r="E1195" s="6">
        <v>310</v>
      </c>
      <c r="F1195" s="5">
        <v>45704</v>
      </c>
      <c r="G1195" s="5">
        <v>45707</v>
      </c>
      <c r="H1195" s="3" t="s">
        <v>31</v>
      </c>
      <c r="I1195" s="4" t="s">
        <v>40</v>
      </c>
      <c r="J1195" s="3">
        <v>4</v>
      </c>
      <c r="K1195" s="3" t="s">
        <v>60</v>
      </c>
      <c r="L1195" s="3">
        <v>3</v>
      </c>
      <c r="M1195" s="3">
        <v>8</v>
      </c>
      <c r="N1195" s="3" t="s">
        <v>33</v>
      </c>
    </row>
    <row r="1196" spans="1:14" x14ac:dyDescent="0.3">
      <c r="A1196" s="7" t="s">
        <v>1279</v>
      </c>
      <c r="B1196" s="7" t="s">
        <v>49</v>
      </c>
      <c r="C1196" s="7">
        <v>3</v>
      </c>
      <c r="D1196" s="10">
        <v>32.1</v>
      </c>
      <c r="E1196" s="10">
        <v>96.300000000000011</v>
      </c>
      <c r="F1196" s="9">
        <v>45705</v>
      </c>
      <c r="G1196" s="9">
        <v>45707</v>
      </c>
      <c r="H1196" s="7" t="s">
        <v>26</v>
      </c>
      <c r="I1196" s="8" t="s">
        <v>21</v>
      </c>
      <c r="J1196" s="7">
        <v>4</v>
      </c>
      <c r="K1196" s="7" t="s">
        <v>60</v>
      </c>
      <c r="L1196" s="7">
        <v>2</v>
      </c>
      <c r="M1196" s="7">
        <v>8</v>
      </c>
      <c r="N1196" s="7" t="s">
        <v>28</v>
      </c>
    </row>
    <row r="1197" spans="1:14" x14ac:dyDescent="0.3">
      <c r="A1197" s="3" t="s">
        <v>1280</v>
      </c>
      <c r="B1197" s="3" t="s">
        <v>74</v>
      </c>
      <c r="C1197" s="3">
        <v>3</v>
      </c>
      <c r="D1197" s="6">
        <v>106.1</v>
      </c>
      <c r="E1197" s="6">
        <v>318.3</v>
      </c>
      <c r="F1197" s="5">
        <v>45705</v>
      </c>
      <c r="G1197" s="5">
        <v>45707</v>
      </c>
      <c r="H1197" s="3" t="s">
        <v>26</v>
      </c>
      <c r="I1197" s="4" t="s">
        <v>21</v>
      </c>
      <c r="J1197" s="3">
        <v>3</v>
      </c>
      <c r="K1197" s="3" t="s">
        <v>64</v>
      </c>
      <c r="L1197" s="3">
        <v>2</v>
      </c>
      <c r="M1197" s="3">
        <v>8</v>
      </c>
      <c r="N1197" s="3" t="s">
        <v>28</v>
      </c>
    </row>
    <row r="1198" spans="1:14" x14ac:dyDescent="0.3">
      <c r="A1198" s="7" t="s">
        <v>1281</v>
      </c>
      <c r="B1198" s="7" t="s">
        <v>59</v>
      </c>
      <c r="C1198" s="7">
        <v>3</v>
      </c>
      <c r="D1198" s="10">
        <v>23.5</v>
      </c>
      <c r="E1198" s="10">
        <v>70.5</v>
      </c>
      <c r="F1198" s="9">
        <v>45705</v>
      </c>
      <c r="G1198" s="9">
        <v>45708</v>
      </c>
      <c r="H1198" s="7" t="s">
        <v>26</v>
      </c>
      <c r="I1198" s="8" t="s">
        <v>21</v>
      </c>
      <c r="J1198" s="7">
        <v>2</v>
      </c>
      <c r="K1198" s="7" t="s">
        <v>64</v>
      </c>
      <c r="L1198" s="7">
        <v>3</v>
      </c>
      <c r="M1198" s="7">
        <v>8</v>
      </c>
      <c r="N1198" s="7" t="s">
        <v>28</v>
      </c>
    </row>
    <row r="1199" spans="1:14" x14ac:dyDescent="0.3">
      <c r="A1199" s="3" t="s">
        <v>1282</v>
      </c>
      <c r="B1199" s="3" t="s">
        <v>25</v>
      </c>
      <c r="C1199" s="3">
        <v>2</v>
      </c>
      <c r="D1199" s="6">
        <v>35.6</v>
      </c>
      <c r="E1199" s="6">
        <v>71.2</v>
      </c>
      <c r="F1199" s="5">
        <v>45705</v>
      </c>
      <c r="G1199" s="5">
        <v>45710</v>
      </c>
      <c r="H1199" s="3" t="s">
        <v>26</v>
      </c>
      <c r="I1199" s="4" t="s">
        <v>75</v>
      </c>
      <c r="J1199" s="3">
        <v>4</v>
      </c>
      <c r="K1199" s="3" t="s">
        <v>67</v>
      </c>
      <c r="L1199" s="3">
        <v>5</v>
      </c>
      <c r="M1199" s="3">
        <v>8</v>
      </c>
      <c r="N1199" s="3" t="s">
        <v>28</v>
      </c>
    </row>
    <row r="1200" spans="1:14" x14ac:dyDescent="0.3">
      <c r="A1200" s="7" t="s">
        <v>1283</v>
      </c>
      <c r="B1200" s="7" t="s">
        <v>25</v>
      </c>
      <c r="C1200" s="7">
        <v>2</v>
      </c>
      <c r="D1200" s="10">
        <v>63.5</v>
      </c>
      <c r="E1200" s="10">
        <v>127</v>
      </c>
      <c r="F1200" s="9">
        <v>45705</v>
      </c>
      <c r="G1200" s="9">
        <v>45705</v>
      </c>
      <c r="H1200" s="7" t="s">
        <v>31</v>
      </c>
      <c r="I1200" s="8" t="s">
        <v>40</v>
      </c>
      <c r="J1200" s="7">
        <v>5</v>
      </c>
      <c r="K1200" s="7" t="s">
        <v>67</v>
      </c>
      <c r="L1200" s="7">
        <v>0</v>
      </c>
      <c r="M1200" s="7">
        <v>8</v>
      </c>
      <c r="N1200" s="7" t="s">
        <v>33</v>
      </c>
    </row>
    <row r="1201" spans="1:14" x14ac:dyDescent="0.3">
      <c r="A1201" s="3" t="s">
        <v>1284</v>
      </c>
      <c r="B1201" s="3" t="s">
        <v>44</v>
      </c>
      <c r="C1201" s="3">
        <v>7</v>
      </c>
      <c r="D1201" s="6">
        <v>82.9</v>
      </c>
      <c r="E1201" s="6">
        <v>580.30000000000007</v>
      </c>
      <c r="F1201" s="5">
        <v>45705</v>
      </c>
      <c r="G1201" s="5">
        <v>45710</v>
      </c>
      <c r="H1201" s="3" t="s">
        <v>31</v>
      </c>
      <c r="I1201" s="4" t="s">
        <v>75</v>
      </c>
      <c r="J1201" s="3">
        <v>4</v>
      </c>
      <c r="K1201" s="3" t="s">
        <v>77</v>
      </c>
      <c r="L1201" s="3">
        <v>5</v>
      </c>
      <c r="M1201" s="3">
        <v>8</v>
      </c>
      <c r="N1201" s="3" t="s">
        <v>33</v>
      </c>
    </row>
    <row r="1202" spans="1:14" x14ac:dyDescent="0.3">
      <c r="A1202" s="7" t="s">
        <v>1285</v>
      </c>
      <c r="B1202" s="7" t="s">
        <v>44</v>
      </c>
      <c r="C1202" s="7">
        <v>2</v>
      </c>
      <c r="D1202" s="10">
        <v>83.6</v>
      </c>
      <c r="E1202" s="10">
        <v>167.2</v>
      </c>
      <c r="F1202" s="9">
        <v>45705</v>
      </c>
      <c r="G1202" s="9">
        <v>45710</v>
      </c>
      <c r="H1202" s="7" t="s">
        <v>31</v>
      </c>
      <c r="I1202" s="8" t="s">
        <v>21</v>
      </c>
      <c r="J1202" s="7">
        <v>4</v>
      </c>
      <c r="K1202" s="7" t="s">
        <v>82</v>
      </c>
      <c r="L1202" s="7">
        <v>5</v>
      </c>
      <c r="M1202" s="7">
        <v>8</v>
      </c>
      <c r="N1202" s="7" t="s">
        <v>33</v>
      </c>
    </row>
    <row r="1203" spans="1:14" x14ac:dyDescent="0.3">
      <c r="A1203" s="3" t="s">
        <v>1286</v>
      </c>
      <c r="B1203" s="3" t="s">
        <v>37</v>
      </c>
      <c r="C1203" s="3">
        <v>2</v>
      </c>
      <c r="D1203" s="6">
        <v>29.4</v>
      </c>
      <c r="E1203" s="6">
        <v>58.8</v>
      </c>
      <c r="F1203" s="5">
        <v>45705</v>
      </c>
      <c r="G1203" s="5">
        <v>45705</v>
      </c>
      <c r="H1203" s="3" t="s">
        <v>31</v>
      </c>
      <c r="I1203" s="4" t="s">
        <v>21</v>
      </c>
      <c r="J1203" s="3">
        <v>3</v>
      </c>
      <c r="K1203" s="3" t="s">
        <v>274</v>
      </c>
      <c r="L1203" s="3">
        <v>0</v>
      </c>
      <c r="M1203" s="3">
        <v>8</v>
      </c>
      <c r="N1203" s="3" t="s">
        <v>33</v>
      </c>
    </row>
    <row r="1204" spans="1:14" x14ac:dyDescent="0.3">
      <c r="A1204" s="7" t="s">
        <v>1287</v>
      </c>
      <c r="B1204" s="7" t="s">
        <v>30</v>
      </c>
      <c r="C1204" s="7">
        <v>3</v>
      </c>
      <c r="D1204" s="10">
        <v>107.1</v>
      </c>
      <c r="E1204" s="10">
        <v>321.3</v>
      </c>
      <c r="F1204" s="9">
        <v>45705</v>
      </c>
      <c r="G1204" s="9">
        <v>45709</v>
      </c>
      <c r="H1204" s="7" t="s">
        <v>31</v>
      </c>
      <c r="I1204" s="8" t="s">
        <v>45</v>
      </c>
      <c r="J1204" s="7">
        <v>4</v>
      </c>
      <c r="K1204" s="7" t="s">
        <v>119</v>
      </c>
      <c r="L1204" s="7">
        <v>4</v>
      </c>
      <c r="M1204" s="7">
        <v>8</v>
      </c>
      <c r="N1204" s="7" t="s">
        <v>33</v>
      </c>
    </row>
    <row r="1205" spans="1:14" x14ac:dyDescent="0.3">
      <c r="A1205" s="3" t="s">
        <v>1288</v>
      </c>
      <c r="B1205" s="3" t="s">
        <v>30</v>
      </c>
      <c r="C1205" s="3">
        <v>1</v>
      </c>
      <c r="D1205" s="6">
        <v>62.7</v>
      </c>
      <c r="E1205" s="6">
        <v>62.7</v>
      </c>
      <c r="F1205" s="5">
        <v>45705</v>
      </c>
      <c r="G1205" s="5">
        <v>45709</v>
      </c>
      <c r="H1205" s="3" t="s">
        <v>26</v>
      </c>
      <c r="I1205" s="4" t="s">
        <v>40</v>
      </c>
      <c r="J1205" s="3">
        <v>4</v>
      </c>
      <c r="K1205" s="3" t="s">
        <v>121</v>
      </c>
      <c r="L1205" s="3">
        <v>4</v>
      </c>
      <c r="M1205" s="3">
        <v>8</v>
      </c>
      <c r="N1205" s="3" t="s">
        <v>28</v>
      </c>
    </row>
    <row r="1206" spans="1:14" x14ac:dyDescent="0.3">
      <c r="A1206" s="7" t="s">
        <v>1289</v>
      </c>
      <c r="B1206" s="7" t="s">
        <v>72</v>
      </c>
      <c r="C1206" s="7">
        <v>1</v>
      </c>
      <c r="D1206" s="10">
        <v>41.6</v>
      </c>
      <c r="E1206" s="10">
        <v>41.6</v>
      </c>
      <c r="F1206" s="9">
        <v>45705</v>
      </c>
      <c r="G1206" s="9">
        <v>45706</v>
      </c>
      <c r="H1206" s="7" t="s">
        <v>26</v>
      </c>
      <c r="I1206" s="8" t="s">
        <v>21</v>
      </c>
      <c r="J1206" s="7">
        <v>3</v>
      </c>
      <c r="K1206" s="7" t="s">
        <v>27</v>
      </c>
      <c r="L1206" s="7">
        <v>1</v>
      </c>
      <c r="M1206" s="7">
        <v>8</v>
      </c>
      <c r="N1206" s="7" t="s">
        <v>28</v>
      </c>
    </row>
    <row r="1207" spans="1:14" x14ac:dyDescent="0.3">
      <c r="A1207" s="3" t="s">
        <v>1290</v>
      </c>
      <c r="B1207" s="3" t="s">
        <v>44</v>
      </c>
      <c r="C1207" s="3">
        <v>1</v>
      </c>
      <c r="D1207" s="6">
        <v>44.2</v>
      </c>
      <c r="E1207" s="6">
        <v>44.2</v>
      </c>
      <c r="F1207" s="5">
        <v>45705</v>
      </c>
      <c r="G1207" s="5">
        <v>45706</v>
      </c>
      <c r="H1207" s="3" t="s">
        <v>94</v>
      </c>
      <c r="I1207" s="4" t="s">
        <v>21</v>
      </c>
      <c r="J1207" s="3">
        <v>3</v>
      </c>
      <c r="K1207" s="3" t="s">
        <v>27</v>
      </c>
      <c r="L1207" s="3">
        <v>1</v>
      </c>
      <c r="M1207" s="3">
        <v>8</v>
      </c>
      <c r="N1207" s="3" t="s">
        <v>95</v>
      </c>
    </row>
    <row r="1208" spans="1:14" x14ac:dyDescent="0.3">
      <c r="A1208" s="7" t="s">
        <v>1291</v>
      </c>
      <c r="B1208" s="7" t="s">
        <v>37</v>
      </c>
      <c r="C1208" s="7">
        <v>6</v>
      </c>
      <c r="D1208" s="10">
        <v>40.4</v>
      </c>
      <c r="E1208" s="10">
        <v>242.4</v>
      </c>
      <c r="F1208" s="9">
        <v>45705</v>
      </c>
      <c r="G1208" s="9">
        <v>45718</v>
      </c>
      <c r="H1208" s="7" t="s">
        <v>31</v>
      </c>
      <c r="I1208" s="8" t="s">
        <v>45</v>
      </c>
      <c r="J1208" s="7">
        <v>4</v>
      </c>
      <c r="K1208" s="7" t="s">
        <v>153</v>
      </c>
      <c r="L1208" s="7">
        <v>13</v>
      </c>
      <c r="M1208" s="7">
        <v>8</v>
      </c>
      <c r="N1208" s="7" t="s">
        <v>33</v>
      </c>
    </row>
    <row r="1209" spans="1:14" x14ac:dyDescent="0.3">
      <c r="A1209" s="3" t="s">
        <v>1292</v>
      </c>
      <c r="B1209" s="3" t="s">
        <v>129</v>
      </c>
      <c r="C1209" s="3">
        <v>6</v>
      </c>
      <c r="D1209" s="6">
        <v>59.6</v>
      </c>
      <c r="E1209" s="6">
        <v>357.6</v>
      </c>
      <c r="F1209" s="5">
        <v>45705</v>
      </c>
      <c r="G1209" s="5">
        <v>45706</v>
      </c>
      <c r="H1209" s="3" t="s">
        <v>31</v>
      </c>
      <c r="I1209" s="4" t="s">
        <v>75</v>
      </c>
      <c r="J1209" s="3">
        <v>4</v>
      </c>
      <c r="K1209" s="3" t="s">
        <v>22</v>
      </c>
      <c r="L1209" s="3">
        <v>1</v>
      </c>
      <c r="M1209" s="3">
        <v>8</v>
      </c>
      <c r="N1209" s="3" t="s">
        <v>33</v>
      </c>
    </row>
    <row r="1210" spans="1:14" x14ac:dyDescent="0.3">
      <c r="A1210" s="7" t="s">
        <v>1293</v>
      </c>
      <c r="B1210" s="7" t="s">
        <v>141</v>
      </c>
      <c r="C1210" s="7">
        <v>12</v>
      </c>
      <c r="D1210" s="10">
        <v>63.8</v>
      </c>
      <c r="E1210" s="10">
        <v>765.59999999999991</v>
      </c>
      <c r="F1210" s="9">
        <v>45705</v>
      </c>
      <c r="G1210" s="9">
        <v>45706</v>
      </c>
      <c r="H1210" s="7" t="s">
        <v>26</v>
      </c>
      <c r="I1210" s="8" t="s">
        <v>40</v>
      </c>
      <c r="J1210" s="7">
        <v>4</v>
      </c>
      <c r="K1210" s="7" t="s">
        <v>38</v>
      </c>
      <c r="L1210" s="7">
        <v>1</v>
      </c>
      <c r="M1210" s="7">
        <v>8</v>
      </c>
      <c r="N1210" s="7" t="s">
        <v>28</v>
      </c>
    </row>
    <row r="1211" spans="1:14" x14ac:dyDescent="0.3">
      <c r="A1211" s="3" t="s">
        <v>1294</v>
      </c>
      <c r="B1211" s="3" t="s">
        <v>51</v>
      </c>
      <c r="C1211" s="3">
        <v>6</v>
      </c>
      <c r="D1211" s="6">
        <v>30.8</v>
      </c>
      <c r="E1211" s="6">
        <v>184.8</v>
      </c>
      <c r="F1211" s="5">
        <v>45705</v>
      </c>
      <c r="G1211" s="5">
        <v>45707</v>
      </c>
      <c r="H1211" s="3" t="s">
        <v>26</v>
      </c>
      <c r="I1211" s="4" t="s">
        <v>75</v>
      </c>
      <c r="J1211" s="3">
        <v>4</v>
      </c>
      <c r="K1211" s="3" t="s">
        <v>38</v>
      </c>
      <c r="L1211" s="3">
        <v>2</v>
      </c>
      <c r="M1211" s="3">
        <v>8</v>
      </c>
      <c r="N1211" s="3" t="s">
        <v>28</v>
      </c>
    </row>
    <row r="1212" spans="1:14" x14ac:dyDescent="0.3">
      <c r="A1212" s="7" t="s">
        <v>1295</v>
      </c>
      <c r="B1212" s="7" t="s">
        <v>25</v>
      </c>
      <c r="C1212" s="7">
        <v>2</v>
      </c>
      <c r="D1212" s="10">
        <v>41.5</v>
      </c>
      <c r="E1212" s="10">
        <v>83</v>
      </c>
      <c r="F1212" s="9">
        <v>45705</v>
      </c>
      <c r="G1212" s="9">
        <v>45708</v>
      </c>
      <c r="H1212" s="7" t="s">
        <v>94</v>
      </c>
      <c r="I1212" s="8" t="s">
        <v>21</v>
      </c>
      <c r="J1212" s="7">
        <v>4</v>
      </c>
      <c r="K1212" s="7" t="s">
        <v>38</v>
      </c>
      <c r="L1212" s="7">
        <v>3</v>
      </c>
      <c r="M1212" s="7">
        <v>8</v>
      </c>
      <c r="N1212" s="7" t="s">
        <v>95</v>
      </c>
    </row>
    <row r="1213" spans="1:14" x14ac:dyDescent="0.3">
      <c r="A1213" s="3" t="s">
        <v>1296</v>
      </c>
      <c r="B1213" s="3" t="s">
        <v>59</v>
      </c>
      <c r="C1213" s="3">
        <v>4</v>
      </c>
      <c r="D1213" s="6">
        <v>44.7</v>
      </c>
      <c r="E1213" s="6">
        <v>178.8</v>
      </c>
      <c r="F1213" s="5">
        <v>45705</v>
      </c>
      <c r="G1213" s="5">
        <v>45707</v>
      </c>
      <c r="H1213" s="3" t="s">
        <v>31</v>
      </c>
      <c r="I1213" s="4" t="s">
        <v>45</v>
      </c>
      <c r="J1213" s="3">
        <v>3</v>
      </c>
      <c r="K1213" s="3" t="s">
        <v>38</v>
      </c>
      <c r="L1213" s="3">
        <v>2</v>
      </c>
      <c r="M1213" s="3">
        <v>8</v>
      </c>
      <c r="N1213" s="3" t="s">
        <v>33</v>
      </c>
    </row>
    <row r="1214" spans="1:14" x14ac:dyDescent="0.3">
      <c r="A1214" s="7" t="s">
        <v>1297</v>
      </c>
      <c r="B1214" s="7" t="s">
        <v>74</v>
      </c>
      <c r="C1214" s="7">
        <v>2</v>
      </c>
      <c r="D1214" s="10">
        <v>64.099999999999994</v>
      </c>
      <c r="E1214" s="10">
        <v>128.19999999999999</v>
      </c>
      <c r="F1214" s="9">
        <v>45705</v>
      </c>
      <c r="G1214" s="9">
        <v>45709</v>
      </c>
      <c r="H1214" s="7" t="s">
        <v>31</v>
      </c>
      <c r="I1214" s="8" t="s">
        <v>40</v>
      </c>
      <c r="J1214" s="7">
        <v>2</v>
      </c>
      <c r="K1214" s="7" t="s">
        <v>38</v>
      </c>
      <c r="L1214" s="7">
        <v>4</v>
      </c>
      <c r="M1214" s="7">
        <v>8</v>
      </c>
      <c r="N1214" s="7" t="s">
        <v>33</v>
      </c>
    </row>
    <row r="1215" spans="1:14" x14ac:dyDescent="0.3">
      <c r="A1215" s="3" t="s">
        <v>1298</v>
      </c>
      <c r="B1215" s="3" t="s">
        <v>49</v>
      </c>
      <c r="C1215" s="3">
        <v>1</v>
      </c>
      <c r="D1215" s="6">
        <v>15.9</v>
      </c>
      <c r="E1215" s="6">
        <v>15.9</v>
      </c>
      <c r="F1215" s="5">
        <v>45705</v>
      </c>
      <c r="G1215" s="5">
        <v>45708</v>
      </c>
      <c r="H1215" s="3"/>
      <c r="I1215" s="4" t="s">
        <v>40</v>
      </c>
      <c r="J1215" s="3">
        <v>4</v>
      </c>
      <c r="K1215" s="3" t="s">
        <v>38</v>
      </c>
      <c r="L1215" s="3">
        <v>3</v>
      </c>
      <c r="M1215" s="3">
        <v>8</v>
      </c>
      <c r="N1215" s="3" t="s">
        <v>23</v>
      </c>
    </row>
    <row r="1216" spans="1:14" x14ac:dyDescent="0.3">
      <c r="A1216" s="7" t="s">
        <v>1299</v>
      </c>
      <c r="B1216" s="7" t="s">
        <v>44</v>
      </c>
      <c r="C1216" s="7">
        <v>2</v>
      </c>
      <c r="D1216" s="10">
        <v>78.7</v>
      </c>
      <c r="E1216" s="10">
        <v>157.4</v>
      </c>
      <c r="F1216" s="9">
        <v>45705</v>
      </c>
      <c r="G1216" s="9">
        <v>45705</v>
      </c>
      <c r="H1216" s="7" t="s">
        <v>31</v>
      </c>
      <c r="I1216" s="8" t="s">
        <v>45</v>
      </c>
      <c r="J1216" s="7">
        <v>3</v>
      </c>
      <c r="K1216" s="7" t="s">
        <v>38</v>
      </c>
      <c r="L1216" s="7">
        <v>0</v>
      </c>
      <c r="M1216" s="7">
        <v>8</v>
      </c>
      <c r="N1216" s="7" t="s">
        <v>33</v>
      </c>
    </row>
    <row r="1217" spans="1:14" x14ac:dyDescent="0.3">
      <c r="A1217" s="3" t="s">
        <v>1300</v>
      </c>
      <c r="B1217" s="3" t="s">
        <v>42</v>
      </c>
      <c r="C1217" s="3">
        <v>12</v>
      </c>
      <c r="D1217" s="6">
        <v>29.6</v>
      </c>
      <c r="E1217" s="6">
        <v>355.2</v>
      </c>
      <c r="F1217" s="5">
        <v>45705</v>
      </c>
      <c r="G1217" s="5">
        <v>45709</v>
      </c>
      <c r="H1217" s="3" t="s">
        <v>26</v>
      </c>
      <c r="I1217" s="4" t="s">
        <v>45</v>
      </c>
      <c r="J1217" s="3">
        <v>2</v>
      </c>
      <c r="K1217" s="3" t="s">
        <v>38</v>
      </c>
      <c r="L1217" s="3">
        <v>4</v>
      </c>
      <c r="M1217" s="3">
        <v>8</v>
      </c>
      <c r="N1217" s="3" t="s">
        <v>28</v>
      </c>
    </row>
    <row r="1218" spans="1:14" x14ac:dyDescent="0.3">
      <c r="A1218" s="7" t="s">
        <v>1301</v>
      </c>
      <c r="B1218" s="7" t="s">
        <v>49</v>
      </c>
      <c r="C1218" s="7">
        <v>4</v>
      </c>
      <c r="D1218" s="10">
        <v>21.5</v>
      </c>
      <c r="E1218" s="10">
        <v>86</v>
      </c>
      <c r="F1218" s="9">
        <v>45705</v>
      </c>
      <c r="G1218" s="9">
        <v>45708</v>
      </c>
      <c r="H1218" s="7" t="s">
        <v>26</v>
      </c>
      <c r="I1218" s="8" t="s">
        <v>40</v>
      </c>
      <c r="J1218" s="7">
        <v>4</v>
      </c>
      <c r="K1218" s="7" t="s">
        <v>38</v>
      </c>
      <c r="L1218" s="7">
        <v>3</v>
      </c>
      <c r="M1218" s="7">
        <v>8</v>
      </c>
      <c r="N1218" s="7" t="s">
        <v>28</v>
      </c>
    </row>
    <row r="1219" spans="1:14" x14ac:dyDescent="0.3">
      <c r="A1219" s="3" t="s">
        <v>1302</v>
      </c>
      <c r="B1219" s="3" t="s">
        <v>51</v>
      </c>
      <c r="C1219" s="3">
        <v>3</v>
      </c>
      <c r="D1219" s="6">
        <v>74.900000000000006</v>
      </c>
      <c r="E1219" s="6">
        <v>224.7</v>
      </c>
      <c r="F1219" s="5">
        <v>45705</v>
      </c>
      <c r="G1219" s="5">
        <v>45714</v>
      </c>
      <c r="H1219" s="3" t="s">
        <v>26</v>
      </c>
      <c r="I1219" s="4" t="s">
        <v>56</v>
      </c>
      <c r="J1219" s="3">
        <v>3</v>
      </c>
      <c r="K1219" s="3" t="s">
        <v>38</v>
      </c>
      <c r="L1219" s="3">
        <v>9</v>
      </c>
      <c r="M1219" s="3">
        <v>8</v>
      </c>
      <c r="N1219" s="3" t="s">
        <v>28</v>
      </c>
    </row>
    <row r="1220" spans="1:14" x14ac:dyDescent="0.3">
      <c r="A1220" s="7" t="s">
        <v>1303</v>
      </c>
      <c r="B1220" s="7" t="s">
        <v>59</v>
      </c>
      <c r="C1220" s="7">
        <v>6</v>
      </c>
      <c r="D1220" s="10">
        <v>45</v>
      </c>
      <c r="E1220" s="10">
        <v>270</v>
      </c>
      <c r="F1220" s="9">
        <v>45705</v>
      </c>
      <c r="G1220" s="9">
        <v>45710</v>
      </c>
      <c r="H1220" s="7" t="s">
        <v>31</v>
      </c>
      <c r="I1220" s="8" t="s">
        <v>45</v>
      </c>
      <c r="J1220" s="7">
        <v>4</v>
      </c>
      <c r="K1220" s="7" t="s">
        <v>38</v>
      </c>
      <c r="L1220" s="7">
        <v>5</v>
      </c>
      <c r="M1220" s="7">
        <v>8</v>
      </c>
      <c r="N1220" s="7" t="s">
        <v>33</v>
      </c>
    </row>
    <row r="1221" spans="1:14" x14ac:dyDescent="0.3">
      <c r="A1221" s="3" t="s">
        <v>1304</v>
      </c>
      <c r="B1221" s="3" t="s">
        <v>47</v>
      </c>
      <c r="C1221" s="3">
        <v>34</v>
      </c>
      <c r="D1221" s="6">
        <v>37.9</v>
      </c>
      <c r="E1221" s="6">
        <v>1288.5999999999999</v>
      </c>
      <c r="F1221" s="5">
        <v>45705</v>
      </c>
      <c r="G1221" s="5">
        <v>45706</v>
      </c>
      <c r="H1221" s="3" t="s">
        <v>26</v>
      </c>
      <c r="I1221" s="4" t="s">
        <v>21</v>
      </c>
      <c r="J1221" s="3">
        <v>4</v>
      </c>
      <c r="K1221" s="3" t="s">
        <v>38</v>
      </c>
      <c r="L1221" s="3">
        <v>1</v>
      </c>
      <c r="M1221" s="3">
        <v>8</v>
      </c>
      <c r="N1221" s="3" t="s">
        <v>28</v>
      </c>
    </row>
    <row r="1222" spans="1:14" x14ac:dyDescent="0.3">
      <c r="A1222" s="7" t="s">
        <v>1305</v>
      </c>
      <c r="B1222" s="7" t="s">
        <v>44</v>
      </c>
      <c r="C1222" s="7">
        <v>3</v>
      </c>
      <c r="D1222" s="10">
        <v>56.6</v>
      </c>
      <c r="E1222" s="10">
        <v>169.8</v>
      </c>
      <c r="F1222" s="9">
        <v>45705</v>
      </c>
      <c r="G1222" s="9">
        <v>45706</v>
      </c>
      <c r="H1222" s="7" t="s">
        <v>26</v>
      </c>
      <c r="I1222" s="8" t="s">
        <v>56</v>
      </c>
      <c r="J1222" s="7">
        <v>4</v>
      </c>
      <c r="K1222" s="7" t="s">
        <v>38</v>
      </c>
      <c r="L1222" s="7">
        <v>1</v>
      </c>
      <c r="M1222" s="7">
        <v>8</v>
      </c>
      <c r="N1222" s="7" t="s">
        <v>28</v>
      </c>
    </row>
    <row r="1223" spans="1:14" x14ac:dyDescent="0.3">
      <c r="A1223" s="3" t="s">
        <v>1306</v>
      </c>
      <c r="B1223" s="3" t="s">
        <v>35</v>
      </c>
      <c r="C1223" s="3">
        <v>13</v>
      </c>
      <c r="D1223" s="6">
        <v>84.5</v>
      </c>
      <c r="E1223" s="6">
        <v>1098.5</v>
      </c>
      <c r="F1223" s="5">
        <v>45705</v>
      </c>
      <c r="G1223" s="5">
        <v>45708</v>
      </c>
      <c r="H1223" s="3" t="s">
        <v>31</v>
      </c>
      <c r="I1223" s="4" t="s">
        <v>40</v>
      </c>
      <c r="J1223" s="3">
        <v>2</v>
      </c>
      <c r="K1223" s="3" t="s">
        <v>38</v>
      </c>
      <c r="L1223" s="3">
        <v>3</v>
      </c>
      <c r="M1223" s="3">
        <v>8</v>
      </c>
      <c r="N1223" s="3" t="s">
        <v>33</v>
      </c>
    </row>
    <row r="1224" spans="1:14" x14ac:dyDescent="0.3">
      <c r="A1224" s="7" t="s">
        <v>1307</v>
      </c>
      <c r="B1224" s="7" t="s">
        <v>30</v>
      </c>
      <c r="C1224" s="7">
        <v>5</v>
      </c>
      <c r="D1224" s="10">
        <v>105.4</v>
      </c>
      <c r="E1224" s="10">
        <v>527</v>
      </c>
      <c r="F1224" s="9">
        <v>45705</v>
      </c>
      <c r="G1224" s="9">
        <v>45707</v>
      </c>
      <c r="H1224" s="7" t="s">
        <v>31</v>
      </c>
      <c r="I1224" s="8" t="s">
        <v>40</v>
      </c>
      <c r="J1224" s="7">
        <v>3</v>
      </c>
      <c r="K1224" s="7" t="s">
        <v>38</v>
      </c>
      <c r="L1224" s="7">
        <v>2</v>
      </c>
      <c r="M1224" s="7">
        <v>8</v>
      </c>
      <c r="N1224" s="7" t="s">
        <v>33</v>
      </c>
    </row>
    <row r="1225" spans="1:14" x14ac:dyDescent="0.3">
      <c r="A1225" s="3" t="s">
        <v>1308</v>
      </c>
      <c r="B1225" s="3" t="s">
        <v>152</v>
      </c>
      <c r="C1225" s="3">
        <v>7</v>
      </c>
      <c r="D1225" s="6">
        <v>39.4</v>
      </c>
      <c r="E1225" s="6">
        <v>275.8</v>
      </c>
      <c r="F1225" s="5">
        <v>45706</v>
      </c>
      <c r="G1225" s="5">
        <v>45706</v>
      </c>
      <c r="H1225" s="3" t="s">
        <v>26</v>
      </c>
      <c r="I1225" s="4" t="s">
        <v>40</v>
      </c>
      <c r="J1225" s="3">
        <v>4</v>
      </c>
      <c r="K1225" s="3" t="s">
        <v>79</v>
      </c>
      <c r="L1225" s="3">
        <v>0</v>
      </c>
      <c r="M1225" s="3">
        <v>8</v>
      </c>
      <c r="N1225" s="3" t="s">
        <v>28</v>
      </c>
    </row>
    <row r="1226" spans="1:14" x14ac:dyDescent="0.3">
      <c r="A1226" s="7" t="s">
        <v>1309</v>
      </c>
      <c r="B1226" s="7" t="s">
        <v>177</v>
      </c>
      <c r="C1226" s="7">
        <v>3</v>
      </c>
      <c r="D1226" s="10">
        <v>38</v>
      </c>
      <c r="E1226" s="10">
        <v>114</v>
      </c>
      <c r="F1226" s="9">
        <v>45706</v>
      </c>
      <c r="G1226" s="9">
        <v>45709</v>
      </c>
      <c r="H1226" s="7" t="s">
        <v>26</v>
      </c>
      <c r="I1226" s="8" t="s">
        <v>75</v>
      </c>
      <c r="J1226" s="7">
        <v>3</v>
      </c>
      <c r="K1226" s="7" t="s">
        <v>60</v>
      </c>
      <c r="L1226" s="7">
        <v>3</v>
      </c>
      <c r="M1226" s="7">
        <v>8</v>
      </c>
      <c r="N1226" s="7" t="s">
        <v>28</v>
      </c>
    </row>
    <row r="1227" spans="1:14" x14ac:dyDescent="0.3">
      <c r="A1227" s="3" t="s">
        <v>1310</v>
      </c>
      <c r="B1227" s="3" t="s">
        <v>141</v>
      </c>
      <c r="C1227" s="3">
        <v>4</v>
      </c>
      <c r="D1227" s="6">
        <v>42.5</v>
      </c>
      <c r="E1227" s="6">
        <v>170</v>
      </c>
      <c r="F1227" s="5">
        <v>45706</v>
      </c>
      <c r="G1227" s="5">
        <v>45708</v>
      </c>
      <c r="H1227" s="3"/>
      <c r="I1227" s="4" t="s">
        <v>21</v>
      </c>
      <c r="J1227" s="3">
        <v>4</v>
      </c>
      <c r="K1227" s="3" t="s">
        <v>60</v>
      </c>
      <c r="L1227" s="3">
        <v>2</v>
      </c>
      <c r="M1227" s="3">
        <v>8</v>
      </c>
      <c r="N1227" s="3" t="s">
        <v>23</v>
      </c>
    </row>
    <row r="1228" spans="1:14" x14ac:dyDescent="0.3">
      <c r="A1228" s="7" t="s">
        <v>1311</v>
      </c>
      <c r="B1228" s="7" t="s">
        <v>129</v>
      </c>
      <c r="C1228" s="7">
        <v>1</v>
      </c>
      <c r="D1228" s="10">
        <v>62.3</v>
      </c>
      <c r="E1228" s="10">
        <v>62.3</v>
      </c>
      <c r="F1228" s="9">
        <v>45706</v>
      </c>
      <c r="G1228" s="9">
        <v>45715</v>
      </c>
      <c r="H1228" s="7" t="s">
        <v>26</v>
      </c>
      <c r="I1228" s="8" t="s">
        <v>21</v>
      </c>
      <c r="J1228" s="7">
        <v>5</v>
      </c>
      <c r="K1228" s="7" t="s">
        <v>60</v>
      </c>
      <c r="L1228" s="7">
        <v>9</v>
      </c>
      <c r="M1228" s="7">
        <v>8</v>
      </c>
      <c r="N1228" s="7" t="s">
        <v>28</v>
      </c>
    </row>
    <row r="1229" spans="1:14" x14ac:dyDescent="0.3">
      <c r="A1229" s="3" t="s">
        <v>1312</v>
      </c>
      <c r="B1229" s="3" t="s">
        <v>44</v>
      </c>
      <c r="C1229" s="3">
        <v>5</v>
      </c>
      <c r="D1229" s="6">
        <v>49.1</v>
      </c>
      <c r="E1229" s="6">
        <v>245.5</v>
      </c>
      <c r="F1229" s="5">
        <v>45706</v>
      </c>
      <c r="G1229" s="5">
        <v>45708</v>
      </c>
      <c r="H1229" s="3" t="s">
        <v>31</v>
      </c>
      <c r="I1229" s="4" t="s">
        <v>40</v>
      </c>
      <c r="J1229" s="3">
        <v>5</v>
      </c>
      <c r="K1229" s="3" t="s">
        <v>64</v>
      </c>
      <c r="L1229" s="3">
        <v>2</v>
      </c>
      <c r="M1229" s="3">
        <v>8</v>
      </c>
      <c r="N1229" s="3" t="s">
        <v>33</v>
      </c>
    </row>
    <row r="1230" spans="1:14" x14ac:dyDescent="0.3">
      <c r="A1230" s="7" t="s">
        <v>1313</v>
      </c>
      <c r="B1230" s="7" t="s">
        <v>35</v>
      </c>
      <c r="C1230" s="7">
        <v>2</v>
      </c>
      <c r="D1230" s="10">
        <v>30.5</v>
      </c>
      <c r="E1230" s="10">
        <v>61</v>
      </c>
      <c r="F1230" s="9">
        <v>45706</v>
      </c>
      <c r="G1230" s="9">
        <v>45709</v>
      </c>
      <c r="H1230" s="7" t="s">
        <v>26</v>
      </c>
      <c r="I1230" s="8" t="s">
        <v>21</v>
      </c>
      <c r="J1230" s="7">
        <v>5</v>
      </c>
      <c r="K1230" s="7" t="s">
        <v>67</v>
      </c>
      <c r="L1230" s="7">
        <v>3</v>
      </c>
      <c r="M1230" s="7">
        <v>8</v>
      </c>
      <c r="N1230" s="7" t="s">
        <v>28</v>
      </c>
    </row>
    <row r="1231" spans="1:14" x14ac:dyDescent="0.3">
      <c r="A1231" s="3" t="s">
        <v>1314</v>
      </c>
      <c r="B1231" s="3" t="s">
        <v>30</v>
      </c>
      <c r="C1231" s="3">
        <v>2</v>
      </c>
      <c r="D1231" s="6">
        <v>154.80000000000001</v>
      </c>
      <c r="E1231" s="6">
        <v>309.60000000000002</v>
      </c>
      <c r="F1231" s="5">
        <v>45706</v>
      </c>
      <c r="G1231" s="5">
        <v>45709</v>
      </c>
      <c r="H1231" s="3" t="s">
        <v>31</v>
      </c>
      <c r="I1231" s="4" t="s">
        <v>40</v>
      </c>
      <c r="J1231" s="3">
        <v>2</v>
      </c>
      <c r="K1231" s="3" t="s">
        <v>67</v>
      </c>
      <c r="L1231" s="3">
        <v>3</v>
      </c>
      <c r="M1231" s="3">
        <v>8</v>
      </c>
      <c r="N1231" s="3" t="s">
        <v>33</v>
      </c>
    </row>
    <row r="1232" spans="1:14" x14ac:dyDescent="0.3">
      <c r="A1232" s="7" t="s">
        <v>1315</v>
      </c>
      <c r="B1232" s="7" t="s">
        <v>44</v>
      </c>
      <c r="C1232" s="7">
        <v>1</v>
      </c>
      <c r="D1232" s="10">
        <v>45</v>
      </c>
      <c r="E1232" s="10">
        <v>45</v>
      </c>
      <c r="F1232" s="9">
        <v>45706</v>
      </c>
      <c r="G1232" s="9">
        <v>45710</v>
      </c>
      <c r="H1232" s="7" t="s">
        <v>26</v>
      </c>
      <c r="I1232" s="8" t="s">
        <v>56</v>
      </c>
      <c r="J1232" s="7">
        <v>3</v>
      </c>
      <c r="K1232" s="7" t="s">
        <v>67</v>
      </c>
      <c r="L1232" s="7">
        <v>4</v>
      </c>
      <c r="M1232" s="7">
        <v>8</v>
      </c>
      <c r="N1232" s="7" t="s">
        <v>28</v>
      </c>
    </row>
    <row r="1233" spans="1:14" x14ac:dyDescent="0.3">
      <c r="A1233" s="3" t="s">
        <v>1316</v>
      </c>
      <c r="B1233" s="3" t="s">
        <v>20</v>
      </c>
      <c r="C1233" s="3">
        <v>7</v>
      </c>
      <c r="D1233" s="6">
        <v>15.3</v>
      </c>
      <c r="E1233" s="6">
        <v>107.1</v>
      </c>
      <c r="F1233" s="5">
        <v>45706</v>
      </c>
      <c r="G1233" s="5">
        <v>45707</v>
      </c>
      <c r="H1233" s="3" t="s">
        <v>26</v>
      </c>
      <c r="I1233" s="4" t="s">
        <v>21</v>
      </c>
      <c r="J1233" s="3">
        <v>5</v>
      </c>
      <c r="K1233" s="3" t="s">
        <v>67</v>
      </c>
      <c r="L1233" s="3">
        <v>1</v>
      </c>
      <c r="M1233" s="3">
        <v>8</v>
      </c>
      <c r="N1233" s="3" t="s">
        <v>28</v>
      </c>
    </row>
    <row r="1234" spans="1:14" x14ac:dyDescent="0.3">
      <c r="A1234" s="7" t="s">
        <v>1317</v>
      </c>
      <c r="B1234" s="7" t="s">
        <v>30</v>
      </c>
      <c r="C1234" s="7">
        <v>11</v>
      </c>
      <c r="D1234" s="10">
        <v>88.6</v>
      </c>
      <c r="E1234" s="10">
        <v>974.59999999999991</v>
      </c>
      <c r="F1234" s="9">
        <v>45706</v>
      </c>
      <c r="G1234" s="9">
        <v>45709</v>
      </c>
      <c r="H1234" s="7" t="s">
        <v>31</v>
      </c>
      <c r="I1234" s="8" t="s">
        <v>21</v>
      </c>
      <c r="J1234" s="7">
        <v>2</v>
      </c>
      <c r="K1234" s="7" t="s">
        <v>109</v>
      </c>
      <c r="L1234" s="7">
        <v>3</v>
      </c>
      <c r="M1234" s="7">
        <v>8</v>
      </c>
      <c r="N1234" s="7" t="s">
        <v>33</v>
      </c>
    </row>
    <row r="1235" spans="1:14" x14ac:dyDescent="0.3">
      <c r="A1235" s="3" t="s">
        <v>1318</v>
      </c>
      <c r="B1235" s="3" t="s">
        <v>51</v>
      </c>
      <c r="C1235" s="3">
        <v>2</v>
      </c>
      <c r="D1235" s="6">
        <v>49.7</v>
      </c>
      <c r="E1235" s="6">
        <v>99.4</v>
      </c>
      <c r="F1235" s="5">
        <v>45706</v>
      </c>
      <c r="G1235" s="5">
        <v>45708</v>
      </c>
      <c r="H1235" s="3" t="s">
        <v>94</v>
      </c>
      <c r="I1235" s="4" t="s">
        <v>75</v>
      </c>
      <c r="J1235" s="3">
        <v>4</v>
      </c>
      <c r="K1235" s="3" t="s">
        <v>79</v>
      </c>
      <c r="L1235" s="3">
        <v>2</v>
      </c>
      <c r="M1235" s="3">
        <v>8</v>
      </c>
      <c r="N1235" s="3" t="s">
        <v>95</v>
      </c>
    </row>
    <row r="1236" spans="1:14" x14ac:dyDescent="0.3">
      <c r="A1236" s="7" t="s">
        <v>1319</v>
      </c>
      <c r="B1236" s="7" t="s">
        <v>59</v>
      </c>
      <c r="C1236" s="7">
        <v>1</v>
      </c>
      <c r="D1236" s="10">
        <v>29</v>
      </c>
      <c r="E1236" s="10">
        <v>29</v>
      </c>
      <c r="F1236" s="9">
        <v>45706</v>
      </c>
      <c r="G1236" s="9">
        <v>45707</v>
      </c>
      <c r="H1236" s="7" t="s">
        <v>26</v>
      </c>
      <c r="I1236" s="8" t="s">
        <v>21</v>
      </c>
      <c r="J1236" s="7">
        <v>4</v>
      </c>
      <c r="K1236" s="7" t="s">
        <v>82</v>
      </c>
      <c r="L1236" s="7">
        <v>1</v>
      </c>
      <c r="M1236" s="7">
        <v>8</v>
      </c>
      <c r="N1236" s="7" t="s">
        <v>28</v>
      </c>
    </row>
    <row r="1237" spans="1:14" x14ac:dyDescent="0.3">
      <c r="A1237" s="3" t="s">
        <v>1320</v>
      </c>
      <c r="B1237" s="3" t="s">
        <v>25</v>
      </c>
      <c r="C1237" s="3">
        <v>1</v>
      </c>
      <c r="D1237" s="6">
        <v>60.7</v>
      </c>
      <c r="E1237" s="6">
        <v>60.7</v>
      </c>
      <c r="F1237" s="5">
        <v>45706</v>
      </c>
      <c r="G1237" s="5">
        <v>45707</v>
      </c>
      <c r="H1237" s="3" t="s">
        <v>94</v>
      </c>
      <c r="I1237" s="4" t="s">
        <v>21</v>
      </c>
      <c r="J1237" s="3">
        <v>3</v>
      </c>
      <c r="K1237" s="3" t="s">
        <v>82</v>
      </c>
      <c r="L1237" s="3">
        <v>1</v>
      </c>
      <c r="M1237" s="3">
        <v>8</v>
      </c>
      <c r="N1237" s="3" t="s">
        <v>95</v>
      </c>
    </row>
    <row r="1238" spans="1:14" x14ac:dyDescent="0.3">
      <c r="A1238" s="7" t="s">
        <v>1321</v>
      </c>
      <c r="B1238" s="7" t="s">
        <v>141</v>
      </c>
      <c r="C1238" s="7">
        <v>4</v>
      </c>
      <c r="D1238" s="10">
        <v>87.4</v>
      </c>
      <c r="E1238" s="10">
        <v>349.6</v>
      </c>
      <c r="F1238" s="9">
        <v>45706</v>
      </c>
      <c r="G1238" s="9">
        <v>45708</v>
      </c>
      <c r="H1238" s="7"/>
      <c r="I1238" s="8" t="s">
        <v>21</v>
      </c>
      <c r="J1238" s="7">
        <v>4</v>
      </c>
      <c r="K1238" s="7" t="s">
        <v>82</v>
      </c>
      <c r="L1238" s="7">
        <v>2</v>
      </c>
      <c r="M1238" s="7">
        <v>8</v>
      </c>
      <c r="N1238" s="7" t="s">
        <v>23</v>
      </c>
    </row>
    <row r="1239" spans="1:14" x14ac:dyDescent="0.3">
      <c r="A1239" s="3" t="s">
        <v>1322</v>
      </c>
      <c r="B1239" s="3" t="s">
        <v>37</v>
      </c>
      <c r="C1239" s="3">
        <v>7</v>
      </c>
      <c r="D1239" s="6">
        <v>44.5</v>
      </c>
      <c r="E1239" s="6">
        <v>311.5</v>
      </c>
      <c r="F1239" s="5">
        <v>45706</v>
      </c>
      <c r="G1239" s="5">
        <v>45710</v>
      </c>
      <c r="H1239" s="3" t="s">
        <v>31</v>
      </c>
      <c r="I1239" s="4" t="s">
        <v>45</v>
      </c>
      <c r="J1239" s="3">
        <v>5</v>
      </c>
      <c r="K1239" s="3" t="s">
        <v>116</v>
      </c>
      <c r="L1239" s="3">
        <v>4</v>
      </c>
      <c r="M1239" s="3">
        <v>8</v>
      </c>
      <c r="N1239" s="3" t="s">
        <v>33</v>
      </c>
    </row>
    <row r="1240" spans="1:14" x14ac:dyDescent="0.3">
      <c r="A1240" s="7" t="s">
        <v>1323</v>
      </c>
      <c r="B1240" s="7" t="s">
        <v>30</v>
      </c>
      <c r="C1240" s="7">
        <v>1</v>
      </c>
      <c r="D1240" s="10">
        <v>141</v>
      </c>
      <c r="E1240" s="10">
        <v>141</v>
      </c>
      <c r="F1240" s="9">
        <v>45706</v>
      </c>
      <c r="G1240" s="9">
        <v>45707</v>
      </c>
      <c r="H1240" s="7" t="s">
        <v>26</v>
      </c>
      <c r="I1240" s="8" t="s">
        <v>75</v>
      </c>
      <c r="J1240" s="7">
        <v>5</v>
      </c>
      <c r="K1240" s="7" t="s">
        <v>116</v>
      </c>
      <c r="L1240" s="7">
        <v>1</v>
      </c>
      <c r="M1240" s="7">
        <v>8</v>
      </c>
      <c r="N1240" s="7" t="s">
        <v>28</v>
      </c>
    </row>
    <row r="1241" spans="1:14" x14ac:dyDescent="0.3">
      <c r="A1241" s="3" t="s">
        <v>1324</v>
      </c>
      <c r="B1241" s="3" t="s">
        <v>20</v>
      </c>
      <c r="C1241" s="3">
        <v>3</v>
      </c>
      <c r="D1241" s="6">
        <v>16.7</v>
      </c>
      <c r="E1241" s="6">
        <v>50.099999999999987</v>
      </c>
      <c r="F1241" s="5">
        <v>45706</v>
      </c>
      <c r="G1241" s="5">
        <v>45714</v>
      </c>
      <c r="H1241" s="3" t="s">
        <v>31</v>
      </c>
      <c r="I1241" s="4" t="s">
        <v>21</v>
      </c>
      <c r="J1241" s="3">
        <v>4</v>
      </c>
      <c r="K1241" s="3" t="s">
        <v>119</v>
      </c>
      <c r="L1241" s="3">
        <v>8</v>
      </c>
      <c r="M1241" s="3">
        <v>8</v>
      </c>
      <c r="N1241" s="3" t="s">
        <v>33</v>
      </c>
    </row>
    <row r="1242" spans="1:14" x14ac:dyDescent="0.3">
      <c r="A1242" s="7" t="s">
        <v>1325</v>
      </c>
      <c r="B1242" s="7" t="s">
        <v>25</v>
      </c>
      <c r="C1242" s="7">
        <v>2</v>
      </c>
      <c r="D1242" s="10">
        <v>77.5</v>
      </c>
      <c r="E1242" s="10">
        <v>155</v>
      </c>
      <c r="F1242" s="9">
        <v>45706</v>
      </c>
      <c r="G1242" s="9">
        <v>45707</v>
      </c>
      <c r="H1242" s="7"/>
      <c r="I1242" s="8" t="s">
        <v>45</v>
      </c>
      <c r="J1242" s="7">
        <v>5</v>
      </c>
      <c r="K1242" s="7" t="s">
        <v>87</v>
      </c>
      <c r="L1242" s="7">
        <v>1</v>
      </c>
      <c r="M1242" s="7">
        <v>8</v>
      </c>
      <c r="N1242" s="7" t="s">
        <v>23</v>
      </c>
    </row>
    <row r="1243" spans="1:14" x14ac:dyDescent="0.3">
      <c r="A1243" s="3" t="s">
        <v>1326</v>
      </c>
      <c r="B1243" s="3" t="s">
        <v>30</v>
      </c>
      <c r="C1243" s="3">
        <v>2</v>
      </c>
      <c r="D1243" s="6">
        <v>163</v>
      </c>
      <c r="E1243" s="6">
        <v>326</v>
      </c>
      <c r="F1243" s="5">
        <v>45706</v>
      </c>
      <c r="G1243" s="5">
        <v>45712</v>
      </c>
      <c r="H1243" s="3" t="s">
        <v>31</v>
      </c>
      <c r="I1243" s="4" t="s">
        <v>75</v>
      </c>
      <c r="J1243" s="3">
        <v>4</v>
      </c>
      <c r="K1243" s="3" t="s">
        <v>121</v>
      </c>
      <c r="L1243" s="3">
        <v>6</v>
      </c>
      <c r="M1243" s="3">
        <v>8</v>
      </c>
      <c r="N1243" s="3" t="s">
        <v>33</v>
      </c>
    </row>
    <row r="1244" spans="1:14" x14ac:dyDescent="0.3">
      <c r="A1244" s="7" t="s">
        <v>1327</v>
      </c>
      <c r="B1244" s="7" t="s">
        <v>37</v>
      </c>
      <c r="C1244" s="7">
        <v>9</v>
      </c>
      <c r="D1244" s="10">
        <v>21.4</v>
      </c>
      <c r="E1244" s="10">
        <v>192.6</v>
      </c>
      <c r="F1244" s="9">
        <v>45706</v>
      </c>
      <c r="G1244" s="9">
        <v>45709</v>
      </c>
      <c r="H1244" s="7" t="s">
        <v>31</v>
      </c>
      <c r="I1244" s="8" t="s">
        <v>21</v>
      </c>
      <c r="J1244" s="7">
        <v>4</v>
      </c>
      <c r="K1244" s="7" t="s">
        <v>214</v>
      </c>
      <c r="L1244" s="7">
        <v>3</v>
      </c>
      <c r="M1244" s="7">
        <v>8</v>
      </c>
      <c r="N1244" s="7" t="s">
        <v>33</v>
      </c>
    </row>
    <row r="1245" spans="1:14" x14ac:dyDescent="0.3">
      <c r="A1245" s="3" t="s">
        <v>1328</v>
      </c>
      <c r="B1245" s="3" t="s">
        <v>59</v>
      </c>
      <c r="C1245" s="3">
        <v>11</v>
      </c>
      <c r="D1245" s="6">
        <v>31</v>
      </c>
      <c r="E1245" s="6">
        <v>341</v>
      </c>
      <c r="F1245" s="5">
        <v>45706</v>
      </c>
      <c r="G1245" s="5">
        <v>45708</v>
      </c>
      <c r="H1245" s="3" t="s">
        <v>31</v>
      </c>
      <c r="I1245" s="4" t="s">
        <v>56</v>
      </c>
      <c r="J1245" s="3">
        <v>5</v>
      </c>
      <c r="K1245" s="3" t="s">
        <v>27</v>
      </c>
      <c r="L1245" s="3">
        <v>2</v>
      </c>
      <c r="M1245" s="3">
        <v>8</v>
      </c>
      <c r="N1245" s="3" t="s">
        <v>33</v>
      </c>
    </row>
    <row r="1246" spans="1:14" x14ac:dyDescent="0.3">
      <c r="A1246" s="7" t="s">
        <v>1329</v>
      </c>
      <c r="B1246" s="7" t="s">
        <v>47</v>
      </c>
      <c r="C1246" s="7">
        <v>2</v>
      </c>
      <c r="D1246" s="10">
        <v>34.299999999999997</v>
      </c>
      <c r="E1246" s="10">
        <v>68.599999999999994</v>
      </c>
      <c r="F1246" s="9">
        <v>45706</v>
      </c>
      <c r="G1246" s="9">
        <v>45708</v>
      </c>
      <c r="H1246" s="7" t="s">
        <v>31</v>
      </c>
      <c r="I1246" s="8" t="s">
        <v>21</v>
      </c>
      <c r="J1246" s="7">
        <v>1</v>
      </c>
      <c r="K1246" s="7" t="s">
        <v>27</v>
      </c>
      <c r="L1246" s="7">
        <v>2</v>
      </c>
      <c r="M1246" s="7">
        <v>8</v>
      </c>
      <c r="N1246" s="7" t="s">
        <v>33</v>
      </c>
    </row>
    <row r="1247" spans="1:14" x14ac:dyDescent="0.3">
      <c r="A1247" s="3" t="s">
        <v>1330</v>
      </c>
      <c r="B1247" s="3" t="s">
        <v>141</v>
      </c>
      <c r="C1247" s="3">
        <v>5</v>
      </c>
      <c r="D1247" s="6">
        <v>48.2</v>
      </c>
      <c r="E1247" s="6">
        <v>241</v>
      </c>
      <c r="F1247" s="5">
        <v>45706</v>
      </c>
      <c r="G1247" s="5">
        <v>45707</v>
      </c>
      <c r="H1247" s="3" t="s">
        <v>26</v>
      </c>
      <c r="I1247" s="4" t="s">
        <v>40</v>
      </c>
      <c r="J1247" s="3">
        <v>3</v>
      </c>
      <c r="K1247" s="3" t="s">
        <v>32</v>
      </c>
      <c r="L1247" s="3">
        <v>1</v>
      </c>
      <c r="M1247" s="3">
        <v>8</v>
      </c>
      <c r="N1247" s="3" t="s">
        <v>28</v>
      </c>
    </row>
    <row r="1248" spans="1:14" x14ac:dyDescent="0.3">
      <c r="A1248" s="7" t="s">
        <v>1331</v>
      </c>
      <c r="B1248" s="7" t="s">
        <v>59</v>
      </c>
      <c r="C1248" s="7">
        <v>1</v>
      </c>
      <c r="D1248" s="10">
        <v>51.4</v>
      </c>
      <c r="E1248" s="10">
        <v>51.4</v>
      </c>
      <c r="F1248" s="9">
        <v>45706</v>
      </c>
      <c r="G1248" s="9">
        <v>45707</v>
      </c>
      <c r="H1248" s="7" t="s">
        <v>26</v>
      </c>
      <c r="I1248" s="8" t="s">
        <v>21</v>
      </c>
      <c r="J1248" s="7">
        <v>4</v>
      </c>
      <c r="K1248" s="7" t="s">
        <v>38</v>
      </c>
      <c r="L1248" s="7">
        <v>1</v>
      </c>
      <c r="M1248" s="7">
        <v>8</v>
      </c>
      <c r="N1248" s="7" t="s">
        <v>28</v>
      </c>
    </row>
    <row r="1249" spans="1:14" x14ac:dyDescent="0.3">
      <c r="A1249" s="3" t="s">
        <v>1332</v>
      </c>
      <c r="B1249" s="3" t="s">
        <v>30</v>
      </c>
      <c r="C1249" s="3">
        <v>5</v>
      </c>
      <c r="D1249" s="6">
        <v>117.2</v>
      </c>
      <c r="E1249" s="6">
        <v>586</v>
      </c>
      <c r="F1249" s="5">
        <v>45706</v>
      </c>
      <c r="G1249" s="5">
        <v>45709</v>
      </c>
      <c r="H1249" s="3" t="s">
        <v>31</v>
      </c>
      <c r="I1249" s="4" t="s">
        <v>75</v>
      </c>
      <c r="J1249" s="3">
        <v>2</v>
      </c>
      <c r="K1249" s="3" t="s">
        <v>38</v>
      </c>
      <c r="L1249" s="3">
        <v>3</v>
      </c>
      <c r="M1249" s="3">
        <v>8</v>
      </c>
      <c r="N1249" s="3" t="s">
        <v>33</v>
      </c>
    </row>
    <row r="1250" spans="1:14" x14ac:dyDescent="0.3">
      <c r="A1250" s="7" t="s">
        <v>1333</v>
      </c>
      <c r="B1250" s="7" t="s">
        <v>49</v>
      </c>
      <c r="C1250" s="7">
        <v>1</v>
      </c>
      <c r="D1250" s="10">
        <v>38.1</v>
      </c>
      <c r="E1250" s="10">
        <v>38.1</v>
      </c>
      <c r="F1250" s="9">
        <v>45706</v>
      </c>
      <c r="G1250" s="9">
        <v>45706</v>
      </c>
      <c r="H1250" s="7" t="s">
        <v>26</v>
      </c>
      <c r="I1250" s="8" t="s">
        <v>75</v>
      </c>
      <c r="J1250" s="7">
        <v>3</v>
      </c>
      <c r="K1250" s="7" t="s">
        <v>38</v>
      </c>
      <c r="L1250" s="7">
        <v>0</v>
      </c>
      <c r="M1250" s="7">
        <v>8</v>
      </c>
      <c r="N1250" s="7" t="s">
        <v>28</v>
      </c>
    </row>
    <row r="1251" spans="1:14" x14ac:dyDescent="0.3">
      <c r="A1251" s="3" t="s">
        <v>1334</v>
      </c>
      <c r="B1251" s="3" t="s">
        <v>20</v>
      </c>
      <c r="C1251" s="3">
        <v>2</v>
      </c>
      <c r="D1251" s="6">
        <v>44.1</v>
      </c>
      <c r="E1251" s="6">
        <v>88.2</v>
      </c>
      <c r="F1251" s="5">
        <v>45706</v>
      </c>
      <c r="G1251" s="5">
        <v>45708</v>
      </c>
      <c r="H1251" s="3" t="s">
        <v>31</v>
      </c>
      <c r="I1251" s="4" t="s">
        <v>45</v>
      </c>
      <c r="J1251" s="3">
        <v>4</v>
      </c>
      <c r="K1251" s="3" t="s">
        <v>38</v>
      </c>
      <c r="L1251" s="3">
        <v>2</v>
      </c>
      <c r="M1251" s="3">
        <v>8</v>
      </c>
      <c r="N1251" s="3" t="s">
        <v>33</v>
      </c>
    </row>
    <row r="1252" spans="1:14" x14ac:dyDescent="0.3">
      <c r="A1252" s="7" t="s">
        <v>1335</v>
      </c>
      <c r="B1252" s="7" t="s">
        <v>129</v>
      </c>
      <c r="C1252" s="7">
        <v>4</v>
      </c>
      <c r="D1252" s="10">
        <v>80.5</v>
      </c>
      <c r="E1252" s="10">
        <v>322</v>
      </c>
      <c r="F1252" s="9">
        <v>45706</v>
      </c>
      <c r="G1252" s="9">
        <v>45711</v>
      </c>
      <c r="H1252" s="7" t="s">
        <v>26</v>
      </c>
      <c r="I1252" s="8" t="s">
        <v>21</v>
      </c>
      <c r="J1252" s="7">
        <v>4</v>
      </c>
      <c r="K1252" s="7" t="s">
        <v>38</v>
      </c>
      <c r="L1252" s="7">
        <v>5</v>
      </c>
      <c r="M1252" s="7">
        <v>8</v>
      </c>
      <c r="N1252" s="7" t="s">
        <v>28</v>
      </c>
    </row>
    <row r="1253" spans="1:14" x14ac:dyDescent="0.3">
      <c r="A1253" s="3" t="s">
        <v>1336</v>
      </c>
      <c r="B1253" s="3" t="s">
        <v>152</v>
      </c>
      <c r="C1253" s="3">
        <v>4</v>
      </c>
      <c r="D1253" s="6">
        <v>33.6</v>
      </c>
      <c r="E1253" s="6">
        <v>134.4</v>
      </c>
      <c r="F1253" s="5">
        <v>45706</v>
      </c>
      <c r="G1253" s="5">
        <v>45711</v>
      </c>
      <c r="H1253" s="3"/>
      <c r="I1253" s="4" t="s">
        <v>21</v>
      </c>
      <c r="J1253" s="3">
        <v>5</v>
      </c>
      <c r="K1253" s="3" t="s">
        <v>38</v>
      </c>
      <c r="L1253" s="3">
        <v>5</v>
      </c>
      <c r="M1253" s="3">
        <v>8</v>
      </c>
      <c r="N1253" s="3" t="s">
        <v>23</v>
      </c>
    </row>
    <row r="1254" spans="1:14" x14ac:dyDescent="0.3">
      <c r="A1254" s="7" t="s">
        <v>1337</v>
      </c>
      <c r="B1254" s="7" t="s">
        <v>51</v>
      </c>
      <c r="C1254" s="7">
        <v>9</v>
      </c>
      <c r="D1254" s="10">
        <v>41.8</v>
      </c>
      <c r="E1254" s="10">
        <v>376.2</v>
      </c>
      <c r="F1254" s="9">
        <v>45706</v>
      </c>
      <c r="G1254" s="9">
        <v>45707</v>
      </c>
      <c r="H1254" s="7" t="s">
        <v>31</v>
      </c>
      <c r="I1254" s="8" t="s">
        <v>21</v>
      </c>
      <c r="J1254" s="7">
        <v>3</v>
      </c>
      <c r="K1254" s="7" t="s">
        <v>38</v>
      </c>
      <c r="L1254" s="7">
        <v>1</v>
      </c>
      <c r="M1254" s="7">
        <v>8</v>
      </c>
      <c r="N1254" s="7" t="s">
        <v>33</v>
      </c>
    </row>
    <row r="1255" spans="1:14" x14ac:dyDescent="0.3">
      <c r="A1255" s="3" t="s">
        <v>1338</v>
      </c>
      <c r="B1255" s="3" t="s">
        <v>25</v>
      </c>
      <c r="C1255" s="3">
        <v>2</v>
      </c>
      <c r="D1255" s="6">
        <v>106.2</v>
      </c>
      <c r="E1255" s="6">
        <v>212.4</v>
      </c>
      <c r="F1255" s="5">
        <v>45706</v>
      </c>
      <c r="G1255" s="5">
        <v>45706</v>
      </c>
      <c r="H1255" s="3" t="s">
        <v>31</v>
      </c>
      <c r="I1255" s="4" t="s">
        <v>75</v>
      </c>
      <c r="J1255" s="3">
        <v>5</v>
      </c>
      <c r="K1255" s="3" t="s">
        <v>38</v>
      </c>
      <c r="L1255" s="3">
        <v>0</v>
      </c>
      <c r="M1255" s="3">
        <v>8</v>
      </c>
      <c r="N1255" s="3" t="s">
        <v>33</v>
      </c>
    </row>
    <row r="1256" spans="1:14" x14ac:dyDescent="0.3">
      <c r="A1256" s="7" t="s">
        <v>1339</v>
      </c>
      <c r="B1256" s="7" t="s">
        <v>25</v>
      </c>
      <c r="C1256" s="7">
        <v>2</v>
      </c>
      <c r="D1256" s="10">
        <v>52.6</v>
      </c>
      <c r="E1256" s="10">
        <v>105.2</v>
      </c>
      <c r="F1256" s="9">
        <v>45706</v>
      </c>
      <c r="G1256" s="9">
        <v>45707</v>
      </c>
      <c r="H1256" s="7" t="s">
        <v>31</v>
      </c>
      <c r="I1256" s="8" t="s">
        <v>21</v>
      </c>
      <c r="J1256" s="7">
        <v>5</v>
      </c>
      <c r="K1256" s="7" t="s">
        <v>57</v>
      </c>
      <c r="L1256" s="7">
        <v>1</v>
      </c>
      <c r="M1256" s="7">
        <v>8</v>
      </c>
      <c r="N1256" s="7" t="s">
        <v>33</v>
      </c>
    </row>
    <row r="1257" spans="1:14" x14ac:dyDescent="0.3">
      <c r="A1257" s="3" t="s">
        <v>1340</v>
      </c>
      <c r="B1257" s="3" t="s">
        <v>72</v>
      </c>
      <c r="C1257" s="3">
        <v>7</v>
      </c>
      <c r="D1257" s="6">
        <v>68.5</v>
      </c>
      <c r="E1257" s="6">
        <v>479.5</v>
      </c>
      <c r="F1257" s="5">
        <v>45706</v>
      </c>
      <c r="G1257" s="5">
        <v>45707</v>
      </c>
      <c r="H1257" s="3" t="s">
        <v>31</v>
      </c>
      <c r="I1257" s="4" t="s">
        <v>40</v>
      </c>
      <c r="J1257" s="3">
        <v>4</v>
      </c>
      <c r="K1257" s="3" t="s">
        <v>57</v>
      </c>
      <c r="L1257" s="3">
        <v>1</v>
      </c>
      <c r="M1257" s="3">
        <v>8</v>
      </c>
      <c r="N1257" s="3" t="s">
        <v>33</v>
      </c>
    </row>
    <row r="1258" spans="1:14" x14ac:dyDescent="0.3">
      <c r="A1258" s="7" t="s">
        <v>1341</v>
      </c>
      <c r="B1258" s="7" t="s">
        <v>25</v>
      </c>
      <c r="C1258" s="7">
        <v>2</v>
      </c>
      <c r="D1258" s="10">
        <v>55.6</v>
      </c>
      <c r="E1258" s="10">
        <v>111.2</v>
      </c>
      <c r="F1258" s="9">
        <v>45706</v>
      </c>
      <c r="G1258" s="9">
        <v>45708</v>
      </c>
      <c r="H1258" s="7" t="s">
        <v>26</v>
      </c>
      <c r="I1258" s="8" t="s">
        <v>40</v>
      </c>
      <c r="J1258" s="7">
        <v>5</v>
      </c>
      <c r="K1258" s="7" t="s">
        <v>60</v>
      </c>
      <c r="L1258" s="7">
        <v>2</v>
      </c>
      <c r="M1258" s="7">
        <v>8</v>
      </c>
      <c r="N1258" s="7" t="s">
        <v>28</v>
      </c>
    </row>
    <row r="1259" spans="1:14" x14ac:dyDescent="0.3">
      <c r="A1259" s="3" t="s">
        <v>1342</v>
      </c>
      <c r="B1259" s="3" t="s">
        <v>30</v>
      </c>
      <c r="C1259" s="3">
        <v>3</v>
      </c>
      <c r="D1259" s="6">
        <v>134.9</v>
      </c>
      <c r="E1259" s="6">
        <v>404.7</v>
      </c>
      <c r="F1259" s="5">
        <v>45706</v>
      </c>
      <c r="G1259" s="5">
        <v>45707</v>
      </c>
      <c r="H1259" s="3" t="s">
        <v>26</v>
      </c>
      <c r="I1259" s="4" t="s">
        <v>40</v>
      </c>
      <c r="J1259" s="3">
        <v>3</v>
      </c>
      <c r="K1259" s="3" t="s">
        <v>60</v>
      </c>
      <c r="L1259" s="3">
        <v>1</v>
      </c>
      <c r="M1259" s="3">
        <v>8</v>
      </c>
      <c r="N1259" s="3" t="s">
        <v>28</v>
      </c>
    </row>
    <row r="1260" spans="1:14" x14ac:dyDescent="0.3">
      <c r="A1260" s="7" t="s">
        <v>1343</v>
      </c>
      <c r="B1260" s="7" t="s">
        <v>59</v>
      </c>
      <c r="C1260" s="7">
        <v>5</v>
      </c>
      <c r="D1260" s="10">
        <v>42.6</v>
      </c>
      <c r="E1260" s="10">
        <v>213</v>
      </c>
      <c r="F1260" s="9">
        <v>45706</v>
      </c>
      <c r="G1260" s="9">
        <v>45707</v>
      </c>
      <c r="H1260" s="7" t="s">
        <v>26</v>
      </c>
      <c r="I1260" s="8" t="s">
        <v>21</v>
      </c>
      <c r="J1260" s="7">
        <v>4</v>
      </c>
      <c r="K1260" s="7" t="s">
        <v>60</v>
      </c>
      <c r="L1260" s="7">
        <v>1</v>
      </c>
      <c r="M1260" s="7">
        <v>8</v>
      </c>
      <c r="N1260" s="7" t="s">
        <v>28</v>
      </c>
    </row>
    <row r="1261" spans="1:14" x14ac:dyDescent="0.3">
      <c r="A1261" s="3" t="s">
        <v>1344</v>
      </c>
      <c r="B1261" s="3" t="s">
        <v>47</v>
      </c>
      <c r="C1261" s="3">
        <v>5</v>
      </c>
      <c r="D1261" s="6">
        <v>60.6</v>
      </c>
      <c r="E1261" s="6">
        <v>303</v>
      </c>
      <c r="F1261" s="5">
        <v>45706</v>
      </c>
      <c r="G1261" s="5">
        <v>45708</v>
      </c>
      <c r="H1261" s="3" t="s">
        <v>26</v>
      </c>
      <c r="I1261" s="4" t="s">
        <v>75</v>
      </c>
      <c r="J1261" s="3">
        <v>4</v>
      </c>
      <c r="K1261" s="3" t="s">
        <v>60</v>
      </c>
      <c r="L1261" s="3">
        <v>2</v>
      </c>
      <c r="M1261" s="3">
        <v>8</v>
      </c>
      <c r="N1261" s="3" t="s">
        <v>28</v>
      </c>
    </row>
    <row r="1262" spans="1:14" x14ac:dyDescent="0.3">
      <c r="A1262" s="7" t="s">
        <v>1345</v>
      </c>
      <c r="B1262" s="7" t="s">
        <v>49</v>
      </c>
      <c r="C1262" s="7">
        <v>2</v>
      </c>
      <c r="D1262" s="10">
        <v>43.5</v>
      </c>
      <c r="E1262" s="10">
        <v>87</v>
      </c>
      <c r="F1262" s="9">
        <v>45706</v>
      </c>
      <c r="G1262" s="9">
        <v>45707</v>
      </c>
      <c r="H1262" s="7" t="s">
        <v>26</v>
      </c>
      <c r="I1262" s="8" t="s">
        <v>75</v>
      </c>
      <c r="J1262" s="7">
        <v>4</v>
      </c>
      <c r="K1262" s="7" t="s">
        <v>64</v>
      </c>
      <c r="L1262" s="7">
        <v>1</v>
      </c>
      <c r="M1262" s="7">
        <v>8</v>
      </c>
      <c r="N1262" s="7" t="s">
        <v>28</v>
      </c>
    </row>
    <row r="1263" spans="1:14" x14ac:dyDescent="0.3">
      <c r="A1263" s="3" t="s">
        <v>1346</v>
      </c>
      <c r="B1263" s="3" t="s">
        <v>30</v>
      </c>
      <c r="C1263" s="3">
        <v>2</v>
      </c>
      <c r="D1263" s="6">
        <v>187.1</v>
      </c>
      <c r="E1263" s="6">
        <v>374.2</v>
      </c>
      <c r="F1263" s="5">
        <v>45706</v>
      </c>
      <c r="G1263" s="5">
        <v>45707</v>
      </c>
      <c r="H1263" s="3" t="s">
        <v>26</v>
      </c>
      <c r="I1263" s="4" t="s">
        <v>40</v>
      </c>
      <c r="J1263" s="3">
        <v>5</v>
      </c>
      <c r="K1263" s="3" t="s">
        <v>67</v>
      </c>
      <c r="L1263" s="3">
        <v>1</v>
      </c>
      <c r="M1263" s="3">
        <v>8</v>
      </c>
      <c r="N1263" s="3" t="s">
        <v>28</v>
      </c>
    </row>
    <row r="1264" spans="1:14" x14ac:dyDescent="0.3">
      <c r="A1264" s="7" t="s">
        <v>1347</v>
      </c>
      <c r="B1264" s="7" t="s">
        <v>51</v>
      </c>
      <c r="C1264" s="7">
        <v>3</v>
      </c>
      <c r="D1264" s="10">
        <v>32</v>
      </c>
      <c r="E1264" s="10">
        <v>96</v>
      </c>
      <c r="F1264" s="9">
        <v>45706</v>
      </c>
      <c r="G1264" s="9">
        <v>45708</v>
      </c>
      <c r="H1264" s="7" t="s">
        <v>26</v>
      </c>
      <c r="I1264" s="8" t="s">
        <v>21</v>
      </c>
      <c r="J1264" s="7">
        <v>4</v>
      </c>
      <c r="K1264" s="7" t="s">
        <v>67</v>
      </c>
      <c r="L1264" s="7">
        <v>2</v>
      </c>
      <c r="M1264" s="7">
        <v>8</v>
      </c>
      <c r="N1264" s="7" t="s">
        <v>28</v>
      </c>
    </row>
    <row r="1265" spans="1:14" x14ac:dyDescent="0.3">
      <c r="A1265" s="3" t="s">
        <v>1348</v>
      </c>
      <c r="B1265" s="3" t="s">
        <v>51</v>
      </c>
      <c r="C1265" s="3">
        <v>2</v>
      </c>
      <c r="D1265" s="6">
        <v>110.8</v>
      </c>
      <c r="E1265" s="6">
        <v>221.6</v>
      </c>
      <c r="F1265" s="5">
        <v>45706</v>
      </c>
      <c r="G1265" s="5">
        <v>45706</v>
      </c>
      <c r="H1265" s="3" t="s">
        <v>26</v>
      </c>
      <c r="I1265" s="4" t="s">
        <v>21</v>
      </c>
      <c r="J1265" s="3">
        <v>5</v>
      </c>
      <c r="K1265" s="3" t="s">
        <v>67</v>
      </c>
      <c r="L1265" s="3">
        <v>0</v>
      </c>
      <c r="M1265" s="3">
        <v>8</v>
      </c>
      <c r="N1265" s="3" t="s">
        <v>28</v>
      </c>
    </row>
    <row r="1266" spans="1:14" x14ac:dyDescent="0.3">
      <c r="A1266" s="7" t="s">
        <v>1349</v>
      </c>
      <c r="B1266" s="7" t="s">
        <v>59</v>
      </c>
      <c r="C1266" s="7">
        <v>13</v>
      </c>
      <c r="D1266" s="10">
        <v>36.1</v>
      </c>
      <c r="E1266" s="10">
        <v>469.3</v>
      </c>
      <c r="F1266" s="9">
        <v>45706</v>
      </c>
      <c r="G1266" s="9">
        <v>45709</v>
      </c>
      <c r="H1266" s="7" t="s">
        <v>31</v>
      </c>
      <c r="I1266" s="8" t="s">
        <v>21</v>
      </c>
      <c r="J1266" s="7">
        <v>3</v>
      </c>
      <c r="K1266" s="7" t="s">
        <v>67</v>
      </c>
      <c r="L1266" s="7">
        <v>3</v>
      </c>
      <c r="M1266" s="7">
        <v>8</v>
      </c>
      <c r="N1266" s="7" t="s">
        <v>33</v>
      </c>
    </row>
    <row r="1267" spans="1:14" x14ac:dyDescent="0.3">
      <c r="A1267" s="3" t="s">
        <v>1350</v>
      </c>
      <c r="B1267" s="3" t="s">
        <v>20</v>
      </c>
      <c r="C1267" s="3">
        <v>1</v>
      </c>
      <c r="D1267" s="6">
        <v>24.1</v>
      </c>
      <c r="E1267" s="6">
        <v>24.1</v>
      </c>
      <c r="F1267" s="5">
        <v>45706</v>
      </c>
      <c r="G1267" s="5">
        <v>45708</v>
      </c>
      <c r="H1267" s="3" t="s">
        <v>31</v>
      </c>
      <c r="I1267" s="4" t="s">
        <v>75</v>
      </c>
      <c r="J1267" s="3">
        <v>5</v>
      </c>
      <c r="K1267" s="3" t="s">
        <v>67</v>
      </c>
      <c r="L1267" s="3">
        <v>2</v>
      </c>
      <c r="M1267" s="3">
        <v>8</v>
      </c>
      <c r="N1267" s="3" t="s">
        <v>33</v>
      </c>
    </row>
    <row r="1268" spans="1:14" x14ac:dyDescent="0.3">
      <c r="A1268" s="7" t="s">
        <v>1351</v>
      </c>
      <c r="B1268" s="7" t="s">
        <v>177</v>
      </c>
      <c r="C1268" s="7">
        <v>3</v>
      </c>
      <c r="D1268" s="10">
        <v>30.5</v>
      </c>
      <c r="E1268" s="10">
        <v>91.5</v>
      </c>
      <c r="F1268" s="9">
        <v>45706</v>
      </c>
      <c r="G1268" s="9">
        <v>45708</v>
      </c>
      <c r="H1268" s="7" t="s">
        <v>26</v>
      </c>
      <c r="I1268" s="8" t="s">
        <v>40</v>
      </c>
      <c r="J1268" s="7">
        <v>4</v>
      </c>
      <c r="K1268" s="7" t="s">
        <v>67</v>
      </c>
      <c r="L1268" s="7">
        <v>2</v>
      </c>
      <c r="M1268" s="7">
        <v>8</v>
      </c>
      <c r="N1268" s="7" t="s">
        <v>28</v>
      </c>
    </row>
    <row r="1269" spans="1:14" x14ac:dyDescent="0.3">
      <c r="A1269" s="3" t="s">
        <v>1352</v>
      </c>
      <c r="B1269" s="3" t="s">
        <v>152</v>
      </c>
      <c r="C1269" s="3">
        <v>6</v>
      </c>
      <c r="D1269" s="6">
        <v>68.3</v>
      </c>
      <c r="E1269" s="6">
        <v>409.8</v>
      </c>
      <c r="F1269" s="5">
        <v>45706</v>
      </c>
      <c r="G1269" s="5">
        <v>45709</v>
      </c>
      <c r="H1269" s="3" t="s">
        <v>26</v>
      </c>
      <c r="I1269" s="4" t="s">
        <v>21</v>
      </c>
      <c r="J1269" s="3">
        <v>4</v>
      </c>
      <c r="K1269" s="3" t="s">
        <v>67</v>
      </c>
      <c r="L1269" s="3">
        <v>3</v>
      </c>
      <c r="M1269" s="3">
        <v>8</v>
      </c>
      <c r="N1269" s="3" t="s">
        <v>28</v>
      </c>
    </row>
    <row r="1270" spans="1:14" x14ac:dyDescent="0.3">
      <c r="A1270" s="7" t="s">
        <v>1353</v>
      </c>
      <c r="B1270" s="7" t="s">
        <v>47</v>
      </c>
      <c r="C1270" s="7">
        <v>3</v>
      </c>
      <c r="D1270" s="10">
        <v>43.3</v>
      </c>
      <c r="E1270" s="10">
        <v>129.9</v>
      </c>
      <c r="F1270" s="9">
        <v>45706</v>
      </c>
      <c r="G1270" s="9">
        <v>45710</v>
      </c>
      <c r="H1270" s="7" t="s">
        <v>31</v>
      </c>
      <c r="I1270" s="8" t="s">
        <v>21</v>
      </c>
      <c r="J1270" s="7">
        <v>4</v>
      </c>
      <c r="K1270" s="7" t="s">
        <v>109</v>
      </c>
      <c r="L1270" s="7">
        <v>4</v>
      </c>
      <c r="M1270" s="7">
        <v>8</v>
      </c>
      <c r="N1270" s="7" t="s">
        <v>33</v>
      </c>
    </row>
    <row r="1271" spans="1:14" x14ac:dyDescent="0.3">
      <c r="A1271" s="3" t="s">
        <v>1354</v>
      </c>
      <c r="B1271" s="3" t="s">
        <v>35</v>
      </c>
      <c r="C1271" s="3">
        <v>1</v>
      </c>
      <c r="D1271" s="6">
        <v>101.7</v>
      </c>
      <c r="E1271" s="6">
        <v>101.7</v>
      </c>
      <c r="F1271" s="5">
        <v>45706</v>
      </c>
      <c r="G1271" s="5">
        <v>45709</v>
      </c>
      <c r="H1271" s="3" t="s">
        <v>31</v>
      </c>
      <c r="I1271" s="4" t="s">
        <v>21</v>
      </c>
      <c r="J1271" s="3">
        <v>3</v>
      </c>
      <c r="K1271" s="3" t="s">
        <v>109</v>
      </c>
      <c r="L1271" s="3">
        <v>3</v>
      </c>
      <c r="M1271" s="3">
        <v>8</v>
      </c>
      <c r="N1271" s="3" t="s">
        <v>33</v>
      </c>
    </row>
    <row r="1272" spans="1:14" x14ac:dyDescent="0.3">
      <c r="A1272" s="7" t="s">
        <v>1355</v>
      </c>
      <c r="B1272" s="7" t="s">
        <v>72</v>
      </c>
      <c r="C1272" s="7">
        <v>2</v>
      </c>
      <c r="D1272" s="10">
        <v>54.2</v>
      </c>
      <c r="E1272" s="10">
        <v>108.4</v>
      </c>
      <c r="F1272" s="9">
        <v>45706</v>
      </c>
      <c r="G1272" s="9">
        <v>45707</v>
      </c>
      <c r="H1272" s="7" t="s">
        <v>31</v>
      </c>
      <c r="I1272" s="8" t="s">
        <v>21</v>
      </c>
      <c r="J1272" s="7">
        <v>3</v>
      </c>
      <c r="K1272" s="7" t="s">
        <v>109</v>
      </c>
      <c r="L1272" s="7">
        <v>1</v>
      </c>
      <c r="M1272" s="7">
        <v>8</v>
      </c>
      <c r="N1272" s="7" t="s">
        <v>33</v>
      </c>
    </row>
    <row r="1273" spans="1:14" x14ac:dyDescent="0.3">
      <c r="A1273" s="3" t="s">
        <v>1356</v>
      </c>
      <c r="B1273" s="3" t="s">
        <v>134</v>
      </c>
      <c r="C1273" s="3">
        <v>2</v>
      </c>
      <c r="D1273" s="6">
        <v>51</v>
      </c>
      <c r="E1273" s="6">
        <v>102</v>
      </c>
      <c r="F1273" s="5">
        <v>45706</v>
      </c>
      <c r="G1273" s="5">
        <v>45706</v>
      </c>
      <c r="H1273" s="3" t="s">
        <v>26</v>
      </c>
      <c r="I1273" s="4" t="s">
        <v>40</v>
      </c>
      <c r="J1273" s="3">
        <v>4</v>
      </c>
      <c r="K1273" s="3" t="s">
        <v>207</v>
      </c>
      <c r="L1273" s="3">
        <v>0</v>
      </c>
      <c r="M1273" s="3">
        <v>8</v>
      </c>
      <c r="N1273" s="3" t="s">
        <v>28</v>
      </c>
    </row>
    <row r="1274" spans="1:14" x14ac:dyDescent="0.3">
      <c r="A1274" s="7" t="s">
        <v>1357</v>
      </c>
      <c r="B1274" s="7" t="s">
        <v>37</v>
      </c>
      <c r="C1274" s="7">
        <v>2</v>
      </c>
      <c r="D1274" s="10">
        <v>23.1</v>
      </c>
      <c r="E1274" s="10">
        <v>46.2</v>
      </c>
      <c r="F1274" s="9">
        <v>45706</v>
      </c>
      <c r="G1274" s="9">
        <v>45709</v>
      </c>
      <c r="H1274" s="7" t="s">
        <v>26</v>
      </c>
      <c r="I1274" s="8" t="s">
        <v>40</v>
      </c>
      <c r="J1274" s="7">
        <v>4</v>
      </c>
      <c r="K1274" s="7" t="s">
        <v>79</v>
      </c>
      <c r="L1274" s="7">
        <v>3</v>
      </c>
      <c r="M1274" s="7">
        <v>8</v>
      </c>
      <c r="N1274" s="7" t="s">
        <v>28</v>
      </c>
    </row>
    <row r="1275" spans="1:14" x14ac:dyDescent="0.3">
      <c r="A1275" s="3" t="s">
        <v>1358</v>
      </c>
      <c r="B1275" s="3" t="s">
        <v>74</v>
      </c>
      <c r="C1275" s="3">
        <v>6</v>
      </c>
      <c r="D1275" s="6">
        <v>60.1</v>
      </c>
      <c r="E1275" s="6">
        <v>360.6</v>
      </c>
      <c r="F1275" s="5">
        <v>45706</v>
      </c>
      <c r="G1275" s="5">
        <v>45706</v>
      </c>
      <c r="H1275" s="3" t="s">
        <v>31</v>
      </c>
      <c r="I1275" s="4" t="s">
        <v>56</v>
      </c>
      <c r="J1275" s="3">
        <v>4</v>
      </c>
      <c r="K1275" s="3" t="s">
        <v>82</v>
      </c>
      <c r="L1275" s="3">
        <v>0</v>
      </c>
      <c r="M1275" s="3">
        <v>8</v>
      </c>
      <c r="N1275" s="3" t="s">
        <v>33</v>
      </c>
    </row>
    <row r="1276" spans="1:14" x14ac:dyDescent="0.3">
      <c r="A1276" s="7" t="s">
        <v>1359</v>
      </c>
      <c r="B1276" s="7" t="s">
        <v>30</v>
      </c>
      <c r="C1276" s="7">
        <v>7</v>
      </c>
      <c r="D1276" s="10">
        <v>87.5</v>
      </c>
      <c r="E1276" s="10">
        <v>612.5</v>
      </c>
      <c r="F1276" s="9">
        <v>45706</v>
      </c>
      <c r="G1276" s="9">
        <v>45708</v>
      </c>
      <c r="H1276" s="7" t="s">
        <v>31</v>
      </c>
      <c r="I1276" s="8" t="s">
        <v>21</v>
      </c>
      <c r="J1276" s="7">
        <v>3</v>
      </c>
      <c r="K1276" s="7" t="s">
        <v>82</v>
      </c>
      <c r="L1276" s="7">
        <v>2</v>
      </c>
      <c r="M1276" s="7">
        <v>8</v>
      </c>
      <c r="N1276" s="7" t="s">
        <v>33</v>
      </c>
    </row>
    <row r="1277" spans="1:14" x14ac:dyDescent="0.3">
      <c r="A1277" s="3" t="s">
        <v>1360</v>
      </c>
      <c r="B1277" s="3" t="s">
        <v>25</v>
      </c>
      <c r="C1277" s="3">
        <v>3</v>
      </c>
      <c r="D1277" s="6">
        <v>51</v>
      </c>
      <c r="E1277" s="6">
        <v>153</v>
      </c>
      <c r="F1277" s="5">
        <v>45706</v>
      </c>
      <c r="G1277" s="5">
        <v>45707</v>
      </c>
      <c r="H1277" s="3" t="s">
        <v>31</v>
      </c>
      <c r="I1277" s="4" t="s">
        <v>40</v>
      </c>
      <c r="J1277" s="3">
        <v>4</v>
      </c>
      <c r="K1277" s="3" t="s">
        <v>82</v>
      </c>
      <c r="L1277" s="3">
        <v>1</v>
      </c>
      <c r="M1277" s="3">
        <v>8</v>
      </c>
      <c r="N1277" s="3" t="s">
        <v>33</v>
      </c>
    </row>
    <row r="1278" spans="1:14" x14ac:dyDescent="0.3">
      <c r="A1278" s="7" t="s">
        <v>1361</v>
      </c>
      <c r="B1278" s="7" t="s">
        <v>49</v>
      </c>
      <c r="C1278" s="7">
        <v>4</v>
      </c>
      <c r="D1278" s="10">
        <v>19.2</v>
      </c>
      <c r="E1278" s="10">
        <v>76.8</v>
      </c>
      <c r="F1278" s="9">
        <v>45706</v>
      </c>
      <c r="G1278" s="9">
        <v>45708</v>
      </c>
      <c r="H1278" s="7" t="s">
        <v>31</v>
      </c>
      <c r="I1278" s="8" t="s">
        <v>21</v>
      </c>
      <c r="J1278" s="7">
        <v>4</v>
      </c>
      <c r="K1278" s="7" t="s">
        <v>82</v>
      </c>
      <c r="L1278" s="7">
        <v>2</v>
      </c>
      <c r="M1278" s="7">
        <v>8</v>
      </c>
      <c r="N1278" s="7" t="s">
        <v>33</v>
      </c>
    </row>
    <row r="1279" spans="1:14" x14ac:dyDescent="0.3">
      <c r="A1279" s="3" t="s">
        <v>1362</v>
      </c>
      <c r="B1279" s="3" t="s">
        <v>42</v>
      </c>
      <c r="C1279" s="3">
        <v>8</v>
      </c>
      <c r="D1279" s="6">
        <v>26.5</v>
      </c>
      <c r="E1279" s="6">
        <v>212</v>
      </c>
      <c r="F1279" s="5">
        <v>45706</v>
      </c>
      <c r="G1279" s="5">
        <v>45707</v>
      </c>
      <c r="H1279" s="3"/>
      <c r="I1279" s="4" t="s">
        <v>56</v>
      </c>
      <c r="J1279" s="3">
        <v>5</v>
      </c>
      <c r="K1279" s="3" t="s">
        <v>82</v>
      </c>
      <c r="L1279" s="3">
        <v>1</v>
      </c>
      <c r="M1279" s="3">
        <v>8</v>
      </c>
      <c r="N1279" s="3" t="s">
        <v>23</v>
      </c>
    </row>
    <row r="1280" spans="1:14" x14ac:dyDescent="0.3">
      <c r="A1280" s="7" t="s">
        <v>1363</v>
      </c>
      <c r="B1280" s="7" t="s">
        <v>30</v>
      </c>
      <c r="C1280" s="7">
        <v>2</v>
      </c>
      <c r="D1280" s="10">
        <v>220.3</v>
      </c>
      <c r="E1280" s="10">
        <v>440.6</v>
      </c>
      <c r="F1280" s="9">
        <v>45706</v>
      </c>
      <c r="G1280" s="9">
        <v>45707</v>
      </c>
      <c r="H1280" s="7" t="s">
        <v>31</v>
      </c>
      <c r="I1280" s="8" t="s">
        <v>40</v>
      </c>
      <c r="J1280" s="7">
        <v>2</v>
      </c>
      <c r="K1280" s="7" t="s">
        <v>264</v>
      </c>
      <c r="L1280" s="7">
        <v>1</v>
      </c>
      <c r="M1280" s="7">
        <v>8</v>
      </c>
      <c r="N1280" s="7" t="s">
        <v>33</v>
      </c>
    </row>
    <row r="1281" spans="1:14" x14ac:dyDescent="0.3">
      <c r="A1281" s="3" t="s">
        <v>1364</v>
      </c>
      <c r="B1281" s="3" t="s">
        <v>49</v>
      </c>
      <c r="C1281" s="3">
        <v>3</v>
      </c>
      <c r="D1281" s="6">
        <v>45.7</v>
      </c>
      <c r="E1281" s="6">
        <v>137.1</v>
      </c>
      <c r="F1281" s="5">
        <v>45706</v>
      </c>
      <c r="G1281" s="5">
        <v>45707</v>
      </c>
      <c r="H1281" s="3" t="s">
        <v>31</v>
      </c>
      <c r="I1281" s="4" t="s">
        <v>75</v>
      </c>
      <c r="J1281" s="3">
        <v>4</v>
      </c>
      <c r="K1281" s="3" t="s">
        <v>274</v>
      </c>
      <c r="L1281" s="3">
        <v>1</v>
      </c>
      <c r="M1281" s="3">
        <v>8</v>
      </c>
      <c r="N1281" s="3" t="s">
        <v>33</v>
      </c>
    </row>
    <row r="1282" spans="1:14" x14ac:dyDescent="0.3">
      <c r="A1282" s="7" t="s">
        <v>1365</v>
      </c>
      <c r="B1282" s="7" t="s">
        <v>42</v>
      </c>
      <c r="C1282" s="7">
        <v>5</v>
      </c>
      <c r="D1282" s="10">
        <v>47.1</v>
      </c>
      <c r="E1282" s="10">
        <v>235.5</v>
      </c>
      <c r="F1282" s="9">
        <v>45706</v>
      </c>
      <c r="G1282" s="9">
        <v>45710</v>
      </c>
      <c r="H1282" s="7" t="s">
        <v>31</v>
      </c>
      <c r="I1282" s="8" t="s">
        <v>56</v>
      </c>
      <c r="J1282" s="7">
        <v>4</v>
      </c>
      <c r="K1282" s="7" t="s">
        <v>87</v>
      </c>
      <c r="L1282" s="7">
        <v>4</v>
      </c>
      <c r="M1282" s="7">
        <v>8</v>
      </c>
      <c r="N1282" s="7" t="s">
        <v>33</v>
      </c>
    </row>
    <row r="1283" spans="1:14" x14ac:dyDescent="0.3">
      <c r="A1283" s="3" t="s">
        <v>1366</v>
      </c>
      <c r="B1283" s="3" t="s">
        <v>25</v>
      </c>
      <c r="C1283" s="3">
        <v>5</v>
      </c>
      <c r="D1283" s="6">
        <v>81.7</v>
      </c>
      <c r="E1283" s="6">
        <v>408.5</v>
      </c>
      <c r="F1283" s="5">
        <v>45706</v>
      </c>
      <c r="G1283" s="5">
        <v>45707</v>
      </c>
      <c r="H1283" s="3" t="s">
        <v>31</v>
      </c>
      <c r="I1283" s="4" t="s">
        <v>21</v>
      </c>
      <c r="J1283" s="3">
        <v>5</v>
      </c>
      <c r="K1283" s="3" t="s">
        <v>121</v>
      </c>
      <c r="L1283" s="3">
        <v>1</v>
      </c>
      <c r="M1283" s="3">
        <v>8</v>
      </c>
      <c r="N1283" s="3" t="s">
        <v>33</v>
      </c>
    </row>
    <row r="1284" spans="1:14" x14ac:dyDescent="0.3">
      <c r="A1284" s="7" t="s">
        <v>1367</v>
      </c>
      <c r="B1284" s="7" t="s">
        <v>44</v>
      </c>
      <c r="C1284" s="7">
        <v>10</v>
      </c>
      <c r="D1284" s="10">
        <v>97.8</v>
      </c>
      <c r="E1284" s="10">
        <v>978</v>
      </c>
      <c r="F1284" s="9">
        <v>45706</v>
      </c>
      <c r="G1284" s="9">
        <v>45706</v>
      </c>
      <c r="H1284" s="7" t="s">
        <v>26</v>
      </c>
      <c r="I1284" s="8" t="s">
        <v>40</v>
      </c>
      <c r="J1284" s="7">
        <v>3</v>
      </c>
      <c r="K1284" s="7" t="s">
        <v>121</v>
      </c>
      <c r="L1284" s="7">
        <v>0</v>
      </c>
      <c r="M1284" s="7">
        <v>8</v>
      </c>
      <c r="N1284" s="7" t="s">
        <v>28</v>
      </c>
    </row>
    <row r="1285" spans="1:14" x14ac:dyDescent="0.3">
      <c r="A1285" s="3" t="s">
        <v>1368</v>
      </c>
      <c r="B1285" s="3" t="s">
        <v>44</v>
      </c>
      <c r="C1285" s="3">
        <v>3</v>
      </c>
      <c r="D1285" s="6">
        <v>42.4</v>
      </c>
      <c r="E1285" s="6">
        <v>127.2</v>
      </c>
      <c r="F1285" s="5">
        <v>45706</v>
      </c>
      <c r="G1285" s="5">
        <v>45707</v>
      </c>
      <c r="H1285" s="3" t="s">
        <v>31</v>
      </c>
      <c r="I1285" s="4" t="s">
        <v>21</v>
      </c>
      <c r="J1285" s="3">
        <v>5</v>
      </c>
      <c r="K1285" s="3" t="s">
        <v>274</v>
      </c>
      <c r="L1285" s="3">
        <v>1</v>
      </c>
      <c r="M1285" s="3">
        <v>8</v>
      </c>
      <c r="N1285" s="3" t="s">
        <v>33</v>
      </c>
    </row>
    <row r="1286" spans="1:14" x14ac:dyDescent="0.3">
      <c r="A1286" s="7" t="s">
        <v>1369</v>
      </c>
      <c r="B1286" s="7" t="s">
        <v>30</v>
      </c>
      <c r="C1286" s="7">
        <v>10</v>
      </c>
      <c r="D1286" s="10">
        <v>74.5</v>
      </c>
      <c r="E1286" s="10">
        <v>745</v>
      </c>
      <c r="F1286" s="9">
        <v>45706</v>
      </c>
      <c r="G1286" s="9">
        <v>45707</v>
      </c>
      <c r="H1286" s="7" t="s">
        <v>26</v>
      </c>
      <c r="I1286" s="8" t="s">
        <v>45</v>
      </c>
      <c r="J1286" s="7">
        <v>3</v>
      </c>
      <c r="K1286" s="7" t="s">
        <v>27</v>
      </c>
      <c r="L1286" s="7">
        <v>1</v>
      </c>
      <c r="M1286" s="7">
        <v>8</v>
      </c>
      <c r="N1286" s="7" t="s">
        <v>28</v>
      </c>
    </row>
    <row r="1287" spans="1:14" x14ac:dyDescent="0.3">
      <c r="A1287" s="3" t="s">
        <v>1370</v>
      </c>
      <c r="B1287" s="3" t="s">
        <v>141</v>
      </c>
      <c r="C1287" s="3">
        <v>6</v>
      </c>
      <c r="D1287" s="6">
        <v>47.4</v>
      </c>
      <c r="E1287" s="6">
        <v>284.39999999999998</v>
      </c>
      <c r="F1287" s="5">
        <v>45706</v>
      </c>
      <c r="G1287" s="5">
        <v>45707</v>
      </c>
      <c r="H1287" s="3" t="s">
        <v>26</v>
      </c>
      <c r="I1287" s="4" t="s">
        <v>40</v>
      </c>
      <c r="J1287" s="3">
        <v>4</v>
      </c>
      <c r="K1287" s="3" t="s">
        <v>27</v>
      </c>
      <c r="L1287" s="3">
        <v>1</v>
      </c>
      <c r="M1287" s="3">
        <v>8</v>
      </c>
      <c r="N1287" s="3" t="s">
        <v>28</v>
      </c>
    </row>
    <row r="1288" spans="1:14" x14ac:dyDescent="0.3">
      <c r="A1288" s="7" t="s">
        <v>1371</v>
      </c>
      <c r="B1288" s="7" t="s">
        <v>86</v>
      </c>
      <c r="C1288" s="7">
        <v>3</v>
      </c>
      <c r="D1288" s="10">
        <v>17.3</v>
      </c>
      <c r="E1288" s="10">
        <v>51.900000000000013</v>
      </c>
      <c r="F1288" s="9">
        <v>45707</v>
      </c>
      <c r="G1288" s="9">
        <v>45710</v>
      </c>
      <c r="H1288" s="7" t="s">
        <v>26</v>
      </c>
      <c r="I1288" s="8" t="s">
        <v>45</v>
      </c>
      <c r="J1288" s="7">
        <v>5</v>
      </c>
      <c r="K1288" s="7" t="s">
        <v>27</v>
      </c>
      <c r="L1288" s="7">
        <v>3</v>
      </c>
      <c r="M1288" s="7">
        <v>8</v>
      </c>
      <c r="N1288" s="7" t="s">
        <v>28</v>
      </c>
    </row>
    <row r="1289" spans="1:14" x14ac:dyDescent="0.3">
      <c r="A1289" s="3" t="s">
        <v>1372</v>
      </c>
      <c r="B1289" s="3" t="s">
        <v>74</v>
      </c>
      <c r="C1289" s="3">
        <v>4</v>
      </c>
      <c r="D1289" s="6">
        <v>77.900000000000006</v>
      </c>
      <c r="E1289" s="6">
        <v>311.60000000000002</v>
      </c>
      <c r="F1289" s="5">
        <v>45707</v>
      </c>
      <c r="G1289" s="5">
        <v>45708</v>
      </c>
      <c r="H1289" s="3" t="s">
        <v>26</v>
      </c>
      <c r="I1289" s="4" t="s">
        <v>40</v>
      </c>
      <c r="J1289" s="3">
        <v>4</v>
      </c>
      <c r="K1289" s="3" t="s">
        <v>32</v>
      </c>
      <c r="L1289" s="3">
        <v>1</v>
      </c>
      <c r="M1289" s="3">
        <v>8</v>
      </c>
      <c r="N1289" s="3" t="s">
        <v>28</v>
      </c>
    </row>
    <row r="1290" spans="1:14" x14ac:dyDescent="0.3">
      <c r="A1290" s="7" t="s">
        <v>1373</v>
      </c>
      <c r="B1290" s="7" t="s">
        <v>49</v>
      </c>
      <c r="C1290" s="7">
        <v>1</v>
      </c>
      <c r="D1290" s="10">
        <v>29.1</v>
      </c>
      <c r="E1290" s="10">
        <v>29.1</v>
      </c>
      <c r="F1290" s="9">
        <v>45707</v>
      </c>
      <c r="G1290" s="9">
        <v>45710</v>
      </c>
      <c r="H1290" s="7" t="s">
        <v>26</v>
      </c>
      <c r="I1290" s="8" t="s">
        <v>21</v>
      </c>
      <c r="J1290" s="7">
        <v>5</v>
      </c>
      <c r="K1290" s="7" t="s">
        <v>207</v>
      </c>
      <c r="L1290" s="7">
        <v>3</v>
      </c>
      <c r="M1290" s="7">
        <v>8</v>
      </c>
      <c r="N1290" s="7" t="s">
        <v>28</v>
      </c>
    </row>
    <row r="1291" spans="1:14" x14ac:dyDescent="0.3">
      <c r="A1291" s="3" t="s">
        <v>1374</v>
      </c>
      <c r="B1291" s="3" t="s">
        <v>49</v>
      </c>
      <c r="C1291" s="3">
        <v>1</v>
      </c>
      <c r="D1291" s="6">
        <v>49</v>
      </c>
      <c r="E1291" s="6">
        <v>49</v>
      </c>
      <c r="F1291" s="5">
        <v>45707</v>
      </c>
      <c r="G1291" s="5">
        <v>45708</v>
      </c>
      <c r="H1291" s="3" t="s">
        <v>26</v>
      </c>
      <c r="I1291" s="4" t="s">
        <v>40</v>
      </c>
      <c r="J1291" s="3">
        <v>4</v>
      </c>
      <c r="K1291" s="3" t="s">
        <v>38</v>
      </c>
      <c r="L1291" s="3">
        <v>1</v>
      </c>
      <c r="M1291" s="3">
        <v>8</v>
      </c>
      <c r="N1291" s="3" t="s">
        <v>28</v>
      </c>
    </row>
    <row r="1292" spans="1:14" x14ac:dyDescent="0.3">
      <c r="A1292" s="7" t="s">
        <v>1375</v>
      </c>
      <c r="B1292" s="7" t="s">
        <v>49</v>
      </c>
      <c r="C1292" s="7">
        <v>6</v>
      </c>
      <c r="D1292" s="10">
        <v>21.1</v>
      </c>
      <c r="E1292" s="10">
        <v>126.6</v>
      </c>
      <c r="F1292" s="9">
        <v>45707</v>
      </c>
      <c r="G1292" s="9">
        <v>45714</v>
      </c>
      <c r="H1292" s="7" t="s">
        <v>26</v>
      </c>
      <c r="I1292" s="8" t="s">
        <v>21</v>
      </c>
      <c r="J1292" s="7">
        <v>5</v>
      </c>
      <c r="K1292" s="7" t="s">
        <v>38</v>
      </c>
      <c r="L1292" s="7">
        <v>7</v>
      </c>
      <c r="M1292" s="7">
        <v>8</v>
      </c>
      <c r="N1292" s="7" t="s">
        <v>28</v>
      </c>
    </row>
    <row r="1293" spans="1:14" x14ac:dyDescent="0.3">
      <c r="A1293" s="3" t="s">
        <v>1376</v>
      </c>
      <c r="B1293" s="3" t="s">
        <v>37</v>
      </c>
      <c r="C1293" s="3">
        <v>19</v>
      </c>
      <c r="D1293" s="6">
        <v>36.9</v>
      </c>
      <c r="E1293" s="6">
        <v>701.1</v>
      </c>
      <c r="F1293" s="5">
        <v>45707</v>
      </c>
      <c r="G1293" s="5">
        <v>45707</v>
      </c>
      <c r="H1293" s="3" t="s">
        <v>31</v>
      </c>
      <c r="I1293" s="4" t="s">
        <v>21</v>
      </c>
      <c r="J1293" s="3">
        <v>4</v>
      </c>
      <c r="K1293" s="3" t="s">
        <v>38</v>
      </c>
      <c r="L1293" s="3">
        <v>0</v>
      </c>
      <c r="M1293" s="3">
        <v>8</v>
      </c>
      <c r="N1293" s="3" t="s">
        <v>33</v>
      </c>
    </row>
    <row r="1294" spans="1:14" x14ac:dyDescent="0.3">
      <c r="A1294" s="7" t="s">
        <v>1377</v>
      </c>
      <c r="B1294" s="7" t="s">
        <v>25</v>
      </c>
      <c r="C1294" s="7">
        <v>10</v>
      </c>
      <c r="D1294" s="10">
        <v>92.6</v>
      </c>
      <c r="E1294" s="10">
        <v>926</v>
      </c>
      <c r="F1294" s="9">
        <v>45707</v>
      </c>
      <c r="G1294" s="9">
        <v>45712</v>
      </c>
      <c r="H1294" s="7" t="s">
        <v>26</v>
      </c>
      <c r="I1294" s="8" t="s">
        <v>75</v>
      </c>
      <c r="J1294" s="7">
        <v>5</v>
      </c>
      <c r="K1294" s="7" t="s">
        <v>38</v>
      </c>
      <c r="L1294" s="7">
        <v>5</v>
      </c>
      <c r="M1294" s="7">
        <v>8</v>
      </c>
      <c r="N1294" s="7" t="s">
        <v>28</v>
      </c>
    </row>
    <row r="1295" spans="1:14" x14ac:dyDescent="0.3">
      <c r="A1295" s="3" t="s">
        <v>1378</v>
      </c>
      <c r="B1295" s="3" t="s">
        <v>59</v>
      </c>
      <c r="C1295" s="3">
        <v>2</v>
      </c>
      <c r="D1295" s="6">
        <v>38</v>
      </c>
      <c r="E1295" s="6">
        <v>76</v>
      </c>
      <c r="F1295" s="5">
        <v>45707</v>
      </c>
      <c r="G1295" s="5">
        <v>45708</v>
      </c>
      <c r="H1295" s="3" t="s">
        <v>26</v>
      </c>
      <c r="I1295" s="4" t="s">
        <v>40</v>
      </c>
      <c r="J1295" s="3">
        <v>3</v>
      </c>
      <c r="K1295" s="3" t="s">
        <v>38</v>
      </c>
      <c r="L1295" s="3">
        <v>1</v>
      </c>
      <c r="M1295" s="3">
        <v>8</v>
      </c>
      <c r="N1295" s="3" t="s">
        <v>28</v>
      </c>
    </row>
    <row r="1296" spans="1:14" x14ac:dyDescent="0.3">
      <c r="A1296" s="7" t="s">
        <v>1379</v>
      </c>
      <c r="B1296" s="7" t="s">
        <v>42</v>
      </c>
      <c r="C1296" s="7">
        <v>3</v>
      </c>
      <c r="D1296" s="10">
        <v>54.8</v>
      </c>
      <c r="E1296" s="10">
        <v>164.4</v>
      </c>
      <c r="F1296" s="9">
        <v>45707</v>
      </c>
      <c r="G1296" s="9">
        <v>45711</v>
      </c>
      <c r="H1296" s="7"/>
      <c r="I1296" s="8" t="s">
        <v>21</v>
      </c>
      <c r="J1296" s="7">
        <v>3</v>
      </c>
      <c r="K1296" s="7" t="s">
        <v>38</v>
      </c>
      <c r="L1296" s="7">
        <v>4</v>
      </c>
      <c r="M1296" s="7">
        <v>8</v>
      </c>
      <c r="N1296" s="7" t="s">
        <v>23</v>
      </c>
    </row>
    <row r="1297" spans="1:14" x14ac:dyDescent="0.3">
      <c r="A1297" s="3" t="s">
        <v>1380</v>
      </c>
      <c r="B1297" s="3" t="s">
        <v>59</v>
      </c>
      <c r="C1297" s="3">
        <v>12</v>
      </c>
      <c r="D1297" s="6">
        <v>56.8</v>
      </c>
      <c r="E1297" s="6">
        <v>681.59999999999991</v>
      </c>
      <c r="F1297" s="5">
        <v>45707</v>
      </c>
      <c r="G1297" s="5">
        <v>45709</v>
      </c>
      <c r="H1297" s="3" t="s">
        <v>26</v>
      </c>
      <c r="I1297" s="4" t="s">
        <v>40</v>
      </c>
      <c r="J1297" s="3">
        <v>4</v>
      </c>
      <c r="K1297" s="3" t="s">
        <v>38</v>
      </c>
      <c r="L1297" s="3">
        <v>2</v>
      </c>
      <c r="M1297" s="3">
        <v>8</v>
      </c>
      <c r="N1297" s="3" t="s">
        <v>28</v>
      </c>
    </row>
    <row r="1298" spans="1:14" x14ac:dyDescent="0.3">
      <c r="A1298" s="7" t="s">
        <v>1381</v>
      </c>
      <c r="B1298" s="7" t="s">
        <v>72</v>
      </c>
      <c r="C1298" s="7">
        <v>33</v>
      </c>
      <c r="D1298" s="10">
        <v>47.2</v>
      </c>
      <c r="E1298" s="10">
        <v>1557.6</v>
      </c>
      <c r="F1298" s="9">
        <v>45707</v>
      </c>
      <c r="G1298" s="9">
        <v>45710</v>
      </c>
      <c r="H1298" s="7" t="s">
        <v>31</v>
      </c>
      <c r="I1298" s="8" t="s">
        <v>40</v>
      </c>
      <c r="J1298" s="7">
        <v>4</v>
      </c>
      <c r="K1298" s="7" t="s">
        <v>38</v>
      </c>
      <c r="L1298" s="7">
        <v>3</v>
      </c>
      <c r="M1298" s="7">
        <v>8</v>
      </c>
      <c r="N1298" s="7" t="s">
        <v>33</v>
      </c>
    </row>
    <row r="1299" spans="1:14" x14ac:dyDescent="0.3">
      <c r="A1299" s="3" t="s">
        <v>1382</v>
      </c>
      <c r="B1299" s="3" t="s">
        <v>47</v>
      </c>
      <c r="C1299" s="3">
        <v>6</v>
      </c>
      <c r="D1299" s="6">
        <v>45.1</v>
      </c>
      <c r="E1299" s="6">
        <v>270.60000000000002</v>
      </c>
      <c r="F1299" s="5">
        <v>45707</v>
      </c>
      <c r="G1299" s="5">
        <v>45708</v>
      </c>
      <c r="H1299" s="3" t="s">
        <v>31</v>
      </c>
      <c r="I1299" s="4" t="s">
        <v>45</v>
      </c>
      <c r="J1299" s="3">
        <v>4</v>
      </c>
      <c r="K1299" s="3" t="s">
        <v>116</v>
      </c>
      <c r="L1299" s="3">
        <v>1</v>
      </c>
      <c r="M1299" s="3">
        <v>8</v>
      </c>
      <c r="N1299" s="3" t="s">
        <v>33</v>
      </c>
    </row>
    <row r="1300" spans="1:14" x14ac:dyDescent="0.3">
      <c r="A1300" s="7" t="s">
        <v>1383</v>
      </c>
      <c r="B1300" s="7" t="s">
        <v>37</v>
      </c>
      <c r="C1300" s="7">
        <v>12</v>
      </c>
      <c r="D1300" s="10">
        <v>25.2</v>
      </c>
      <c r="E1300" s="10">
        <v>302.39999999999998</v>
      </c>
      <c r="F1300" s="9">
        <v>45707</v>
      </c>
      <c r="G1300" s="9">
        <v>45712</v>
      </c>
      <c r="H1300" s="7" t="s">
        <v>31</v>
      </c>
      <c r="I1300" s="8" t="s">
        <v>45</v>
      </c>
      <c r="J1300" s="7">
        <v>4</v>
      </c>
      <c r="K1300" s="7" t="s">
        <v>104</v>
      </c>
      <c r="L1300" s="7">
        <v>5</v>
      </c>
      <c r="M1300" s="7">
        <v>8</v>
      </c>
      <c r="N1300" s="7" t="s">
        <v>33</v>
      </c>
    </row>
    <row r="1301" spans="1:14" x14ac:dyDescent="0.3">
      <c r="A1301" s="3" t="s">
        <v>1384</v>
      </c>
      <c r="B1301" s="3" t="s">
        <v>49</v>
      </c>
      <c r="C1301" s="3">
        <v>1</v>
      </c>
      <c r="D1301" s="6">
        <v>22</v>
      </c>
      <c r="E1301" s="6">
        <v>22</v>
      </c>
      <c r="F1301" s="5">
        <v>45707</v>
      </c>
      <c r="G1301" s="5">
        <v>45708</v>
      </c>
      <c r="H1301" s="3" t="s">
        <v>31</v>
      </c>
      <c r="I1301" s="4" t="s">
        <v>21</v>
      </c>
      <c r="J1301" s="3">
        <v>4</v>
      </c>
      <c r="K1301" s="3" t="s">
        <v>57</v>
      </c>
      <c r="L1301" s="3">
        <v>1</v>
      </c>
      <c r="M1301" s="3">
        <v>8</v>
      </c>
      <c r="N1301" s="3" t="s">
        <v>33</v>
      </c>
    </row>
    <row r="1302" spans="1:14" x14ac:dyDescent="0.3">
      <c r="A1302" s="7" t="s">
        <v>1385</v>
      </c>
      <c r="B1302" s="7" t="s">
        <v>44</v>
      </c>
      <c r="C1302" s="7">
        <v>2</v>
      </c>
      <c r="D1302" s="10">
        <v>42.2</v>
      </c>
      <c r="E1302" s="10">
        <v>84.4</v>
      </c>
      <c r="F1302" s="9">
        <v>45707</v>
      </c>
      <c r="G1302" s="9">
        <v>45708</v>
      </c>
      <c r="H1302" s="7" t="s">
        <v>31</v>
      </c>
      <c r="I1302" s="8" t="s">
        <v>40</v>
      </c>
      <c r="J1302" s="7">
        <v>3</v>
      </c>
      <c r="K1302" s="7" t="s">
        <v>164</v>
      </c>
      <c r="L1302" s="7">
        <v>1</v>
      </c>
      <c r="M1302" s="7">
        <v>8</v>
      </c>
      <c r="N1302" s="7" t="s">
        <v>33</v>
      </c>
    </row>
    <row r="1303" spans="1:14" x14ac:dyDescent="0.3">
      <c r="A1303" s="3" t="s">
        <v>1386</v>
      </c>
      <c r="B1303" s="3" t="s">
        <v>81</v>
      </c>
      <c r="C1303" s="3">
        <v>3</v>
      </c>
      <c r="D1303" s="6">
        <v>20.5</v>
      </c>
      <c r="E1303" s="6">
        <v>61.5</v>
      </c>
      <c r="F1303" s="5">
        <v>45707</v>
      </c>
      <c r="G1303" s="5">
        <v>45708</v>
      </c>
      <c r="H1303" s="3" t="s">
        <v>26</v>
      </c>
      <c r="I1303" s="4" t="s">
        <v>21</v>
      </c>
      <c r="J1303" s="3">
        <v>3</v>
      </c>
      <c r="K1303" s="3" t="s">
        <v>60</v>
      </c>
      <c r="L1303" s="3">
        <v>1</v>
      </c>
      <c r="M1303" s="3">
        <v>8</v>
      </c>
      <c r="N1303" s="3" t="s">
        <v>28</v>
      </c>
    </row>
    <row r="1304" spans="1:14" x14ac:dyDescent="0.3">
      <c r="A1304" s="7" t="s">
        <v>1387</v>
      </c>
      <c r="B1304" s="7" t="s">
        <v>30</v>
      </c>
      <c r="C1304" s="7">
        <v>1</v>
      </c>
      <c r="D1304" s="10">
        <v>190.4</v>
      </c>
      <c r="E1304" s="10">
        <v>190.4</v>
      </c>
      <c r="F1304" s="9">
        <v>45707</v>
      </c>
      <c r="G1304" s="9">
        <v>45712</v>
      </c>
      <c r="H1304" s="7" t="s">
        <v>26</v>
      </c>
      <c r="I1304" s="8" t="s">
        <v>40</v>
      </c>
      <c r="J1304" s="7">
        <v>2</v>
      </c>
      <c r="K1304" s="7" t="s">
        <v>60</v>
      </c>
      <c r="L1304" s="7">
        <v>5</v>
      </c>
      <c r="M1304" s="7">
        <v>8</v>
      </c>
      <c r="N1304" s="7" t="s">
        <v>28</v>
      </c>
    </row>
    <row r="1305" spans="1:14" x14ac:dyDescent="0.3">
      <c r="A1305" s="3" t="s">
        <v>1388</v>
      </c>
      <c r="B1305" s="3" t="s">
        <v>30</v>
      </c>
      <c r="C1305" s="3">
        <v>1</v>
      </c>
      <c r="D1305" s="6">
        <v>121.9</v>
      </c>
      <c r="E1305" s="6">
        <v>121.9</v>
      </c>
      <c r="F1305" s="5">
        <v>45707</v>
      </c>
      <c r="G1305" s="5">
        <v>45709</v>
      </c>
      <c r="H1305" s="3" t="s">
        <v>31</v>
      </c>
      <c r="I1305" s="4" t="s">
        <v>40</v>
      </c>
      <c r="J1305" s="3">
        <v>5</v>
      </c>
      <c r="K1305" s="3" t="s">
        <v>60</v>
      </c>
      <c r="L1305" s="3">
        <v>2</v>
      </c>
      <c r="M1305" s="3">
        <v>8</v>
      </c>
      <c r="N1305" s="3" t="s">
        <v>33</v>
      </c>
    </row>
    <row r="1306" spans="1:14" x14ac:dyDescent="0.3">
      <c r="A1306" s="7" t="s">
        <v>1389</v>
      </c>
      <c r="B1306" s="7" t="s">
        <v>30</v>
      </c>
      <c r="C1306" s="7">
        <v>6</v>
      </c>
      <c r="D1306" s="10">
        <v>149.19999999999999</v>
      </c>
      <c r="E1306" s="10">
        <v>895.19999999999993</v>
      </c>
      <c r="F1306" s="9">
        <v>45707</v>
      </c>
      <c r="G1306" s="9">
        <v>45708</v>
      </c>
      <c r="H1306" s="7" t="s">
        <v>31</v>
      </c>
      <c r="I1306" s="8" t="s">
        <v>45</v>
      </c>
      <c r="J1306" s="7">
        <v>5</v>
      </c>
      <c r="K1306" s="7" t="s">
        <v>64</v>
      </c>
      <c r="L1306" s="7">
        <v>1</v>
      </c>
      <c r="M1306" s="7">
        <v>8</v>
      </c>
      <c r="N1306" s="7" t="s">
        <v>33</v>
      </c>
    </row>
    <row r="1307" spans="1:14" x14ac:dyDescent="0.3">
      <c r="A1307" s="3" t="s">
        <v>1390</v>
      </c>
      <c r="B1307" s="3" t="s">
        <v>30</v>
      </c>
      <c r="C1307" s="3">
        <v>1</v>
      </c>
      <c r="D1307" s="6">
        <v>54.1</v>
      </c>
      <c r="E1307" s="6">
        <v>54.1</v>
      </c>
      <c r="F1307" s="5">
        <v>45707</v>
      </c>
      <c r="G1307" s="5">
        <v>45716</v>
      </c>
      <c r="H1307" s="3" t="s">
        <v>31</v>
      </c>
      <c r="I1307" s="4" t="s">
        <v>45</v>
      </c>
      <c r="J1307" s="3">
        <v>5</v>
      </c>
      <c r="K1307" s="3" t="s">
        <v>64</v>
      </c>
      <c r="L1307" s="3">
        <v>9</v>
      </c>
      <c r="M1307" s="3">
        <v>8</v>
      </c>
      <c r="N1307" s="3" t="s">
        <v>33</v>
      </c>
    </row>
    <row r="1308" spans="1:14" x14ac:dyDescent="0.3">
      <c r="A1308" s="7" t="s">
        <v>1391</v>
      </c>
      <c r="B1308" s="7" t="s">
        <v>42</v>
      </c>
      <c r="C1308" s="7">
        <v>2</v>
      </c>
      <c r="D1308" s="10">
        <v>27.4</v>
      </c>
      <c r="E1308" s="10">
        <v>54.8</v>
      </c>
      <c r="F1308" s="9">
        <v>45707</v>
      </c>
      <c r="G1308" s="9">
        <v>45709</v>
      </c>
      <c r="H1308" s="7" t="s">
        <v>26</v>
      </c>
      <c r="I1308" s="8" t="s">
        <v>40</v>
      </c>
      <c r="J1308" s="7">
        <v>4</v>
      </c>
      <c r="K1308" s="7" t="s">
        <v>67</v>
      </c>
      <c r="L1308" s="7">
        <v>2</v>
      </c>
      <c r="M1308" s="7">
        <v>8</v>
      </c>
      <c r="N1308" s="7" t="s">
        <v>28</v>
      </c>
    </row>
    <row r="1309" spans="1:14" x14ac:dyDescent="0.3">
      <c r="A1309" s="3" t="s">
        <v>1392</v>
      </c>
      <c r="B1309" s="3" t="s">
        <v>20</v>
      </c>
      <c r="C1309" s="3">
        <v>13</v>
      </c>
      <c r="D1309" s="6">
        <v>30.4</v>
      </c>
      <c r="E1309" s="6">
        <v>395.2</v>
      </c>
      <c r="F1309" s="5">
        <v>45707</v>
      </c>
      <c r="G1309" s="5">
        <v>45708</v>
      </c>
      <c r="H1309" s="3" t="s">
        <v>31</v>
      </c>
      <c r="I1309" s="4" t="s">
        <v>21</v>
      </c>
      <c r="J1309" s="3">
        <v>5</v>
      </c>
      <c r="K1309" s="3" t="s">
        <v>67</v>
      </c>
      <c r="L1309" s="3">
        <v>1</v>
      </c>
      <c r="M1309" s="3">
        <v>8</v>
      </c>
      <c r="N1309" s="3" t="s">
        <v>33</v>
      </c>
    </row>
    <row r="1310" spans="1:14" x14ac:dyDescent="0.3">
      <c r="A1310" s="7" t="s">
        <v>1393</v>
      </c>
      <c r="B1310" s="7" t="s">
        <v>74</v>
      </c>
      <c r="C1310" s="7">
        <v>3</v>
      </c>
      <c r="D1310" s="10">
        <v>46.2</v>
      </c>
      <c r="E1310" s="10">
        <v>138.6</v>
      </c>
      <c r="F1310" s="9">
        <v>45707</v>
      </c>
      <c r="G1310" s="9">
        <v>45709</v>
      </c>
      <c r="H1310" s="7" t="s">
        <v>26</v>
      </c>
      <c r="I1310" s="8" t="s">
        <v>45</v>
      </c>
      <c r="J1310" s="7">
        <v>3</v>
      </c>
      <c r="K1310" s="7" t="s">
        <v>109</v>
      </c>
      <c r="L1310" s="7">
        <v>2</v>
      </c>
      <c r="M1310" s="7">
        <v>8</v>
      </c>
      <c r="N1310" s="7" t="s">
        <v>28</v>
      </c>
    </row>
    <row r="1311" spans="1:14" x14ac:dyDescent="0.3">
      <c r="A1311" s="3" t="s">
        <v>1394</v>
      </c>
      <c r="B1311" s="3" t="s">
        <v>47</v>
      </c>
      <c r="C1311" s="3">
        <v>8</v>
      </c>
      <c r="D1311" s="6">
        <v>78.599999999999994</v>
      </c>
      <c r="E1311" s="6">
        <v>628.79999999999995</v>
      </c>
      <c r="F1311" s="5">
        <v>45707</v>
      </c>
      <c r="G1311" s="5">
        <v>45711</v>
      </c>
      <c r="H1311" s="3" t="s">
        <v>26</v>
      </c>
      <c r="I1311" s="4" t="s">
        <v>56</v>
      </c>
      <c r="J1311" s="3">
        <v>4</v>
      </c>
      <c r="K1311" s="3" t="s">
        <v>109</v>
      </c>
      <c r="L1311" s="3">
        <v>4</v>
      </c>
      <c r="M1311" s="3">
        <v>8</v>
      </c>
      <c r="N1311" s="3" t="s">
        <v>28</v>
      </c>
    </row>
    <row r="1312" spans="1:14" x14ac:dyDescent="0.3">
      <c r="A1312" s="7" t="s">
        <v>1395</v>
      </c>
      <c r="B1312" s="7" t="s">
        <v>141</v>
      </c>
      <c r="C1312" s="7">
        <v>10</v>
      </c>
      <c r="D1312" s="10">
        <v>25.9</v>
      </c>
      <c r="E1312" s="10">
        <v>259</v>
      </c>
      <c r="F1312" s="9">
        <v>45707</v>
      </c>
      <c r="G1312" s="9">
        <v>45713</v>
      </c>
      <c r="H1312" s="7" t="s">
        <v>26</v>
      </c>
      <c r="I1312" s="8" t="s">
        <v>75</v>
      </c>
      <c r="J1312" s="7">
        <v>4</v>
      </c>
      <c r="K1312" s="7" t="s">
        <v>77</v>
      </c>
      <c r="L1312" s="7">
        <v>6</v>
      </c>
      <c r="M1312" s="7">
        <v>8</v>
      </c>
      <c r="N1312" s="7" t="s">
        <v>28</v>
      </c>
    </row>
    <row r="1313" spans="1:14" x14ac:dyDescent="0.3">
      <c r="A1313" s="3" t="s">
        <v>1396</v>
      </c>
      <c r="B1313" s="3" t="s">
        <v>44</v>
      </c>
      <c r="C1313" s="3">
        <v>1</v>
      </c>
      <c r="D1313" s="6">
        <v>134.80000000000001</v>
      </c>
      <c r="E1313" s="6">
        <v>134.80000000000001</v>
      </c>
      <c r="F1313" s="5">
        <v>45707</v>
      </c>
      <c r="G1313" s="5">
        <v>45709</v>
      </c>
      <c r="H1313" s="3" t="s">
        <v>26</v>
      </c>
      <c r="I1313" s="4" t="s">
        <v>45</v>
      </c>
      <c r="J1313" s="3">
        <v>5</v>
      </c>
      <c r="K1313" s="3" t="s">
        <v>77</v>
      </c>
      <c r="L1313" s="3">
        <v>2</v>
      </c>
      <c r="M1313" s="3">
        <v>8</v>
      </c>
      <c r="N1313" s="3" t="s">
        <v>28</v>
      </c>
    </row>
    <row r="1314" spans="1:14" x14ac:dyDescent="0.3">
      <c r="A1314" s="7" t="s">
        <v>1397</v>
      </c>
      <c r="B1314" s="7" t="s">
        <v>129</v>
      </c>
      <c r="C1314" s="7">
        <v>5</v>
      </c>
      <c r="D1314" s="10">
        <v>43.1</v>
      </c>
      <c r="E1314" s="10">
        <v>215.5</v>
      </c>
      <c r="F1314" s="9">
        <v>45707</v>
      </c>
      <c r="G1314" s="9">
        <v>45709</v>
      </c>
      <c r="H1314" s="7" t="s">
        <v>31</v>
      </c>
      <c r="I1314" s="8" t="s">
        <v>21</v>
      </c>
      <c r="J1314" s="7">
        <v>4</v>
      </c>
      <c r="K1314" s="7" t="s">
        <v>82</v>
      </c>
      <c r="L1314" s="7">
        <v>2</v>
      </c>
      <c r="M1314" s="7">
        <v>8</v>
      </c>
      <c r="N1314" s="7" t="s">
        <v>33</v>
      </c>
    </row>
    <row r="1315" spans="1:14" x14ac:dyDescent="0.3">
      <c r="A1315" s="3" t="s">
        <v>1398</v>
      </c>
      <c r="B1315" s="3" t="s">
        <v>30</v>
      </c>
      <c r="C1315" s="3">
        <v>2</v>
      </c>
      <c r="D1315" s="6">
        <v>215.6</v>
      </c>
      <c r="E1315" s="6">
        <v>431.2</v>
      </c>
      <c r="F1315" s="5">
        <v>45707</v>
      </c>
      <c r="G1315" s="5">
        <v>45708</v>
      </c>
      <c r="H1315" s="3" t="s">
        <v>31</v>
      </c>
      <c r="I1315" s="4" t="s">
        <v>45</v>
      </c>
      <c r="J1315" s="3">
        <v>4</v>
      </c>
      <c r="K1315" s="3" t="s">
        <v>114</v>
      </c>
      <c r="L1315" s="3">
        <v>1</v>
      </c>
      <c r="M1315" s="3">
        <v>8</v>
      </c>
      <c r="N1315" s="3" t="s">
        <v>33</v>
      </c>
    </row>
    <row r="1316" spans="1:14" x14ac:dyDescent="0.3">
      <c r="A1316" s="7" t="s">
        <v>1399</v>
      </c>
      <c r="B1316" s="7" t="s">
        <v>44</v>
      </c>
      <c r="C1316" s="7">
        <v>2</v>
      </c>
      <c r="D1316" s="10">
        <v>80.7</v>
      </c>
      <c r="E1316" s="10">
        <v>161.4</v>
      </c>
      <c r="F1316" s="9">
        <v>45707</v>
      </c>
      <c r="G1316" s="9">
        <v>45710</v>
      </c>
      <c r="H1316" s="7" t="s">
        <v>31</v>
      </c>
      <c r="I1316" s="8" t="s">
        <v>56</v>
      </c>
      <c r="J1316" s="7">
        <v>4</v>
      </c>
      <c r="K1316" s="7" t="s">
        <v>114</v>
      </c>
      <c r="L1316" s="7">
        <v>3</v>
      </c>
      <c r="M1316" s="7">
        <v>8</v>
      </c>
      <c r="N1316" s="7" t="s">
        <v>33</v>
      </c>
    </row>
    <row r="1317" spans="1:14" x14ac:dyDescent="0.3">
      <c r="A1317" s="3" t="s">
        <v>1400</v>
      </c>
      <c r="B1317" s="3" t="s">
        <v>59</v>
      </c>
      <c r="C1317" s="3">
        <v>7</v>
      </c>
      <c r="D1317" s="6">
        <v>20.6</v>
      </c>
      <c r="E1317" s="6">
        <v>144.19999999999999</v>
      </c>
      <c r="F1317" s="5">
        <v>45707</v>
      </c>
      <c r="G1317" s="5">
        <v>45712</v>
      </c>
      <c r="H1317" s="3"/>
      <c r="I1317" s="4" t="s">
        <v>45</v>
      </c>
      <c r="J1317" s="3">
        <v>3</v>
      </c>
      <c r="K1317" s="3" t="s">
        <v>116</v>
      </c>
      <c r="L1317" s="3">
        <v>5</v>
      </c>
      <c r="M1317" s="3">
        <v>8</v>
      </c>
      <c r="N1317" s="3" t="s">
        <v>23</v>
      </c>
    </row>
    <row r="1318" spans="1:14" x14ac:dyDescent="0.3">
      <c r="A1318" s="7" t="s">
        <v>1401</v>
      </c>
      <c r="B1318" s="7" t="s">
        <v>74</v>
      </c>
      <c r="C1318" s="7">
        <v>3</v>
      </c>
      <c r="D1318" s="10">
        <v>37.1</v>
      </c>
      <c r="E1318" s="10">
        <v>111.3</v>
      </c>
      <c r="F1318" s="9">
        <v>45707</v>
      </c>
      <c r="G1318" s="9">
        <v>45708</v>
      </c>
      <c r="H1318" s="7" t="s">
        <v>31</v>
      </c>
      <c r="I1318" s="8" t="s">
        <v>21</v>
      </c>
      <c r="J1318" s="7">
        <v>4</v>
      </c>
      <c r="K1318" s="7" t="s">
        <v>249</v>
      </c>
      <c r="L1318" s="7">
        <v>1</v>
      </c>
      <c r="M1318" s="7">
        <v>8</v>
      </c>
      <c r="N1318" s="7" t="s">
        <v>33</v>
      </c>
    </row>
    <row r="1319" spans="1:14" x14ac:dyDescent="0.3">
      <c r="A1319" s="3" t="s">
        <v>1402</v>
      </c>
      <c r="B1319" s="3" t="s">
        <v>74</v>
      </c>
      <c r="C1319" s="3">
        <v>1</v>
      </c>
      <c r="D1319" s="6">
        <v>104.8</v>
      </c>
      <c r="E1319" s="6">
        <v>104.8</v>
      </c>
      <c r="F1319" s="5">
        <v>45708</v>
      </c>
      <c r="G1319" s="5">
        <v>45710</v>
      </c>
      <c r="H1319" s="3" t="s">
        <v>31</v>
      </c>
      <c r="I1319" s="4" t="s">
        <v>21</v>
      </c>
      <c r="J1319" s="3">
        <v>4</v>
      </c>
      <c r="K1319" s="3" t="s">
        <v>87</v>
      </c>
      <c r="L1319" s="3">
        <v>2</v>
      </c>
      <c r="M1319" s="3">
        <v>8</v>
      </c>
      <c r="N1319" s="3" t="s">
        <v>33</v>
      </c>
    </row>
    <row r="1320" spans="1:14" x14ac:dyDescent="0.3">
      <c r="A1320" s="7" t="s">
        <v>1403</v>
      </c>
      <c r="B1320" s="7" t="s">
        <v>49</v>
      </c>
      <c r="C1320" s="7">
        <v>2</v>
      </c>
      <c r="D1320" s="10">
        <v>59</v>
      </c>
      <c r="E1320" s="10">
        <v>118</v>
      </c>
      <c r="F1320" s="9">
        <v>45708</v>
      </c>
      <c r="G1320" s="9">
        <v>45709</v>
      </c>
      <c r="H1320" s="7" t="s">
        <v>26</v>
      </c>
      <c r="I1320" s="8" t="s">
        <v>40</v>
      </c>
      <c r="J1320" s="7">
        <v>4</v>
      </c>
      <c r="K1320" s="7" t="s">
        <v>121</v>
      </c>
      <c r="L1320" s="7">
        <v>1</v>
      </c>
      <c r="M1320" s="7">
        <v>8</v>
      </c>
      <c r="N1320" s="7" t="s">
        <v>28</v>
      </c>
    </row>
    <row r="1321" spans="1:14" x14ac:dyDescent="0.3">
      <c r="A1321" s="3" t="s">
        <v>1404</v>
      </c>
      <c r="B1321" s="3" t="s">
        <v>49</v>
      </c>
      <c r="C1321" s="3">
        <v>2</v>
      </c>
      <c r="D1321" s="6">
        <v>32.299999999999997</v>
      </c>
      <c r="E1321" s="6">
        <v>64.599999999999994</v>
      </c>
      <c r="F1321" s="5">
        <v>45708</v>
      </c>
      <c r="G1321" s="5">
        <v>45709</v>
      </c>
      <c r="H1321" s="3" t="s">
        <v>26</v>
      </c>
      <c r="I1321" s="4" t="s">
        <v>21</v>
      </c>
      <c r="J1321" s="3">
        <v>5</v>
      </c>
      <c r="K1321" s="3" t="s">
        <v>121</v>
      </c>
      <c r="L1321" s="3">
        <v>1</v>
      </c>
      <c r="M1321" s="3">
        <v>8</v>
      </c>
      <c r="N1321" s="3" t="s">
        <v>28</v>
      </c>
    </row>
    <row r="1322" spans="1:14" x14ac:dyDescent="0.3">
      <c r="A1322" s="7" t="s">
        <v>1405</v>
      </c>
      <c r="B1322" s="7" t="s">
        <v>49</v>
      </c>
      <c r="C1322" s="7">
        <v>4</v>
      </c>
      <c r="D1322" s="10">
        <v>28.9</v>
      </c>
      <c r="E1322" s="10">
        <v>115.6</v>
      </c>
      <c r="F1322" s="9">
        <v>45708</v>
      </c>
      <c r="G1322" s="9">
        <v>45715</v>
      </c>
      <c r="H1322" s="7" t="s">
        <v>26</v>
      </c>
      <c r="I1322" s="8" t="s">
        <v>21</v>
      </c>
      <c r="J1322" s="7">
        <v>4</v>
      </c>
      <c r="K1322" s="7" t="s">
        <v>27</v>
      </c>
      <c r="L1322" s="7">
        <v>7</v>
      </c>
      <c r="M1322" s="7">
        <v>8</v>
      </c>
      <c r="N1322" s="7" t="s">
        <v>28</v>
      </c>
    </row>
    <row r="1323" spans="1:14" x14ac:dyDescent="0.3">
      <c r="A1323" s="3" t="s">
        <v>1406</v>
      </c>
      <c r="B1323" s="3" t="s">
        <v>20</v>
      </c>
      <c r="C1323" s="3">
        <v>2</v>
      </c>
      <c r="D1323" s="6">
        <v>29.6</v>
      </c>
      <c r="E1323" s="6">
        <v>59.2</v>
      </c>
      <c r="F1323" s="5">
        <v>45708</v>
      </c>
      <c r="G1323" s="5">
        <v>45710</v>
      </c>
      <c r="H1323" s="3" t="s">
        <v>26</v>
      </c>
      <c r="I1323" s="4" t="s">
        <v>21</v>
      </c>
      <c r="J1323" s="3">
        <v>4</v>
      </c>
      <c r="K1323" s="3" t="s">
        <v>27</v>
      </c>
      <c r="L1323" s="3">
        <v>2</v>
      </c>
      <c r="M1323" s="3">
        <v>8</v>
      </c>
      <c r="N1323" s="3" t="s">
        <v>28</v>
      </c>
    </row>
    <row r="1324" spans="1:14" x14ac:dyDescent="0.3">
      <c r="A1324" s="7" t="s">
        <v>1407</v>
      </c>
      <c r="B1324" s="7" t="s">
        <v>20</v>
      </c>
      <c r="C1324" s="7">
        <v>5</v>
      </c>
      <c r="D1324" s="10">
        <v>29.4</v>
      </c>
      <c r="E1324" s="10">
        <v>147</v>
      </c>
      <c r="F1324" s="9">
        <v>45708</v>
      </c>
      <c r="G1324" s="9">
        <v>45711</v>
      </c>
      <c r="H1324" s="7" t="s">
        <v>31</v>
      </c>
      <c r="I1324" s="8" t="s">
        <v>21</v>
      </c>
      <c r="J1324" s="7">
        <v>4</v>
      </c>
      <c r="K1324" s="7" t="s">
        <v>27</v>
      </c>
      <c r="L1324" s="7">
        <v>3</v>
      </c>
      <c r="M1324" s="7">
        <v>8</v>
      </c>
      <c r="N1324" s="7" t="s">
        <v>33</v>
      </c>
    </row>
    <row r="1325" spans="1:14" x14ac:dyDescent="0.3">
      <c r="A1325" s="3" t="s">
        <v>1408</v>
      </c>
      <c r="B1325" s="3" t="s">
        <v>25</v>
      </c>
      <c r="C1325" s="3">
        <v>2</v>
      </c>
      <c r="D1325" s="6">
        <v>40.6</v>
      </c>
      <c r="E1325" s="6">
        <v>81.2</v>
      </c>
      <c r="F1325" s="5">
        <v>45708</v>
      </c>
      <c r="G1325" s="5">
        <v>45709</v>
      </c>
      <c r="H1325" s="3" t="s">
        <v>26</v>
      </c>
      <c r="I1325" s="4" t="s">
        <v>21</v>
      </c>
      <c r="J1325" s="3">
        <v>2</v>
      </c>
      <c r="K1325" s="3" t="s">
        <v>32</v>
      </c>
      <c r="L1325" s="3">
        <v>1</v>
      </c>
      <c r="M1325" s="3">
        <v>8</v>
      </c>
      <c r="N1325" s="3" t="s">
        <v>28</v>
      </c>
    </row>
    <row r="1326" spans="1:14" x14ac:dyDescent="0.3">
      <c r="A1326" s="7" t="s">
        <v>1409</v>
      </c>
      <c r="B1326" s="7" t="s">
        <v>20</v>
      </c>
      <c r="C1326" s="7">
        <v>3</v>
      </c>
      <c r="D1326" s="10">
        <v>32.5</v>
      </c>
      <c r="E1326" s="10">
        <v>97.5</v>
      </c>
      <c r="F1326" s="9">
        <v>45708</v>
      </c>
      <c r="G1326" s="9">
        <v>45709</v>
      </c>
      <c r="H1326" s="7" t="s">
        <v>26</v>
      </c>
      <c r="I1326" s="8" t="s">
        <v>56</v>
      </c>
      <c r="J1326" s="7">
        <v>5</v>
      </c>
      <c r="K1326" s="7" t="s">
        <v>153</v>
      </c>
      <c r="L1326" s="7">
        <v>1</v>
      </c>
      <c r="M1326" s="7">
        <v>8</v>
      </c>
      <c r="N1326" s="7" t="s">
        <v>28</v>
      </c>
    </row>
    <row r="1327" spans="1:14" x14ac:dyDescent="0.3">
      <c r="A1327" s="3" t="s">
        <v>1410</v>
      </c>
      <c r="B1327" s="3" t="s">
        <v>129</v>
      </c>
      <c r="C1327" s="3">
        <v>1</v>
      </c>
      <c r="D1327" s="6">
        <v>26.2</v>
      </c>
      <c r="E1327" s="6">
        <v>26.2</v>
      </c>
      <c r="F1327" s="5">
        <v>45708</v>
      </c>
      <c r="G1327" s="5">
        <v>45710</v>
      </c>
      <c r="H1327" s="3" t="s">
        <v>26</v>
      </c>
      <c r="I1327" s="4" t="s">
        <v>45</v>
      </c>
      <c r="J1327" s="3">
        <v>4</v>
      </c>
      <c r="K1327" s="3" t="s">
        <v>298</v>
      </c>
      <c r="L1327" s="3">
        <v>2</v>
      </c>
      <c r="M1327" s="3">
        <v>8</v>
      </c>
      <c r="N1327" s="3" t="s">
        <v>28</v>
      </c>
    </row>
    <row r="1328" spans="1:14" x14ac:dyDescent="0.3">
      <c r="A1328" s="7" t="s">
        <v>1411</v>
      </c>
      <c r="B1328" s="7" t="s">
        <v>59</v>
      </c>
      <c r="C1328" s="7">
        <v>30</v>
      </c>
      <c r="D1328" s="10">
        <v>44</v>
      </c>
      <c r="E1328" s="10">
        <v>1320</v>
      </c>
      <c r="F1328" s="9">
        <v>45708</v>
      </c>
      <c r="G1328" s="9">
        <v>45714</v>
      </c>
      <c r="H1328" s="7" t="s">
        <v>26</v>
      </c>
      <c r="I1328" s="8" t="s">
        <v>75</v>
      </c>
      <c r="J1328" s="7">
        <v>4</v>
      </c>
      <c r="K1328" s="7" t="s">
        <v>38</v>
      </c>
      <c r="L1328" s="7">
        <v>6</v>
      </c>
      <c r="M1328" s="7">
        <v>8</v>
      </c>
      <c r="N1328" s="7" t="s">
        <v>28</v>
      </c>
    </row>
    <row r="1329" spans="1:14" x14ac:dyDescent="0.3">
      <c r="A1329" s="3" t="s">
        <v>1412</v>
      </c>
      <c r="B1329" s="3" t="s">
        <v>47</v>
      </c>
      <c r="C1329" s="3">
        <v>4</v>
      </c>
      <c r="D1329" s="6">
        <v>65.599999999999994</v>
      </c>
      <c r="E1329" s="6">
        <v>262.39999999999998</v>
      </c>
      <c r="F1329" s="5">
        <v>45708</v>
      </c>
      <c r="G1329" s="5">
        <v>45709</v>
      </c>
      <c r="H1329" s="3" t="s">
        <v>31</v>
      </c>
      <c r="I1329" s="4" t="s">
        <v>40</v>
      </c>
      <c r="J1329" s="3">
        <v>3</v>
      </c>
      <c r="K1329" s="3" t="s">
        <v>38</v>
      </c>
      <c r="L1329" s="3">
        <v>1</v>
      </c>
      <c r="M1329" s="3">
        <v>8</v>
      </c>
      <c r="N1329" s="3" t="s">
        <v>33</v>
      </c>
    </row>
    <row r="1330" spans="1:14" x14ac:dyDescent="0.3">
      <c r="A1330" s="7" t="s">
        <v>1413</v>
      </c>
      <c r="B1330" s="7" t="s">
        <v>42</v>
      </c>
      <c r="C1330" s="7">
        <v>12</v>
      </c>
      <c r="D1330" s="10">
        <v>32.6</v>
      </c>
      <c r="E1330" s="10">
        <v>391.2</v>
      </c>
      <c r="F1330" s="9">
        <v>45708</v>
      </c>
      <c r="G1330" s="9">
        <v>45709</v>
      </c>
      <c r="H1330" s="7" t="s">
        <v>26</v>
      </c>
      <c r="I1330" s="8" t="s">
        <v>75</v>
      </c>
      <c r="J1330" s="7">
        <v>4</v>
      </c>
      <c r="K1330" s="7" t="s">
        <v>38</v>
      </c>
      <c r="L1330" s="7">
        <v>1</v>
      </c>
      <c r="M1330" s="7">
        <v>8</v>
      </c>
      <c r="N1330" s="7" t="s">
        <v>28</v>
      </c>
    </row>
    <row r="1331" spans="1:14" x14ac:dyDescent="0.3">
      <c r="A1331" s="3" t="s">
        <v>1414</v>
      </c>
      <c r="B1331" s="3" t="s">
        <v>134</v>
      </c>
      <c r="C1331" s="3">
        <v>2</v>
      </c>
      <c r="D1331" s="6">
        <v>88.7</v>
      </c>
      <c r="E1331" s="6">
        <v>177.4</v>
      </c>
      <c r="F1331" s="5">
        <v>45708</v>
      </c>
      <c r="G1331" s="5">
        <v>45709</v>
      </c>
      <c r="H1331" s="3"/>
      <c r="I1331" s="4" t="s">
        <v>56</v>
      </c>
      <c r="J1331" s="3">
        <v>5</v>
      </c>
      <c r="K1331" s="3" t="s">
        <v>38</v>
      </c>
      <c r="L1331" s="3">
        <v>1</v>
      </c>
      <c r="M1331" s="3">
        <v>8</v>
      </c>
      <c r="N1331" s="3" t="s">
        <v>23</v>
      </c>
    </row>
    <row r="1332" spans="1:14" x14ac:dyDescent="0.3">
      <c r="A1332" s="7" t="s">
        <v>1415</v>
      </c>
      <c r="B1332" s="7" t="s">
        <v>37</v>
      </c>
      <c r="C1332" s="7">
        <v>2</v>
      </c>
      <c r="D1332" s="10">
        <v>21.3</v>
      </c>
      <c r="E1332" s="10">
        <v>42.6</v>
      </c>
      <c r="F1332" s="9">
        <v>45708</v>
      </c>
      <c r="G1332" s="9">
        <v>45709</v>
      </c>
      <c r="H1332" s="7" t="s">
        <v>26</v>
      </c>
      <c r="I1332" s="8" t="s">
        <v>21</v>
      </c>
      <c r="J1332" s="7">
        <v>4</v>
      </c>
      <c r="K1332" s="7" t="s">
        <v>38</v>
      </c>
      <c r="L1332" s="7">
        <v>1</v>
      </c>
      <c r="M1332" s="7">
        <v>8</v>
      </c>
      <c r="N1332" s="7" t="s">
        <v>28</v>
      </c>
    </row>
    <row r="1333" spans="1:14" x14ac:dyDescent="0.3">
      <c r="A1333" s="3" t="s">
        <v>1416</v>
      </c>
      <c r="B1333" s="3" t="s">
        <v>37</v>
      </c>
      <c r="C1333" s="3">
        <v>6</v>
      </c>
      <c r="D1333" s="6">
        <v>50.6</v>
      </c>
      <c r="E1333" s="6">
        <v>303.60000000000002</v>
      </c>
      <c r="F1333" s="5">
        <v>45708</v>
      </c>
      <c r="G1333" s="5">
        <v>45712</v>
      </c>
      <c r="H1333" s="3" t="s">
        <v>31</v>
      </c>
      <c r="I1333" s="4" t="s">
        <v>45</v>
      </c>
      <c r="J1333" s="3">
        <v>4</v>
      </c>
      <c r="K1333" s="3" t="s">
        <v>38</v>
      </c>
      <c r="L1333" s="3">
        <v>4</v>
      </c>
      <c r="M1333" s="3">
        <v>8</v>
      </c>
      <c r="N1333" s="3" t="s">
        <v>33</v>
      </c>
    </row>
    <row r="1334" spans="1:14" x14ac:dyDescent="0.3">
      <c r="A1334" s="7" t="s">
        <v>1417</v>
      </c>
      <c r="B1334" s="7" t="s">
        <v>51</v>
      </c>
      <c r="C1334" s="7">
        <v>21</v>
      </c>
      <c r="D1334" s="10">
        <v>86.9</v>
      </c>
      <c r="E1334" s="10">
        <v>1824.9</v>
      </c>
      <c r="F1334" s="9">
        <v>45708</v>
      </c>
      <c r="G1334" s="9">
        <v>45711</v>
      </c>
      <c r="H1334" s="7" t="s">
        <v>31</v>
      </c>
      <c r="I1334" s="8" t="s">
        <v>21</v>
      </c>
      <c r="J1334" s="7">
        <v>3</v>
      </c>
      <c r="K1334" s="7" t="s">
        <v>38</v>
      </c>
      <c r="L1334" s="7">
        <v>3</v>
      </c>
      <c r="M1334" s="7">
        <v>8</v>
      </c>
      <c r="N1334" s="7" t="s">
        <v>33</v>
      </c>
    </row>
    <row r="1335" spans="1:14" x14ac:dyDescent="0.3">
      <c r="A1335" s="3" t="s">
        <v>1418</v>
      </c>
      <c r="B1335" s="3" t="s">
        <v>72</v>
      </c>
      <c r="C1335" s="3">
        <v>3</v>
      </c>
      <c r="D1335" s="6">
        <v>31.8</v>
      </c>
      <c r="E1335" s="6">
        <v>95.4</v>
      </c>
      <c r="F1335" s="5">
        <v>45708</v>
      </c>
      <c r="G1335" s="5">
        <v>45710</v>
      </c>
      <c r="H1335" s="3" t="s">
        <v>26</v>
      </c>
      <c r="I1335" s="4" t="s">
        <v>21</v>
      </c>
      <c r="J1335" s="3">
        <v>5</v>
      </c>
      <c r="K1335" s="3" t="s">
        <v>38</v>
      </c>
      <c r="L1335" s="3">
        <v>2</v>
      </c>
      <c r="M1335" s="3">
        <v>8</v>
      </c>
      <c r="N1335" s="3" t="s">
        <v>28</v>
      </c>
    </row>
    <row r="1336" spans="1:14" x14ac:dyDescent="0.3">
      <c r="A1336" s="7" t="s">
        <v>1419</v>
      </c>
      <c r="B1336" s="7" t="s">
        <v>49</v>
      </c>
      <c r="C1336" s="7">
        <v>1</v>
      </c>
      <c r="D1336" s="10">
        <v>19</v>
      </c>
      <c r="E1336" s="10">
        <v>19</v>
      </c>
      <c r="F1336" s="9">
        <v>45708</v>
      </c>
      <c r="G1336" s="9">
        <v>45709</v>
      </c>
      <c r="H1336" s="7" t="s">
        <v>31</v>
      </c>
      <c r="I1336" s="8" t="s">
        <v>21</v>
      </c>
      <c r="J1336" s="7">
        <v>5</v>
      </c>
      <c r="K1336" s="7" t="s">
        <v>38</v>
      </c>
      <c r="L1336" s="7">
        <v>1</v>
      </c>
      <c r="M1336" s="7">
        <v>8</v>
      </c>
      <c r="N1336" s="7" t="s">
        <v>33</v>
      </c>
    </row>
    <row r="1337" spans="1:14" x14ac:dyDescent="0.3">
      <c r="A1337" s="3" t="s">
        <v>1420</v>
      </c>
      <c r="B1337" s="3" t="s">
        <v>42</v>
      </c>
      <c r="C1337" s="3">
        <v>1</v>
      </c>
      <c r="D1337" s="6">
        <v>54.5</v>
      </c>
      <c r="E1337" s="6">
        <v>54.5</v>
      </c>
      <c r="F1337" s="5">
        <v>45708</v>
      </c>
      <c r="G1337" s="5">
        <v>45710</v>
      </c>
      <c r="H1337" s="3" t="s">
        <v>26</v>
      </c>
      <c r="I1337" s="4" t="s">
        <v>21</v>
      </c>
      <c r="J1337" s="3">
        <v>4</v>
      </c>
      <c r="K1337" s="3" t="s">
        <v>38</v>
      </c>
      <c r="L1337" s="3">
        <v>2</v>
      </c>
      <c r="M1337" s="3">
        <v>8</v>
      </c>
      <c r="N1337" s="3" t="s">
        <v>28</v>
      </c>
    </row>
    <row r="1338" spans="1:14" x14ac:dyDescent="0.3">
      <c r="A1338" s="7" t="s">
        <v>1421</v>
      </c>
      <c r="B1338" s="7" t="s">
        <v>51</v>
      </c>
      <c r="C1338" s="7">
        <v>5</v>
      </c>
      <c r="D1338" s="10">
        <v>68.900000000000006</v>
      </c>
      <c r="E1338" s="10">
        <v>344.5</v>
      </c>
      <c r="F1338" s="9">
        <v>45708</v>
      </c>
      <c r="G1338" s="9">
        <v>45710</v>
      </c>
      <c r="H1338" s="7" t="s">
        <v>26</v>
      </c>
      <c r="I1338" s="8" t="s">
        <v>75</v>
      </c>
      <c r="J1338" s="7">
        <v>3</v>
      </c>
      <c r="K1338" s="7" t="s">
        <v>38</v>
      </c>
      <c r="L1338" s="7">
        <v>2</v>
      </c>
      <c r="M1338" s="7">
        <v>8</v>
      </c>
      <c r="N1338" s="7" t="s">
        <v>28</v>
      </c>
    </row>
    <row r="1339" spans="1:14" x14ac:dyDescent="0.3">
      <c r="A1339" s="3" t="s">
        <v>1422</v>
      </c>
      <c r="B1339" s="3" t="s">
        <v>44</v>
      </c>
      <c r="C1339" s="3">
        <v>3</v>
      </c>
      <c r="D1339" s="6">
        <v>84</v>
      </c>
      <c r="E1339" s="6">
        <v>252</v>
      </c>
      <c r="F1339" s="5">
        <v>45708</v>
      </c>
      <c r="G1339" s="5">
        <v>45709</v>
      </c>
      <c r="H1339" s="3" t="s">
        <v>26</v>
      </c>
      <c r="I1339" s="4" t="s">
        <v>40</v>
      </c>
      <c r="J1339" s="3">
        <v>2</v>
      </c>
      <c r="K1339" s="3" t="s">
        <v>104</v>
      </c>
      <c r="L1339" s="3">
        <v>1</v>
      </c>
      <c r="M1339" s="3">
        <v>8</v>
      </c>
      <c r="N1339" s="3" t="s">
        <v>28</v>
      </c>
    </row>
    <row r="1340" spans="1:14" x14ac:dyDescent="0.3">
      <c r="A1340" s="7" t="s">
        <v>1423</v>
      </c>
      <c r="B1340" s="7" t="s">
        <v>129</v>
      </c>
      <c r="C1340" s="7">
        <v>8</v>
      </c>
      <c r="D1340" s="10">
        <v>23.1</v>
      </c>
      <c r="E1340" s="10">
        <v>184.8</v>
      </c>
      <c r="F1340" s="9">
        <v>45708</v>
      </c>
      <c r="G1340" s="9">
        <v>45713</v>
      </c>
      <c r="H1340" s="7" t="s">
        <v>26</v>
      </c>
      <c r="I1340" s="8" t="s">
        <v>21</v>
      </c>
      <c r="J1340" s="7">
        <v>5</v>
      </c>
      <c r="K1340" s="7" t="s">
        <v>164</v>
      </c>
      <c r="L1340" s="7">
        <v>5</v>
      </c>
      <c r="M1340" s="7">
        <v>8</v>
      </c>
      <c r="N1340" s="7" t="s">
        <v>28</v>
      </c>
    </row>
    <row r="1341" spans="1:14" x14ac:dyDescent="0.3">
      <c r="A1341" s="3" t="s">
        <v>1424</v>
      </c>
      <c r="B1341" s="3" t="s">
        <v>47</v>
      </c>
      <c r="C1341" s="3">
        <v>2</v>
      </c>
      <c r="D1341" s="6">
        <v>62.4</v>
      </c>
      <c r="E1341" s="6">
        <v>124.8</v>
      </c>
      <c r="F1341" s="5">
        <v>45708</v>
      </c>
      <c r="G1341" s="5">
        <v>45709</v>
      </c>
      <c r="H1341" s="3" t="s">
        <v>31</v>
      </c>
      <c r="I1341" s="4" t="s">
        <v>21</v>
      </c>
      <c r="J1341" s="3">
        <v>3</v>
      </c>
      <c r="K1341" s="3" t="s">
        <v>60</v>
      </c>
      <c r="L1341" s="3">
        <v>1</v>
      </c>
      <c r="M1341" s="3">
        <v>8</v>
      </c>
      <c r="N1341" s="3" t="s">
        <v>33</v>
      </c>
    </row>
    <row r="1342" spans="1:14" x14ac:dyDescent="0.3">
      <c r="A1342" s="7" t="s">
        <v>1425</v>
      </c>
      <c r="B1342" s="7" t="s">
        <v>44</v>
      </c>
      <c r="C1342" s="7">
        <v>12</v>
      </c>
      <c r="D1342" s="10">
        <v>40.700000000000003</v>
      </c>
      <c r="E1342" s="10">
        <v>488.4</v>
      </c>
      <c r="F1342" s="9">
        <v>45708</v>
      </c>
      <c r="G1342" s="9">
        <v>45710</v>
      </c>
      <c r="H1342" s="7" t="s">
        <v>26</v>
      </c>
      <c r="I1342" s="8" t="s">
        <v>40</v>
      </c>
      <c r="J1342" s="7">
        <v>5</v>
      </c>
      <c r="K1342" s="7" t="s">
        <v>60</v>
      </c>
      <c r="L1342" s="7">
        <v>2</v>
      </c>
      <c r="M1342" s="7">
        <v>8</v>
      </c>
      <c r="N1342" s="7" t="s">
        <v>28</v>
      </c>
    </row>
    <row r="1343" spans="1:14" x14ac:dyDescent="0.3">
      <c r="A1343" s="3" t="s">
        <v>1426</v>
      </c>
      <c r="B1343" s="3" t="s">
        <v>44</v>
      </c>
      <c r="C1343" s="3">
        <v>1</v>
      </c>
      <c r="D1343" s="6">
        <v>49.6</v>
      </c>
      <c r="E1343" s="6">
        <v>49.6</v>
      </c>
      <c r="F1343" s="5">
        <v>45708</v>
      </c>
      <c r="G1343" s="5">
        <v>45711</v>
      </c>
      <c r="H1343" s="3" t="s">
        <v>26</v>
      </c>
      <c r="I1343" s="4" t="s">
        <v>45</v>
      </c>
      <c r="J1343" s="3">
        <v>4</v>
      </c>
      <c r="K1343" s="3" t="s">
        <v>64</v>
      </c>
      <c r="L1343" s="3">
        <v>3</v>
      </c>
      <c r="M1343" s="3">
        <v>8</v>
      </c>
      <c r="N1343" s="3" t="s">
        <v>28</v>
      </c>
    </row>
    <row r="1344" spans="1:14" x14ac:dyDescent="0.3">
      <c r="A1344" s="7" t="s">
        <v>1427</v>
      </c>
      <c r="B1344" s="7" t="s">
        <v>47</v>
      </c>
      <c r="C1344" s="7">
        <v>45</v>
      </c>
      <c r="D1344" s="10">
        <v>66.599999999999994</v>
      </c>
      <c r="E1344" s="10">
        <v>2997</v>
      </c>
      <c r="F1344" s="9">
        <v>45708</v>
      </c>
      <c r="G1344" s="9">
        <v>45711</v>
      </c>
      <c r="H1344" s="7" t="s">
        <v>26</v>
      </c>
      <c r="I1344" s="8" t="s">
        <v>45</v>
      </c>
      <c r="J1344" s="7">
        <v>4</v>
      </c>
      <c r="K1344" s="7" t="s">
        <v>67</v>
      </c>
      <c r="L1344" s="7">
        <v>3</v>
      </c>
      <c r="M1344" s="7">
        <v>8</v>
      </c>
      <c r="N1344" s="7" t="s">
        <v>28</v>
      </c>
    </row>
    <row r="1345" spans="1:14" x14ac:dyDescent="0.3">
      <c r="A1345" s="3" t="s">
        <v>1428</v>
      </c>
      <c r="B1345" s="3" t="s">
        <v>49</v>
      </c>
      <c r="C1345" s="3">
        <v>3</v>
      </c>
      <c r="D1345" s="6">
        <v>26.4</v>
      </c>
      <c r="E1345" s="6">
        <v>79.199999999999989</v>
      </c>
      <c r="F1345" s="5">
        <v>45708</v>
      </c>
      <c r="G1345" s="5">
        <v>45709</v>
      </c>
      <c r="H1345" s="3" t="s">
        <v>31</v>
      </c>
      <c r="I1345" s="4" t="s">
        <v>40</v>
      </c>
      <c r="J1345" s="3">
        <v>3</v>
      </c>
      <c r="K1345" s="3" t="s">
        <v>67</v>
      </c>
      <c r="L1345" s="3">
        <v>1</v>
      </c>
      <c r="M1345" s="3">
        <v>8</v>
      </c>
      <c r="N1345" s="3" t="s">
        <v>33</v>
      </c>
    </row>
    <row r="1346" spans="1:14" x14ac:dyDescent="0.3">
      <c r="A1346" s="7" t="s">
        <v>1429</v>
      </c>
      <c r="B1346" s="7" t="s">
        <v>20</v>
      </c>
      <c r="C1346" s="7">
        <v>2</v>
      </c>
      <c r="D1346" s="10">
        <v>17.2</v>
      </c>
      <c r="E1346" s="10">
        <v>34.4</v>
      </c>
      <c r="F1346" s="9">
        <v>45708</v>
      </c>
      <c r="G1346" s="9">
        <v>45711</v>
      </c>
      <c r="H1346" s="7" t="s">
        <v>26</v>
      </c>
      <c r="I1346" s="8" t="s">
        <v>45</v>
      </c>
      <c r="J1346" s="7">
        <v>3</v>
      </c>
      <c r="K1346" s="7" t="s">
        <v>67</v>
      </c>
      <c r="L1346" s="7">
        <v>3</v>
      </c>
      <c r="M1346" s="7">
        <v>8</v>
      </c>
      <c r="N1346" s="7" t="s">
        <v>28</v>
      </c>
    </row>
    <row r="1347" spans="1:14" x14ac:dyDescent="0.3">
      <c r="A1347" s="3" t="s">
        <v>1430</v>
      </c>
      <c r="B1347" s="3" t="s">
        <v>42</v>
      </c>
      <c r="C1347" s="3">
        <v>8</v>
      </c>
      <c r="D1347" s="6">
        <v>58.1</v>
      </c>
      <c r="E1347" s="6">
        <v>464.8</v>
      </c>
      <c r="F1347" s="5">
        <v>45708</v>
      </c>
      <c r="G1347" s="5">
        <v>45711</v>
      </c>
      <c r="H1347" s="3" t="s">
        <v>31</v>
      </c>
      <c r="I1347" s="4" t="s">
        <v>75</v>
      </c>
      <c r="J1347" s="3">
        <v>4</v>
      </c>
      <c r="K1347" s="3" t="s">
        <v>67</v>
      </c>
      <c r="L1347" s="3">
        <v>3</v>
      </c>
      <c r="M1347" s="3">
        <v>8</v>
      </c>
      <c r="N1347" s="3" t="s">
        <v>33</v>
      </c>
    </row>
    <row r="1348" spans="1:14" x14ac:dyDescent="0.3">
      <c r="A1348" s="7" t="s">
        <v>1431</v>
      </c>
      <c r="B1348" s="7" t="s">
        <v>129</v>
      </c>
      <c r="C1348" s="7">
        <v>4</v>
      </c>
      <c r="D1348" s="10">
        <v>31.5</v>
      </c>
      <c r="E1348" s="10">
        <v>126</v>
      </c>
      <c r="F1348" s="9">
        <v>45708</v>
      </c>
      <c r="G1348" s="9">
        <v>45711</v>
      </c>
      <c r="H1348" s="7" t="s">
        <v>31</v>
      </c>
      <c r="I1348" s="8" t="s">
        <v>75</v>
      </c>
      <c r="J1348" s="7">
        <v>2</v>
      </c>
      <c r="K1348" s="7" t="s">
        <v>67</v>
      </c>
      <c r="L1348" s="7">
        <v>3</v>
      </c>
      <c r="M1348" s="7">
        <v>8</v>
      </c>
      <c r="N1348" s="7" t="s">
        <v>33</v>
      </c>
    </row>
    <row r="1349" spans="1:14" x14ac:dyDescent="0.3">
      <c r="A1349" s="3" t="s">
        <v>1432</v>
      </c>
      <c r="B1349" s="3" t="s">
        <v>20</v>
      </c>
      <c r="C1349" s="3">
        <v>1</v>
      </c>
      <c r="D1349" s="6">
        <v>27.1</v>
      </c>
      <c r="E1349" s="6">
        <v>27.1</v>
      </c>
      <c r="F1349" s="5">
        <v>45708</v>
      </c>
      <c r="G1349" s="5">
        <v>45710</v>
      </c>
      <c r="H1349" s="3" t="s">
        <v>31</v>
      </c>
      <c r="I1349" s="4" t="s">
        <v>21</v>
      </c>
      <c r="J1349" s="3">
        <v>3</v>
      </c>
      <c r="K1349" s="3" t="s">
        <v>109</v>
      </c>
      <c r="L1349" s="3">
        <v>2</v>
      </c>
      <c r="M1349" s="3">
        <v>8</v>
      </c>
      <c r="N1349" s="3" t="s">
        <v>33</v>
      </c>
    </row>
    <row r="1350" spans="1:14" x14ac:dyDescent="0.3">
      <c r="A1350" s="7" t="s">
        <v>1433</v>
      </c>
      <c r="B1350" s="7" t="s">
        <v>152</v>
      </c>
      <c r="C1350" s="7">
        <v>4</v>
      </c>
      <c r="D1350" s="10">
        <v>28.5</v>
      </c>
      <c r="E1350" s="10">
        <v>114</v>
      </c>
      <c r="F1350" s="9">
        <v>45708</v>
      </c>
      <c r="G1350" s="9">
        <v>45710</v>
      </c>
      <c r="H1350" s="7" t="s">
        <v>26</v>
      </c>
      <c r="I1350" s="8" t="s">
        <v>40</v>
      </c>
      <c r="J1350" s="7">
        <v>5</v>
      </c>
      <c r="K1350" s="7" t="s">
        <v>77</v>
      </c>
      <c r="L1350" s="7">
        <v>2</v>
      </c>
      <c r="M1350" s="7">
        <v>8</v>
      </c>
      <c r="N1350" s="7" t="s">
        <v>28</v>
      </c>
    </row>
    <row r="1351" spans="1:14" x14ac:dyDescent="0.3">
      <c r="A1351" s="3" t="s">
        <v>1434</v>
      </c>
      <c r="B1351" s="3" t="s">
        <v>59</v>
      </c>
      <c r="C1351" s="3">
        <v>1</v>
      </c>
      <c r="D1351" s="6">
        <v>40.5</v>
      </c>
      <c r="E1351" s="6">
        <v>40.5</v>
      </c>
      <c r="F1351" s="5">
        <v>45709</v>
      </c>
      <c r="G1351" s="5">
        <v>45711</v>
      </c>
      <c r="H1351" s="3" t="s">
        <v>94</v>
      </c>
      <c r="I1351" s="4" t="s">
        <v>45</v>
      </c>
      <c r="J1351" s="3">
        <v>4</v>
      </c>
      <c r="K1351" s="3" t="s">
        <v>77</v>
      </c>
      <c r="L1351" s="3">
        <v>2</v>
      </c>
      <c r="M1351" s="3">
        <v>8</v>
      </c>
      <c r="N1351" s="3" t="s">
        <v>95</v>
      </c>
    </row>
    <row r="1352" spans="1:14" x14ac:dyDescent="0.3">
      <c r="A1352" s="7" t="s">
        <v>1435</v>
      </c>
      <c r="B1352" s="7" t="s">
        <v>30</v>
      </c>
      <c r="C1352" s="7">
        <v>3</v>
      </c>
      <c r="D1352" s="10">
        <v>77.900000000000006</v>
      </c>
      <c r="E1352" s="10">
        <v>233.7</v>
      </c>
      <c r="F1352" s="9">
        <v>45709</v>
      </c>
      <c r="G1352" s="9">
        <v>45713</v>
      </c>
      <c r="H1352" s="7" t="s">
        <v>31</v>
      </c>
      <c r="I1352" s="8" t="s">
        <v>40</v>
      </c>
      <c r="J1352" s="7">
        <v>5</v>
      </c>
      <c r="K1352" s="7" t="s">
        <v>116</v>
      </c>
      <c r="L1352" s="7">
        <v>4</v>
      </c>
      <c r="M1352" s="7">
        <v>8</v>
      </c>
      <c r="N1352" s="7" t="s">
        <v>33</v>
      </c>
    </row>
    <row r="1353" spans="1:14" x14ac:dyDescent="0.3">
      <c r="A1353" s="3" t="s">
        <v>1436</v>
      </c>
      <c r="B1353" s="3" t="s">
        <v>152</v>
      </c>
      <c r="C1353" s="3">
        <v>4</v>
      </c>
      <c r="D1353" s="6">
        <v>37.1</v>
      </c>
      <c r="E1353" s="6">
        <v>148.4</v>
      </c>
      <c r="F1353" s="5">
        <v>45709</v>
      </c>
      <c r="G1353" s="5">
        <v>45711</v>
      </c>
      <c r="H1353" s="3" t="s">
        <v>26</v>
      </c>
      <c r="I1353" s="4" t="s">
        <v>75</v>
      </c>
      <c r="J1353" s="3">
        <v>5</v>
      </c>
      <c r="K1353" s="3" t="s">
        <v>116</v>
      </c>
      <c r="L1353" s="3">
        <v>2</v>
      </c>
      <c r="M1353" s="3">
        <v>8</v>
      </c>
      <c r="N1353" s="3" t="s">
        <v>28</v>
      </c>
    </row>
    <row r="1354" spans="1:14" x14ac:dyDescent="0.3">
      <c r="A1354" s="7" t="s">
        <v>1437</v>
      </c>
      <c r="B1354" s="7" t="s">
        <v>134</v>
      </c>
      <c r="C1354" s="7">
        <v>3</v>
      </c>
      <c r="D1354" s="10">
        <v>51.6</v>
      </c>
      <c r="E1354" s="10">
        <v>154.80000000000001</v>
      </c>
      <c r="F1354" s="9">
        <v>45709</v>
      </c>
      <c r="G1354" s="9">
        <v>45717</v>
      </c>
      <c r="H1354" s="7" t="s">
        <v>31</v>
      </c>
      <c r="I1354" s="8" t="s">
        <v>21</v>
      </c>
      <c r="J1354" s="7">
        <v>2</v>
      </c>
      <c r="K1354" s="7" t="s">
        <v>116</v>
      </c>
      <c r="L1354" s="7">
        <v>8</v>
      </c>
      <c r="M1354" s="7">
        <v>8</v>
      </c>
      <c r="N1354" s="7" t="s">
        <v>33</v>
      </c>
    </row>
    <row r="1355" spans="1:14" x14ac:dyDescent="0.3">
      <c r="A1355" s="3" t="s">
        <v>1438</v>
      </c>
      <c r="B1355" s="3" t="s">
        <v>47</v>
      </c>
      <c r="C1355" s="3">
        <v>3</v>
      </c>
      <c r="D1355" s="6">
        <v>98</v>
      </c>
      <c r="E1355" s="6">
        <v>294</v>
      </c>
      <c r="F1355" s="5">
        <v>45709</v>
      </c>
      <c r="G1355" s="5">
        <v>45710</v>
      </c>
      <c r="H1355" s="3" t="s">
        <v>26</v>
      </c>
      <c r="I1355" s="4" t="s">
        <v>40</v>
      </c>
      <c r="J1355" s="3">
        <v>3</v>
      </c>
      <c r="K1355" s="3" t="s">
        <v>116</v>
      </c>
      <c r="L1355" s="3">
        <v>1</v>
      </c>
      <c r="M1355" s="3">
        <v>8</v>
      </c>
      <c r="N1355" s="3" t="s">
        <v>28</v>
      </c>
    </row>
    <row r="1356" spans="1:14" x14ac:dyDescent="0.3">
      <c r="A1356" s="7" t="s">
        <v>1439</v>
      </c>
      <c r="B1356" s="7" t="s">
        <v>44</v>
      </c>
      <c r="C1356" s="7">
        <v>7</v>
      </c>
      <c r="D1356" s="10">
        <v>41.4</v>
      </c>
      <c r="E1356" s="10">
        <v>289.8</v>
      </c>
      <c r="F1356" s="9">
        <v>45709</v>
      </c>
      <c r="G1356" s="9">
        <v>45710</v>
      </c>
      <c r="H1356" s="7" t="s">
        <v>26</v>
      </c>
      <c r="I1356" s="8" t="s">
        <v>40</v>
      </c>
      <c r="J1356" s="7">
        <v>4</v>
      </c>
      <c r="K1356" s="7" t="s">
        <v>119</v>
      </c>
      <c r="L1356" s="7">
        <v>1</v>
      </c>
      <c r="M1356" s="7">
        <v>8</v>
      </c>
      <c r="N1356" s="7" t="s">
        <v>28</v>
      </c>
    </row>
    <row r="1357" spans="1:14" x14ac:dyDescent="0.3">
      <c r="A1357" s="3" t="s">
        <v>1440</v>
      </c>
      <c r="B1357" s="3" t="s">
        <v>72</v>
      </c>
      <c r="C1357" s="3">
        <v>8</v>
      </c>
      <c r="D1357" s="6">
        <v>34</v>
      </c>
      <c r="E1357" s="6">
        <v>272</v>
      </c>
      <c r="F1357" s="5">
        <v>45709</v>
      </c>
      <c r="G1357" s="5">
        <v>45714</v>
      </c>
      <c r="H1357" s="3" t="s">
        <v>31</v>
      </c>
      <c r="I1357" s="4" t="s">
        <v>21</v>
      </c>
      <c r="J1357" s="3">
        <v>5</v>
      </c>
      <c r="K1357" s="3" t="s">
        <v>249</v>
      </c>
      <c r="L1357" s="3">
        <v>5</v>
      </c>
      <c r="M1357" s="3">
        <v>8</v>
      </c>
      <c r="N1357" s="3" t="s">
        <v>33</v>
      </c>
    </row>
    <row r="1358" spans="1:14" x14ac:dyDescent="0.3">
      <c r="A1358" s="7" t="s">
        <v>1441</v>
      </c>
      <c r="B1358" s="7" t="s">
        <v>44</v>
      </c>
      <c r="C1358" s="7">
        <v>1</v>
      </c>
      <c r="D1358" s="10">
        <v>66.3</v>
      </c>
      <c r="E1358" s="10">
        <v>66.3</v>
      </c>
      <c r="F1358" s="9">
        <v>45709</v>
      </c>
      <c r="G1358" s="9">
        <v>45710</v>
      </c>
      <c r="H1358" s="7" t="s">
        <v>31</v>
      </c>
      <c r="I1358" s="8" t="s">
        <v>40</v>
      </c>
      <c r="J1358" s="7">
        <v>4</v>
      </c>
      <c r="K1358" s="7" t="s">
        <v>87</v>
      </c>
      <c r="L1358" s="7">
        <v>1</v>
      </c>
      <c r="M1358" s="7">
        <v>8</v>
      </c>
      <c r="N1358" s="7" t="s">
        <v>33</v>
      </c>
    </row>
    <row r="1359" spans="1:14" x14ac:dyDescent="0.3">
      <c r="A1359" s="3" t="s">
        <v>1442</v>
      </c>
      <c r="B1359" s="3" t="s">
        <v>47</v>
      </c>
      <c r="C1359" s="3">
        <v>1</v>
      </c>
      <c r="D1359" s="6">
        <v>33.5</v>
      </c>
      <c r="E1359" s="6">
        <v>33.5</v>
      </c>
      <c r="F1359" s="5">
        <v>45709</v>
      </c>
      <c r="G1359" s="5">
        <v>45713</v>
      </c>
      <c r="H1359" s="3" t="s">
        <v>26</v>
      </c>
      <c r="I1359" s="4" t="s">
        <v>45</v>
      </c>
      <c r="J1359" s="3">
        <v>4</v>
      </c>
      <c r="K1359" s="3" t="s">
        <v>87</v>
      </c>
      <c r="L1359" s="3">
        <v>4</v>
      </c>
      <c r="M1359" s="3">
        <v>8</v>
      </c>
      <c r="N1359" s="3" t="s">
        <v>28</v>
      </c>
    </row>
    <row r="1360" spans="1:14" x14ac:dyDescent="0.3">
      <c r="A1360" s="7" t="s">
        <v>1443</v>
      </c>
      <c r="B1360" s="7" t="s">
        <v>74</v>
      </c>
      <c r="C1360" s="7">
        <v>2</v>
      </c>
      <c r="D1360" s="10">
        <v>70.8</v>
      </c>
      <c r="E1360" s="10">
        <v>141.6</v>
      </c>
      <c r="F1360" s="9">
        <v>45709</v>
      </c>
      <c r="G1360" s="9">
        <v>45710</v>
      </c>
      <c r="H1360" s="7"/>
      <c r="I1360" s="8" t="s">
        <v>21</v>
      </c>
      <c r="J1360" s="7">
        <v>4</v>
      </c>
      <c r="K1360" s="7" t="s">
        <v>249</v>
      </c>
      <c r="L1360" s="7">
        <v>1</v>
      </c>
      <c r="M1360" s="7">
        <v>8</v>
      </c>
      <c r="N1360" s="7" t="s">
        <v>23</v>
      </c>
    </row>
    <row r="1361" spans="1:14" x14ac:dyDescent="0.3">
      <c r="A1361" s="3" t="s">
        <v>1444</v>
      </c>
      <c r="B1361" s="3" t="s">
        <v>44</v>
      </c>
      <c r="C1361" s="3">
        <v>2</v>
      </c>
      <c r="D1361" s="6">
        <v>127.6</v>
      </c>
      <c r="E1361" s="6">
        <v>255.2</v>
      </c>
      <c r="F1361" s="5">
        <v>45709</v>
      </c>
      <c r="G1361" s="5">
        <v>45710</v>
      </c>
      <c r="H1361" s="3" t="s">
        <v>26</v>
      </c>
      <c r="I1361" s="4" t="s">
        <v>21</v>
      </c>
      <c r="J1361" s="3">
        <v>4</v>
      </c>
      <c r="K1361" s="3" t="s">
        <v>121</v>
      </c>
      <c r="L1361" s="3">
        <v>1</v>
      </c>
      <c r="M1361" s="3">
        <v>8</v>
      </c>
      <c r="N1361" s="3" t="s">
        <v>28</v>
      </c>
    </row>
    <row r="1362" spans="1:14" x14ac:dyDescent="0.3">
      <c r="A1362" s="7" t="s">
        <v>1445</v>
      </c>
      <c r="B1362" s="7" t="s">
        <v>44</v>
      </c>
      <c r="C1362" s="7">
        <v>3</v>
      </c>
      <c r="D1362" s="10">
        <v>95.9</v>
      </c>
      <c r="E1362" s="10">
        <v>287.7</v>
      </c>
      <c r="F1362" s="9">
        <v>45709</v>
      </c>
      <c r="G1362" s="9">
        <v>45710</v>
      </c>
      <c r="H1362" s="7" t="s">
        <v>31</v>
      </c>
      <c r="I1362" s="8" t="s">
        <v>40</v>
      </c>
      <c r="J1362" s="7">
        <v>3</v>
      </c>
      <c r="K1362" s="7" t="s">
        <v>121</v>
      </c>
      <c r="L1362" s="7">
        <v>1</v>
      </c>
      <c r="M1362" s="7">
        <v>8</v>
      </c>
      <c r="N1362" s="7" t="s">
        <v>33</v>
      </c>
    </row>
    <row r="1363" spans="1:14" x14ac:dyDescent="0.3">
      <c r="A1363" s="3" t="s">
        <v>1446</v>
      </c>
      <c r="B1363" s="3" t="s">
        <v>30</v>
      </c>
      <c r="C1363" s="3">
        <v>2</v>
      </c>
      <c r="D1363" s="6">
        <v>78.099999999999994</v>
      </c>
      <c r="E1363" s="6">
        <v>156.19999999999999</v>
      </c>
      <c r="F1363" s="5">
        <v>45709</v>
      </c>
      <c r="G1363" s="5">
        <v>45710</v>
      </c>
      <c r="H1363" s="3" t="s">
        <v>26</v>
      </c>
      <c r="I1363" s="4" t="s">
        <v>21</v>
      </c>
      <c r="J1363" s="3">
        <v>4</v>
      </c>
      <c r="K1363" s="3" t="s">
        <v>27</v>
      </c>
      <c r="L1363" s="3">
        <v>1</v>
      </c>
      <c r="M1363" s="3">
        <v>8</v>
      </c>
      <c r="N1363" s="3" t="s">
        <v>28</v>
      </c>
    </row>
    <row r="1364" spans="1:14" x14ac:dyDescent="0.3">
      <c r="A1364" s="7" t="s">
        <v>1447</v>
      </c>
      <c r="B1364" s="7" t="s">
        <v>81</v>
      </c>
      <c r="C1364" s="7">
        <v>2</v>
      </c>
      <c r="D1364" s="10">
        <v>43.2</v>
      </c>
      <c r="E1364" s="10">
        <v>86.4</v>
      </c>
      <c r="F1364" s="9">
        <v>45709</v>
      </c>
      <c r="G1364" s="9">
        <v>45710</v>
      </c>
      <c r="H1364" s="7"/>
      <c r="I1364" s="8" t="s">
        <v>40</v>
      </c>
      <c r="J1364" s="7">
        <v>3</v>
      </c>
      <c r="K1364" s="7" t="s">
        <v>27</v>
      </c>
      <c r="L1364" s="7">
        <v>1</v>
      </c>
      <c r="M1364" s="7">
        <v>8</v>
      </c>
      <c r="N1364" s="7" t="s">
        <v>23</v>
      </c>
    </row>
    <row r="1365" spans="1:14" x14ac:dyDescent="0.3">
      <c r="A1365" s="3" t="s">
        <v>1448</v>
      </c>
      <c r="B1365" s="3" t="s">
        <v>49</v>
      </c>
      <c r="C1365" s="3">
        <v>4</v>
      </c>
      <c r="D1365" s="6">
        <v>28.4</v>
      </c>
      <c r="E1365" s="6">
        <v>113.6</v>
      </c>
      <c r="F1365" s="5">
        <v>45709</v>
      </c>
      <c r="G1365" s="5">
        <v>45715</v>
      </c>
      <c r="H1365" s="3" t="s">
        <v>26</v>
      </c>
      <c r="I1365" s="4" t="s">
        <v>45</v>
      </c>
      <c r="J1365" s="3">
        <v>4</v>
      </c>
      <c r="K1365" s="3" t="s">
        <v>38</v>
      </c>
      <c r="L1365" s="3">
        <v>6</v>
      </c>
      <c r="M1365" s="3">
        <v>8</v>
      </c>
      <c r="N1365" s="3" t="s">
        <v>28</v>
      </c>
    </row>
    <row r="1366" spans="1:14" x14ac:dyDescent="0.3">
      <c r="A1366" s="7" t="s">
        <v>1449</v>
      </c>
      <c r="B1366" s="7" t="s">
        <v>30</v>
      </c>
      <c r="C1366" s="7">
        <v>2</v>
      </c>
      <c r="D1366" s="10">
        <v>81.7</v>
      </c>
      <c r="E1366" s="10">
        <v>163.4</v>
      </c>
      <c r="F1366" s="9">
        <v>45709</v>
      </c>
      <c r="G1366" s="9">
        <v>45709</v>
      </c>
      <c r="H1366" s="7" t="s">
        <v>26</v>
      </c>
      <c r="I1366" s="8" t="s">
        <v>21</v>
      </c>
      <c r="J1366" s="7">
        <v>4</v>
      </c>
      <c r="K1366" s="7" t="s">
        <v>38</v>
      </c>
      <c r="L1366" s="7">
        <v>0</v>
      </c>
      <c r="M1366" s="7">
        <v>8</v>
      </c>
      <c r="N1366" s="7" t="s">
        <v>28</v>
      </c>
    </row>
    <row r="1367" spans="1:14" x14ac:dyDescent="0.3">
      <c r="A1367" s="3" t="s">
        <v>1450</v>
      </c>
      <c r="B1367" s="3" t="s">
        <v>152</v>
      </c>
      <c r="C1367" s="3">
        <v>2</v>
      </c>
      <c r="D1367" s="6">
        <v>56.7</v>
      </c>
      <c r="E1367" s="6">
        <v>113.4</v>
      </c>
      <c r="F1367" s="5">
        <v>45709</v>
      </c>
      <c r="G1367" s="5">
        <v>45711</v>
      </c>
      <c r="H1367" s="3"/>
      <c r="I1367" s="4" t="s">
        <v>21</v>
      </c>
      <c r="J1367" s="3">
        <v>5</v>
      </c>
      <c r="K1367" s="3" t="s">
        <v>38</v>
      </c>
      <c r="L1367" s="3">
        <v>2</v>
      </c>
      <c r="M1367" s="3">
        <v>8</v>
      </c>
      <c r="N1367" s="3" t="s">
        <v>23</v>
      </c>
    </row>
    <row r="1368" spans="1:14" x14ac:dyDescent="0.3">
      <c r="A1368" s="7" t="s">
        <v>1451</v>
      </c>
      <c r="B1368" s="7" t="s">
        <v>35</v>
      </c>
      <c r="C1368" s="7">
        <v>4</v>
      </c>
      <c r="D1368" s="10">
        <v>66.5</v>
      </c>
      <c r="E1368" s="10">
        <v>266</v>
      </c>
      <c r="F1368" s="9">
        <v>45709</v>
      </c>
      <c r="G1368" s="9">
        <v>45709</v>
      </c>
      <c r="H1368" s="7" t="s">
        <v>31</v>
      </c>
      <c r="I1368" s="8" t="s">
        <v>21</v>
      </c>
      <c r="J1368" s="7">
        <v>5</v>
      </c>
      <c r="K1368" s="7" t="s">
        <v>38</v>
      </c>
      <c r="L1368" s="7">
        <v>0</v>
      </c>
      <c r="M1368" s="7">
        <v>8</v>
      </c>
      <c r="N1368" s="7" t="s">
        <v>33</v>
      </c>
    </row>
    <row r="1369" spans="1:14" x14ac:dyDescent="0.3">
      <c r="A1369" s="3" t="s">
        <v>1452</v>
      </c>
      <c r="B1369" s="3" t="s">
        <v>25</v>
      </c>
      <c r="C1369" s="3">
        <v>2</v>
      </c>
      <c r="D1369" s="6">
        <v>105.3</v>
      </c>
      <c r="E1369" s="6">
        <v>210.6</v>
      </c>
      <c r="F1369" s="5">
        <v>45709</v>
      </c>
      <c r="G1369" s="5">
        <v>45713</v>
      </c>
      <c r="H1369" s="3" t="s">
        <v>26</v>
      </c>
      <c r="I1369" s="4" t="s">
        <v>21</v>
      </c>
      <c r="J1369" s="3">
        <v>3</v>
      </c>
      <c r="K1369" s="3" t="s">
        <v>38</v>
      </c>
      <c r="L1369" s="3">
        <v>4</v>
      </c>
      <c r="M1369" s="3">
        <v>8</v>
      </c>
      <c r="N1369" s="3" t="s">
        <v>28</v>
      </c>
    </row>
    <row r="1370" spans="1:14" x14ac:dyDescent="0.3">
      <c r="A1370" s="7" t="s">
        <v>1453</v>
      </c>
      <c r="B1370" s="7" t="s">
        <v>59</v>
      </c>
      <c r="C1370" s="7">
        <v>5</v>
      </c>
      <c r="D1370" s="10">
        <v>33.799999999999997</v>
      </c>
      <c r="E1370" s="10">
        <v>169</v>
      </c>
      <c r="F1370" s="9">
        <v>45709</v>
      </c>
      <c r="G1370" s="9">
        <v>45714</v>
      </c>
      <c r="H1370" s="7" t="s">
        <v>26</v>
      </c>
      <c r="I1370" s="8" t="s">
        <v>21</v>
      </c>
      <c r="J1370" s="7">
        <v>4</v>
      </c>
      <c r="K1370" s="7" t="s">
        <v>38</v>
      </c>
      <c r="L1370" s="7">
        <v>5</v>
      </c>
      <c r="M1370" s="7">
        <v>8</v>
      </c>
      <c r="N1370" s="7" t="s">
        <v>28</v>
      </c>
    </row>
    <row r="1371" spans="1:14" x14ac:dyDescent="0.3">
      <c r="A1371" s="3" t="s">
        <v>1454</v>
      </c>
      <c r="B1371" s="3" t="s">
        <v>44</v>
      </c>
      <c r="C1371" s="3">
        <v>3</v>
      </c>
      <c r="D1371" s="6">
        <v>63.4</v>
      </c>
      <c r="E1371" s="6">
        <v>190.2</v>
      </c>
      <c r="F1371" s="5">
        <v>45709</v>
      </c>
      <c r="G1371" s="5">
        <v>45714</v>
      </c>
      <c r="H1371" s="3" t="s">
        <v>26</v>
      </c>
      <c r="I1371" s="4" t="s">
        <v>56</v>
      </c>
      <c r="J1371" s="3">
        <v>3</v>
      </c>
      <c r="K1371" s="3" t="s">
        <v>192</v>
      </c>
      <c r="L1371" s="3">
        <v>5</v>
      </c>
      <c r="M1371" s="3">
        <v>8</v>
      </c>
      <c r="N1371" s="3" t="s">
        <v>28</v>
      </c>
    </row>
    <row r="1372" spans="1:14" x14ac:dyDescent="0.3">
      <c r="A1372" s="7" t="s">
        <v>1455</v>
      </c>
      <c r="B1372" s="7" t="s">
        <v>44</v>
      </c>
      <c r="C1372" s="7">
        <v>3</v>
      </c>
      <c r="D1372" s="10">
        <v>49</v>
      </c>
      <c r="E1372" s="10">
        <v>147</v>
      </c>
      <c r="F1372" s="9">
        <v>45709</v>
      </c>
      <c r="G1372" s="9">
        <v>45713</v>
      </c>
      <c r="H1372" s="7" t="s">
        <v>26</v>
      </c>
      <c r="I1372" s="8" t="s">
        <v>56</v>
      </c>
      <c r="J1372" s="7">
        <v>4</v>
      </c>
      <c r="K1372" s="7" t="s">
        <v>194</v>
      </c>
      <c r="L1372" s="7">
        <v>4</v>
      </c>
      <c r="M1372" s="7">
        <v>8</v>
      </c>
      <c r="N1372" s="7" t="s">
        <v>28</v>
      </c>
    </row>
    <row r="1373" spans="1:14" x14ac:dyDescent="0.3">
      <c r="A1373" s="3" t="s">
        <v>1456</v>
      </c>
      <c r="B1373" s="3" t="s">
        <v>25</v>
      </c>
      <c r="C1373" s="3">
        <v>2</v>
      </c>
      <c r="D1373" s="6">
        <v>40</v>
      </c>
      <c r="E1373" s="6">
        <v>80</v>
      </c>
      <c r="F1373" s="5">
        <v>45709</v>
      </c>
      <c r="G1373" s="5">
        <v>45710</v>
      </c>
      <c r="H1373" s="3" t="s">
        <v>31</v>
      </c>
      <c r="I1373" s="4" t="s">
        <v>75</v>
      </c>
      <c r="J1373" s="3">
        <v>3</v>
      </c>
      <c r="K1373" s="3" t="s">
        <v>164</v>
      </c>
      <c r="L1373" s="3">
        <v>1</v>
      </c>
      <c r="M1373" s="3">
        <v>8</v>
      </c>
      <c r="N1373" s="3" t="s">
        <v>33</v>
      </c>
    </row>
    <row r="1374" spans="1:14" x14ac:dyDescent="0.3">
      <c r="A1374" s="7" t="s">
        <v>1457</v>
      </c>
      <c r="B1374" s="7" t="s">
        <v>44</v>
      </c>
      <c r="C1374" s="7">
        <v>4</v>
      </c>
      <c r="D1374" s="10">
        <v>86.3</v>
      </c>
      <c r="E1374" s="10">
        <v>345.2</v>
      </c>
      <c r="F1374" s="9">
        <v>45709</v>
      </c>
      <c r="G1374" s="9">
        <v>45710</v>
      </c>
      <c r="H1374" s="7" t="s">
        <v>94</v>
      </c>
      <c r="I1374" s="8" t="s">
        <v>21</v>
      </c>
      <c r="J1374" s="7">
        <v>4</v>
      </c>
      <c r="K1374" s="7" t="s">
        <v>60</v>
      </c>
      <c r="L1374" s="7">
        <v>1</v>
      </c>
      <c r="M1374" s="7">
        <v>8</v>
      </c>
      <c r="N1374" s="7" t="s">
        <v>95</v>
      </c>
    </row>
    <row r="1375" spans="1:14" x14ac:dyDescent="0.3">
      <c r="A1375" s="3" t="s">
        <v>1458</v>
      </c>
      <c r="B1375" s="3" t="s">
        <v>44</v>
      </c>
      <c r="C1375" s="3">
        <v>1</v>
      </c>
      <c r="D1375" s="6">
        <v>51.6</v>
      </c>
      <c r="E1375" s="6">
        <v>51.6</v>
      </c>
      <c r="F1375" s="5">
        <v>45709</v>
      </c>
      <c r="G1375" s="5">
        <v>45711</v>
      </c>
      <c r="H1375" s="3" t="s">
        <v>31</v>
      </c>
      <c r="I1375" s="4" t="s">
        <v>45</v>
      </c>
      <c r="J1375" s="3">
        <v>5</v>
      </c>
      <c r="K1375" s="3" t="s">
        <v>60</v>
      </c>
      <c r="L1375" s="3">
        <v>2</v>
      </c>
      <c r="M1375" s="3">
        <v>8</v>
      </c>
      <c r="N1375" s="3" t="s">
        <v>33</v>
      </c>
    </row>
    <row r="1376" spans="1:14" x14ac:dyDescent="0.3">
      <c r="A1376" s="7" t="s">
        <v>1459</v>
      </c>
      <c r="B1376" s="7" t="s">
        <v>59</v>
      </c>
      <c r="C1376" s="7">
        <v>3</v>
      </c>
      <c r="D1376" s="10">
        <v>26.7</v>
      </c>
      <c r="E1376" s="10">
        <v>80.099999999999994</v>
      </c>
      <c r="F1376" s="9">
        <v>45709</v>
      </c>
      <c r="G1376" s="9">
        <v>45714</v>
      </c>
      <c r="H1376" s="7" t="s">
        <v>31</v>
      </c>
      <c r="I1376" s="8" t="s">
        <v>45</v>
      </c>
      <c r="J1376" s="7">
        <v>3</v>
      </c>
      <c r="K1376" s="7" t="s">
        <v>60</v>
      </c>
      <c r="L1376" s="7">
        <v>5</v>
      </c>
      <c r="M1376" s="7">
        <v>8</v>
      </c>
      <c r="N1376" s="7" t="s">
        <v>33</v>
      </c>
    </row>
    <row r="1377" spans="1:14" x14ac:dyDescent="0.3">
      <c r="A1377" s="3" t="s">
        <v>1460</v>
      </c>
      <c r="B1377" s="3" t="s">
        <v>152</v>
      </c>
      <c r="C1377" s="3">
        <v>2</v>
      </c>
      <c r="D1377" s="6">
        <v>68.099999999999994</v>
      </c>
      <c r="E1377" s="6">
        <v>136.19999999999999</v>
      </c>
      <c r="F1377" s="5">
        <v>45709</v>
      </c>
      <c r="G1377" s="5">
        <v>45710</v>
      </c>
      <c r="H1377" s="3" t="s">
        <v>26</v>
      </c>
      <c r="I1377" s="4" t="s">
        <v>21</v>
      </c>
      <c r="J1377" s="3">
        <v>3</v>
      </c>
      <c r="K1377" s="3" t="s">
        <v>60</v>
      </c>
      <c r="L1377" s="3">
        <v>1</v>
      </c>
      <c r="M1377" s="3">
        <v>8</v>
      </c>
      <c r="N1377" s="3" t="s">
        <v>28</v>
      </c>
    </row>
    <row r="1378" spans="1:14" x14ac:dyDescent="0.3">
      <c r="A1378" s="7" t="s">
        <v>1461</v>
      </c>
      <c r="B1378" s="7" t="s">
        <v>25</v>
      </c>
      <c r="C1378" s="7">
        <v>1</v>
      </c>
      <c r="D1378" s="10">
        <v>81.7</v>
      </c>
      <c r="E1378" s="10">
        <v>81.7</v>
      </c>
      <c r="F1378" s="9">
        <v>45709</v>
      </c>
      <c r="G1378" s="9">
        <v>45710</v>
      </c>
      <c r="H1378" s="7" t="s">
        <v>26</v>
      </c>
      <c r="I1378" s="8" t="s">
        <v>21</v>
      </c>
      <c r="J1378" s="7">
        <v>4</v>
      </c>
      <c r="K1378" s="7" t="s">
        <v>64</v>
      </c>
      <c r="L1378" s="7">
        <v>1</v>
      </c>
      <c r="M1378" s="7">
        <v>8</v>
      </c>
      <c r="N1378" s="7" t="s">
        <v>28</v>
      </c>
    </row>
    <row r="1379" spans="1:14" x14ac:dyDescent="0.3">
      <c r="A1379" s="3" t="s">
        <v>1462</v>
      </c>
      <c r="B1379" s="3" t="s">
        <v>152</v>
      </c>
      <c r="C1379" s="3">
        <v>10</v>
      </c>
      <c r="D1379" s="6">
        <v>25.1</v>
      </c>
      <c r="E1379" s="6">
        <v>251</v>
      </c>
      <c r="F1379" s="5">
        <v>45709</v>
      </c>
      <c r="G1379" s="5">
        <v>45712</v>
      </c>
      <c r="H1379" s="3" t="s">
        <v>26</v>
      </c>
      <c r="I1379" s="4" t="s">
        <v>56</v>
      </c>
      <c r="J1379" s="3">
        <v>3</v>
      </c>
      <c r="K1379" s="3" t="s">
        <v>67</v>
      </c>
      <c r="L1379" s="3">
        <v>3</v>
      </c>
      <c r="M1379" s="3">
        <v>8</v>
      </c>
      <c r="N1379" s="3" t="s">
        <v>28</v>
      </c>
    </row>
    <row r="1380" spans="1:14" x14ac:dyDescent="0.3">
      <c r="A1380" s="7" t="s">
        <v>1463</v>
      </c>
      <c r="B1380" s="7" t="s">
        <v>49</v>
      </c>
      <c r="C1380" s="7">
        <v>1</v>
      </c>
      <c r="D1380" s="10">
        <v>20.2</v>
      </c>
      <c r="E1380" s="10">
        <v>20.2</v>
      </c>
      <c r="F1380" s="9">
        <v>45709</v>
      </c>
      <c r="G1380" s="9">
        <v>45713</v>
      </c>
      <c r="H1380" s="7" t="s">
        <v>31</v>
      </c>
      <c r="I1380" s="8" t="s">
        <v>21</v>
      </c>
      <c r="J1380" s="7">
        <v>4</v>
      </c>
      <c r="K1380" s="7" t="s">
        <v>67</v>
      </c>
      <c r="L1380" s="7">
        <v>4</v>
      </c>
      <c r="M1380" s="7">
        <v>8</v>
      </c>
      <c r="N1380" s="7" t="s">
        <v>33</v>
      </c>
    </row>
    <row r="1381" spans="1:14" x14ac:dyDescent="0.3">
      <c r="A1381" s="3" t="s">
        <v>1464</v>
      </c>
      <c r="B1381" s="3" t="s">
        <v>49</v>
      </c>
      <c r="C1381" s="3">
        <v>3</v>
      </c>
      <c r="D1381" s="6">
        <v>15.4</v>
      </c>
      <c r="E1381" s="6">
        <v>46.2</v>
      </c>
      <c r="F1381" s="5">
        <v>45709</v>
      </c>
      <c r="G1381" s="5">
        <v>45710</v>
      </c>
      <c r="H1381" s="3" t="s">
        <v>26</v>
      </c>
      <c r="I1381" s="4" t="s">
        <v>40</v>
      </c>
      <c r="J1381" s="3">
        <v>5</v>
      </c>
      <c r="K1381" s="3" t="s">
        <v>67</v>
      </c>
      <c r="L1381" s="3">
        <v>1</v>
      </c>
      <c r="M1381" s="3">
        <v>8</v>
      </c>
      <c r="N1381" s="3" t="s">
        <v>28</v>
      </c>
    </row>
    <row r="1382" spans="1:14" x14ac:dyDescent="0.3">
      <c r="A1382" s="7" t="s">
        <v>1465</v>
      </c>
      <c r="B1382" s="7" t="s">
        <v>59</v>
      </c>
      <c r="C1382" s="7">
        <v>1</v>
      </c>
      <c r="D1382" s="10">
        <v>59.2</v>
      </c>
      <c r="E1382" s="10">
        <v>59.2</v>
      </c>
      <c r="F1382" s="9">
        <v>45709</v>
      </c>
      <c r="G1382" s="9">
        <v>45710</v>
      </c>
      <c r="H1382" s="7" t="s">
        <v>26</v>
      </c>
      <c r="I1382" s="8" t="s">
        <v>45</v>
      </c>
      <c r="J1382" s="7">
        <v>5</v>
      </c>
      <c r="K1382" s="7" t="s">
        <v>109</v>
      </c>
      <c r="L1382" s="7">
        <v>1</v>
      </c>
      <c r="M1382" s="7">
        <v>8</v>
      </c>
      <c r="N1382" s="7" t="s">
        <v>28</v>
      </c>
    </row>
    <row r="1383" spans="1:14" x14ac:dyDescent="0.3">
      <c r="A1383" s="3" t="s">
        <v>1466</v>
      </c>
      <c r="B1383" s="3" t="s">
        <v>20</v>
      </c>
      <c r="C1383" s="3">
        <v>1</v>
      </c>
      <c r="D1383" s="6">
        <v>46.7</v>
      </c>
      <c r="E1383" s="6">
        <v>46.7</v>
      </c>
      <c r="F1383" s="5">
        <v>45709</v>
      </c>
      <c r="G1383" s="5">
        <v>45714</v>
      </c>
      <c r="H1383" s="3" t="s">
        <v>26</v>
      </c>
      <c r="I1383" s="4" t="s">
        <v>21</v>
      </c>
      <c r="J1383" s="3">
        <v>4</v>
      </c>
      <c r="K1383" s="3" t="s">
        <v>109</v>
      </c>
      <c r="L1383" s="3">
        <v>5</v>
      </c>
      <c r="M1383" s="3">
        <v>8</v>
      </c>
      <c r="N1383" s="3" t="s">
        <v>28</v>
      </c>
    </row>
    <row r="1384" spans="1:14" x14ac:dyDescent="0.3">
      <c r="A1384" s="7" t="s">
        <v>1467</v>
      </c>
      <c r="B1384" s="7" t="s">
        <v>44</v>
      </c>
      <c r="C1384" s="7">
        <v>15</v>
      </c>
      <c r="D1384" s="10">
        <v>41.6</v>
      </c>
      <c r="E1384" s="10">
        <v>624</v>
      </c>
      <c r="F1384" s="9">
        <v>45709</v>
      </c>
      <c r="G1384" s="9">
        <v>45711</v>
      </c>
      <c r="H1384" s="7" t="s">
        <v>26</v>
      </c>
      <c r="I1384" s="8" t="s">
        <v>40</v>
      </c>
      <c r="J1384" s="7">
        <v>4</v>
      </c>
      <c r="K1384" s="7" t="s">
        <v>207</v>
      </c>
      <c r="L1384" s="7">
        <v>2</v>
      </c>
      <c r="M1384" s="7">
        <v>8</v>
      </c>
      <c r="N1384" s="7" t="s">
        <v>28</v>
      </c>
    </row>
    <row r="1385" spans="1:14" x14ac:dyDescent="0.3">
      <c r="A1385" s="3" t="s">
        <v>1468</v>
      </c>
      <c r="B1385" s="3" t="s">
        <v>49</v>
      </c>
      <c r="C1385" s="3">
        <v>2</v>
      </c>
      <c r="D1385" s="6">
        <v>19.2</v>
      </c>
      <c r="E1385" s="6">
        <v>38.4</v>
      </c>
      <c r="F1385" s="5">
        <v>45709</v>
      </c>
      <c r="G1385" s="5">
        <v>45712</v>
      </c>
      <c r="H1385" s="3" t="s">
        <v>26</v>
      </c>
      <c r="I1385" s="4" t="s">
        <v>75</v>
      </c>
      <c r="J1385" s="3">
        <v>5</v>
      </c>
      <c r="K1385" s="3" t="s">
        <v>77</v>
      </c>
      <c r="L1385" s="3">
        <v>3</v>
      </c>
      <c r="M1385" s="3">
        <v>8</v>
      </c>
      <c r="N1385" s="3" t="s">
        <v>28</v>
      </c>
    </row>
    <row r="1386" spans="1:14" x14ac:dyDescent="0.3">
      <c r="A1386" s="7" t="s">
        <v>1469</v>
      </c>
      <c r="B1386" s="7" t="s">
        <v>141</v>
      </c>
      <c r="C1386" s="7">
        <v>7</v>
      </c>
      <c r="D1386" s="10">
        <v>41.8</v>
      </c>
      <c r="E1386" s="10">
        <v>292.60000000000002</v>
      </c>
      <c r="F1386" s="9">
        <v>45709</v>
      </c>
      <c r="G1386" s="9">
        <v>45711</v>
      </c>
      <c r="H1386" s="7" t="s">
        <v>31</v>
      </c>
      <c r="I1386" s="8" t="s">
        <v>45</v>
      </c>
      <c r="J1386" s="7">
        <v>4</v>
      </c>
      <c r="K1386" s="7" t="s">
        <v>82</v>
      </c>
      <c r="L1386" s="7">
        <v>2</v>
      </c>
      <c r="M1386" s="7">
        <v>8</v>
      </c>
      <c r="N1386" s="7" t="s">
        <v>33</v>
      </c>
    </row>
    <row r="1387" spans="1:14" x14ac:dyDescent="0.3">
      <c r="A1387" s="3" t="s">
        <v>1470</v>
      </c>
      <c r="B1387" s="3" t="s">
        <v>49</v>
      </c>
      <c r="C1387" s="3">
        <v>6</v>
      </c>
      <c r="D1387" s="6">
        <v>37.4</v>
      </c>
      <c r="E1387" s="6">
        <v>224.4</v>
      </c>
      <c r="F1387" s="5">
        <v>45709</v>
      </c>
      <c r="G1387" s="5">
        <v>45711</v>
      </c>
      <c r="H1387" s="3" t="s">
        <v>26</v>
      </c>
      <c r="I1387" s="4" t="s">
        <v>21</v>
      </c>
      <c r="J1387" s="3">
        <v>5</v>
      </c>
      <c r="K1387" s="3" t="s">
        <v>82</v>
      </c>
      <c r="L1387" s="3">
        <v>2</v>
      </c>
      <c r="M1387" s="3">
        <v>8</v>
      </c>
      <c r="N1387" s="3" t="s">
        <v>28</v>
      </c>
    </row>
    <row r="1388" spans="1:14" x14ac:dyDescent="0.3">
      <c r="A1388" s="7" t="s">
        <v>1471</v>
      </c>
      <c r="B1388" s="7" t="s">
        <v>59</v>
      </c>
      <c r="C1388" s="7">
        <v>3</v>
      </c>
      <c r="D1388" s="10">
        <v>60.2</v>
      </c>
      <c r="E1388" s="10">
        <v>180.6</v>
      </c>
      <c r="F1388" s="9">
        <v>45709</v>
      </c>
      <c r="G1388" s="9">
        <v>45712</v>
      </c>
      <c r="H1388" s="7" t="s">
        <v>26</v>
      </c>
      <c r="I1388" s="8" t="s">
        <v>75</v>
      </c>
      <c r="J1388" s="7">
        <v>3</v>
      </c>
      <c r="K1388" s="7" t="s">
        <v>84</v>
      </c>
      <c r="L1388" s="7">
        <v>3</v>
      </c>
      <c r="M1388" s="7">
        <v>8</v>
      </c>
      <c r="N1388" s="7" t="s">
        <v>28</v>
      </c>
    </row>
    <row r="1389" spans="1:14" x14ac:dyDescent="0.3">
      <c r="A1389" s="3" t="s">
        <v>1472</v>
      </c>
      <c r="B1389" s="3" t="s">
        <v>51</v>
      </c>
      <c r="C1389" s="3">
        <v>2</v>
      </c>
      <c r="D1389" s="6">
        <v>91.5</v>
      </c>
      <c r="E1389" s="6">
        <v>183</v>
      </c>
      <c r="F1389" s="5">
        <v>45710</v>
      </c>
      <c r="G1389" s="5">
        <v>45711</v>
      </c>
      <c r="H1389" s="3" t="s">
        <v>26</v>
      </c>
      <c r="I1389" s="4" t="s">
        <v>21</v>
      </c>
      <c r="J1389" s="3">
        <v>4</v>
      </c>
      <c r="K1389" s="3" t="s">
        <v>87</v>
      </c>
      <c r="L1389" s="3">
        <v>1</v>
      </c>
      <c r="M1389" s="3">
        <v>8</v>
      </c>
      <c r="N1389" s="3" t="s">
        <v>28</v>
      </c>
    </row>
    <row r="1390" spans="1:14" x14ac:dyDescent="0.3">
      <c r="A1390" s="7" t="s">
        <v>1473</v>
      </c>
      <c r="B1390" s="7" t="s">
        <v>35</v>
      </c>
      <c r="C1390" s="7">
        <v>5</v>
      </c>
      <c r="D1390" s="10">
        <v>55.7</v>
      </c>
      <c r="E1390" s="10">
        <v>278.5</v>
      </c>
      <c r="F1390" s="9">
        <v>45710</v>
      </c>
      <c r="G1390" s="9">
        <v>45712</v>
      </c>
      <c r="H1390" s="7"/>
      <c r="I1390" s="8" t="s">
        <v>40</v>
      </c>
      <c r="J1390" s="7">
        <v>5</v>
      </c>
      <c r="K1390" s="7" t="s">
        <v>121</v>
      </c>
      <c r="L1390" s="7">
        <v>2</v>
      </c>
      <c r="M1390" s="7">
        <v>8</v>
      </c>
      <c r="N1390" s="7" t="s">
        <v>23</v>
      </c>
    </row>
    <row r="1391" spans="1:14" x14ac:dyDescent="0.3">
      <c r="A1391" s="3" t="s">
        <v>1474</v>
      </c>
      <c r="B1391" s="3" t="s">
        <v>47</v>
      </c>
      <c r="C1391" s="3">
        <v>2</v>
      </c>
      <c r="D1391" s="6">
        <v>76.7</v>
      </c>
      <c r="E1391" s="6">
        <v>153.4</v>
      </c>
      <c r="F1391" s="5">
        <v>45710</v>
      </c>
      <c r="G1391" s="5">
        <v>45712</v>
      </c>
      <c r="H1391" s="3" t="s">
        <v>26</v>
      </c>
      <c r="I1391" s="4" t="s">
        <v>21</v>
      </c>
      <c r="J1391" s="3">
        <v>3</v>
      </c>
      <c r="K1391" s="3" t="s">
        <v>121</v>
      </c>
      <c r="L1391" s="3">
        <v>2</v>
      </c>
      <c r="M1391" s="3">
        <v>8</v>
      </c>
      <c r="N1391" s="3" t="s">
        <v>28</v>
      </c>
    </row>
    <row r="1392" spans="1:14" x14ac:dyDescent="0.3">
      <c r="A1392" s="7" t="s">
        <v>1475</v>
      </c>
      <c r="B1392" s="7" t="s">
        <v>49</v>
      </c>
      <c r="C1392" s="7">
        <v>21</v>
      </c>
      <c r="D1392" s="10">
        <v>28.2</v>
      </c>
      <c r="E1392" s="10">
        <v>592.19999999999993</v>
      </c>
      <c r="F1392" s="9">
        <v>45710</v>
      </c>
      <c r="G1392" s="9">
        <v>45715</v>
      </c>
      <c r="H1392" s="7" t="s">
        <v>26</v>
      </c>
      <c r="I1392" s="8" t="s">
        <v>45</v>
      </c>
      <c r="J1392" s="7">
        <v>4</v>
      </c>
      <c r="K1392" s="7" t="s">
        <v>27</v>
      </c>
      <c r="L1392" s="7">
        <v>5</v>
      </c>
      <c r="M1392" s="7">
        <v>8</v>
      </c>
      <c r="N1392" s="7" t="s">
        <v>28</v>
      </c>
    </row>
    <row r="1393" spans="1:14" x14ac:dyDescent="0.3">
      <c r="A1393" s="3" t="s">
        <v>1476</v>
      </c>
      <c r="B1393" s="3" t="s">
        <v>47</v>
      </c>
      <c r="C1393" s="3">
        <v>5</v>
      </c>
      <c r="D1393" s="6">
        <v>93.2</v>
      </c>
      <c r="E1393" s="6">
        <v>466</v>
      </c>
      <c r="F1393" s="5">
        <v>45710</v>
      </c>
      <c r="G1393" s="5">
        <v>45712</v>
      </c>
      <c r="H1393" s="3" t="s">
        <v>31</v>
      </c>
      <c r="I1393" s="4" t="s">
        <v>75</v>
      </c>
      <c r="J1393" s="3">
        <v>5</v>
      </c>
      <c r="K1393" s="3" t="s">
        <v>27</v>
      </c>
      <c r="L1393" s="3">
        <v>2</v>
      </c>
      <c r="M1393" s="3">
        <v>8</v>
      </c>
      <c r="N1393" s="3" t="s">
        <v>33</v>
      </c>
    </row>
    <row r="1394" spans="1:14" x14ac:dyDescent="0.3">
      <c r="A1394" s="7" t="s">
        <v>1477</v>
      </c>
      <c r="B1394" s="7" t="s">
        <v>141</v>
      </c>
      <c r="C1394" s="7">
        <v>1</v>
      </c>
      <c r="D1394" s="10">
        <v>33.299999999999997</v>
      </c>
      <c r="E1394" s="10">
        <v>33.299999999999997</v>
      </c>
      <c r="F1394" s="9">
        <v>45710</v>
      </c>
      <c r="G1394" s="9">
        <v>45711</v>
      </c>
      <c r="H1394" s="7" t="s">
        <v>26</v>
      </c>
      <c r="I1394" s="8" t="s">
        <v>75</v>
      </c>
      <c r="J1394" s="7">
        <v>4</v>
      </c>
      <c r="K1394" s="7" t="s">
        <v>32</v>
      </c>
      <c r="L1394" s="7">
        <v>1</v>
      </c>
      <c r="M1394" s="7">
        <v>8</v>
      </c>
      <c r="N1394" s="7" t="s">
        <v>28</v>
      </c>
    </row>
    <row r="1395" spans="1:14" x14ac:dyDescent="0.3">
      <c r="A1395" s="3" t="s">
        <v>1478</v>
      </c>
      <c r="B1395" s="3" t="s">
        <v>59</v>
      </c>
      <c r="C1395" s="3">
        <v>2</v>
      </c>
      <c r="D1395" s="6">
        <v>39.1</v>
      </c>
      <c r="E1395" s="6">
        <v>78.2</v>
      </c>
      <c r="F1395" s="5">
        <v>45710</v>
      </c>
      <c r="G1395" s="5">
        <v>45713</v>
      </c>
      <c r="H1395" s="3" t="s">
        <v>26</v>
      </c>
      <c r="I1395" s="4" t="s">
        <v>21</v>
      </c>
      <c r="J1395" s="3">
        <v>4</v>
      </c>
      <c r="K1395" s="3" t="s">
        <v>119</v>
      </c>
      <c r="L1395" s="3">
        <v>3</v>
      </c>
      <c r="M1395" s="3">
        <v>8</v>
      </c>
      <c r="N1395" s="3" t="s">
        <v>28</v>
      </c>
    </row>
    <row r="1396" spans="1:14" x14ac:dyDescent="0.3">
      <c r="A1396" s="7" t="s">
        <v>1479</v>
      </c>
      <c r="B1396" s="7" t="s">
        <v>47</v>
      </c>
      <c r="C1396" s="7">
        <v>12</v>
      </c>
      <c r="D1396" s="10">
        <v>45.3</v>
      </c>
      <c r="E1396" s="10">
        <v>543.59999999999991</v>
      </c>
      <c r="F1396" s="9">
        <v>45710</v>
      </c>
      <c r="G1396" s="9">
        <v>45711</v>
      </c>
      <c r="H1396" s="7" t="s">
        <v>26</v>
      </c>
      <c r="I1396" s="8" t="s">
        <v>45</v>
      </c>
      <c r="J1396" s="7">
        <v>4</v>
      </c>
      <c r="K1396" s="7" t="s">
        <v>337</v>
      </c>
      <c r="L1396" s="7">
        <v>1</v>
      </c>
      <c r="M1396" s="7">
        <v>8</v>
      </c>
      <c r="N1396" s="7" t="s">
        <v>28</v>
      </c>
    </row>
    <row r="1397" spans="1:14" x14ac:dyDescent="0.3">
      <c r="A1397" s="3" t="s">
        <v>1480</v>
      </c>
      <c r="B1397" s="3" t="s">
        <v>51</v>
      </c>
      <c r="C1397" s="3">
        <v>7</v>
      </c>
      <c r="D1397" s="6">
        <v>33.9</v>
      </c>
      <c r="E1397" s="6">
        <v>237.3</v>
      </c>
      <c r="F1397" s="5">
        <v>45710</v>
      </c>
      <c r="G1397" s="5">
        <v>45711</v>
      </c>
      <c r="H1397" s="3" t="s">
        <v>26</v>
      </c>
      <c r="I1397" s="4" t="s">
        <v>75</v>
      </c>
      <c r="J1397" s="3">
        <v>4</v>
      </c>
      <c r="K1397" s="3" t="s">
        <v>337</v>
      </c>
      <c r="L1397" s="3">
        <v>1</v>
      </c>
      <c r="M1397" s="3">
        <v>8</v>
      </c>
      <c r="N1397" s="3" t="s">
        <v>28</v>
      </c>
    </row>
    <row r="1398" spans="1:14" x14ac:dyDescent="0.3">
      <c r="A1398" s="7" t="s">
        <v>1481</v>
      </c>
      <c r="B1398" s="7" t="s">
        <v>49</v>
      </c>
      <c r="C1398" s="7">
        <v>3</v>
      </c>
      <c r="D1398" s="10">
        <v>19</v>
      </c>
      <c r="E1398" s="10">
        <v>57</v>
      </c>
      <c r="F1398" s="9">
        <v>45710</v>
      </c>
      <c r="G1398" s="9">
        <v>45711</v>
      </c>
      <c r="H1398" s="7" t="s">
        <v>26</v>
      </c>
      <c r="I1398" s="8" t="s">
        <v>21</v>
      </c>
      <c r="J1398" s="7">
        <v>5</v>
      </c>
      <c r="K1398" s="7" t="s">
        <v>91</v>
      </c>
      <c r="L1398" s="7">
        <v>1</v>
      </c>
      <c r="M1398" s="7">
        <v>8</v>
      </c>
      <c r="N1398" s="7" t="s">
        <v>28</v>
      </c>
    </row>
    <row r="1399" spans="1:14" x14ac:dyDescent="0.3">
      <c r="A1399" s="3" t="s">
        <v>1482</v>
      </c>
      <c r="B1399" s="3" t="s">
        <v>37</v>
      </c>
      <c r="C1399" s="3">
        <v>1</v>
      </c>
      <c r="D1399" s="6">
        <v>41.9</v>
      </c>
      <c r="E1399" s="6">
        <v>41.9</v>
      </c>
      <c r="F1399" s="5">
        <v>45710</v>
      </c>
      <c r="G1399" s="5">
        <v>45713</v>
      </c>
      <c r="H1399" s="3" t="s">
        <v>31</v>
      </c>
      <c r="I1399" s="4" t="s">
        <v>45</v>
      </c>
      <c r="J1399" s="3">
        <v>4</v>
      </c>
      <c r="K1399" s="3" t="s">
        <v>153</v>
      </c>
      <c r="L1399" s="3">
        <v>3</v>
      </c>
      <c r="M1399" s="3">
        <v>8</v>
      </c>
      <c r="N1399" s="3" t="s">
        <v>33</v>
      </c>
    </row>
    <row r="1400" spans="1:14" x14ac:dyDescent="0.3">
      <c r="A1400" s="7" t="s">
        <v>1483</v>
      </c>
      <c r="B1400" s="7" t="s">
        <v>25</v>
      </c>
      <c r="C1400" s="7">
        <v>4</v>
      </c>
      <c r="D1400" s="10">
        <v>37.5</v>
      </c>
      <c r="E1400" s="10">
        <v>150</v>
      </c>
      <c r="F1400" s="9">
        <v>45710</v>
      </c>
      <c r="G1400" s="9">
        <v>45710</v>
      </c>
      <c r="H1400" s="7" t="s">
        <v>31</v>
      </c>
      <c r="I1400" s="8" t="s">
        <v>21</v>
      </c>
      <c r="J1400" s="7">
        <v>4</v>
      </c>
      <c r="K1400" s="7" t="s">
        <v>38</v>
      </c>
      <c r="L1400" s="7">
        <v>0</v>
      </c>
      <c r="M1400" s="7">
        <v>8</v>
      </c>
      <c r="N1400" s="7" t="s">
        <v>33</v>
      </c>
    </row>
    <row r="1401" spans="1:14" x14ac:dyDescent="0.3">
      <c r="A1401" s="3" t="s">
        <v>1484</v>
      </c>
      <c r="B1401" s="3" t="s">
        <v>20</v>
      </c>
      <c r="C1401" s="3">
        <v>2</v>
      </c>
      <c r="D1401" s="6">
        <v>40.799999999999997</v>
      </c>
      <c r="E1401" s="6">
        <v>81.599999999999994</v>
      </c>
      <c r="F1401" s="5">
        <v>45710</v>
      </c>
      <c r="G1401" s="5">
        <v>45713</v>
      </c>
      <c r="H1401" s="3" t="s">
        <v>26</v>
      </c>
      <c r="I1401" s="4" t="s">
        <v>21</v>
      </c>
      <c r="J1401" s="3">
        <v>4</v>
      </c>
      <c r="K1401" s="3" t="s">
        <v>38</v>
      </c>
      <c r="L1401" s="3">
        <v>3</v>
      </c>
      <c r="M1401" s="3">
        <v>8</v>
      </c>
      <c r="N1401" s="3" t="s">
        <v>28</v>
      </c>
    </row>
    <row r="1402" spans="1:14" x14ac:dyDescent="0.3">
      <c r="A1402" s="7" t="s">
        <v>1485</v>
      </c>
      <c r="B1402" s="7" t="s">
        <v>20</v>
      </c>
      <c r="C1402" s="7">
        <v>4</v>
      </c>
      <c r="D1402" s="10">
        <v>23.1</v>
      </c>
      <c r="E1402" s="10">
        <v>92.4</v>
      </c>
      <c r="F1402" s="9">
        <v>45710</v>
      </c>
      <c r="G1402" s="9">
        <v>45711</v>
      </c>
      <c r="H1402" s="7" t="s">
        <v>31</v>
      </c>
      <c r="I1402" s="8" t="s">
        <v>75</v>
      </c>
      <c r="J1402" s="7">
        <v>4</v>
      </c>
      <c r="K1402" s="7" t="s">
        <v>38</v>
      </c>
      <c r="L1402" s="7">
        <v>1</v>
      </c>
      <c r="M1402" s="7">
        <v>8</v>
      </c>
      <c r="N1402" s="7" t="s">
        <v>33</v>
      </c>
    </row>
    <row r="1403" spans="1:14" x14ac:dyDescent="0.3">
      <c r="A1403" s="3" t="s">
        <v>1486</v>
      </c>
      <c r="B1403" s="3" t="s">
        <v>49</v>
      </c>
      <c r="C1403" s="3">
        <v>5</v>
      </c>
      <c r="D1403" s="6">
        <v>39.299999999999997</v>
      </c>
      <c r="E1403" s="6">
        <v>196.5</v>
      </c>
      <c r="F1403" s="5">
        <v>45710</v>
      </c>
      <c r="G1403" s="5">
        <v>45711</v>
      </c>
      <c r="H1403" s="3" t="s">
        <v>31</v>
      </c>
      <c r="I1403" s="4" t="s">
        <v>21</v>
      </c>
      <c r="J1403" s="3">
        <v>4</v>
      </c>
      <c r="K1403" s="3" t="s">
        <v>38</v>
      </c>
      <c r="L1403" s="3">
        <v>1</v>
      </c>
      <c r="M1403" s="3">
        <v>8</v>
      </c>
      <c r="N1403" s="3" t="s">
        <v>33</v>
      </c>
    </row>
    <row r="1404" spans="1:14" x14ac:dyDescent="0.3">
      <c r="A1404" s="7" t="s">
        <v>1487</v>
      </c>
      <c r="B1404" s="7" t="s">
        <v>30</v>
      </c>
      <c r="C1404" s="7">
        <v>4</v>
      </c>
      <c r="D1404" s="10">
        <v>85.2</v>
      </c>
      <c r="E1404" s="10">
        <v>340.8</v>
      </c>
      <c r="F1404" s="9">
        <v>45710</v>
      </c>
      <c r="G1404" s="9">
        <v>45715</v>
      </c>
      <c r="H1404" s="7" t="s">
        <v>26</v>
      </c>
      <c r="I1404" s="8" t="s">
        <v>45</v>
      </c>
      <c r="J1404" s="7">
        <v>4</v>
      </c>
      <c r="K1404" s="7" t="s">
        <v>38</v>
      </c>
      <c r="L1404" s="7">
        <v>5</v>
      </c>
      <c r="M1404" s="7">
        <v>8</v>
      </c>
      <c r="N1404" s="7" t="s">
        <v>28</v>
      </c>
    </row>
    <row r="1405" spans="1:14" x14ac:dyDescent="0.3">
      <c r="A1405" s="3" t="s">
        <v>1488</v>
      </c>
      <c r="B1405" s="3" t="s">
        <v>49</v>
      </c>
      <c r="C1405" s="3">
        <v>6</v>
      </c>
      <c r="D1405" s="6">
        <v>16</v>
      </c>
      <c r="E1405" s="6">
        <v>96</v>
      </c>
      <c r="F1405" s="5">
        <v>45710</v>
      </c>
      <c r="G1405" s="5">
        <v>45713</v>
      </c>
      <c r="H1405" s="3" t="s">
        <v>26</v>
      </c>
      <c r="I1405" s="4" t="s">
        <v>40</v>
      </c>
      <c r="J1405" s="3">
        <v>4</v>
      </c>
      <c r="K1405" s="3" t="s">
        <v>38</v>
      </c>
      <c r="L1405" s="3">
        <v>3</v>
      </c>
      <c r="M1405" s="3">
        <v>8</v>
      </c>
      <c r="N1405" s="3" t="s">
        <v>28</v>
      </c>
    </row>
    <row r="1406" spans="1:14" x14ac:dyDescent="0.3">
      <c r="A1406" s="7" t="s">
        <v>1489</v>
      </c>
      <c r="B1406" s="7" t="s">
        <v>25</v>
      </c>
      <c r="C1406" s="7">
        <v>2</v>
      </c>
      <c r="D1406" s="10">
        <v>33.799999999999997</v>
      </c>
      <c r="E1406" s="10">
        <v>67.599999999999994</v>
      </c>
      <c r="F1406" s="9">
        <v>45710</v>
      </c>
      <c r="G1406" s="9">
        <v>45714</v>
      </c>
      <c r="H1406" s="7" t="s">
        <v>31</v>
      </c>
      <c r="I1406" s="8" t="s">
        <v>40</v>
      </c>
      <c r="J1406" s="7">
        <v>4</v>
      </c>
      <c r="K1406" s="7" t="s">
        <v>38</v>
      </c>
      <c r="L1406" s="7">
        <v>4</v>
      </c>
      <c r="M1406" s="7">
        <v>8</v>
      </c>
      <c r="N1406" s="7" t="s">
        <v>33</v>
      </c>
    </row>
    <row r="1407" spans="1:14" x14ac:dyDescent="0.3">
      <c r="A1407" s="3" t="s">
        <v>1490</v>
      </c>
      <c r="B1407" s="3" t="s">
        <v>35</v>
      </c>
      <c r="C1407" s="3">
        <v>1</v>
      </c>
      <c r="D1407" s="6">
        <v>70</v>
      </c>
      <c r="E1407" s="6">
        <v>70</v>
      </c>
      <c r="F1407" s="5">
        <v>45710</v>
      </c>
      <c r="G1407" s="5">
        <v>45711</v>
      </c>
      <c r="H1407" s="3" t="s">
        <v>31</v>
      </c>
      <c r="I1407" s="4" t="s">
        <v>21</v>
      </c>
      <c r="J1407" s="3">
        <v>4</v>
      </c>
      <c r="K1407" s="3" t="s">
        <v>38</v>
      </c>
      <c r="L1407" s="3">
        <v>1</v>
      </c>
      <c r="M1407" s="3">
        <v>8</v>
      </c>
      <c r="N1407" s="3" t="s">
        <v>33</v>
      </c>
    </row>
    <row r="1408" spans="1:14" x14ac:dyDescent="0.3">
      <c r="A1408" s="7" t="s">
        <v>1491</v>
      </c>
      <c r="B1408" s="7" t="s">
        <v>51</v>
      </c>
      <c r="C1408" s="7">
        <v>1</v>
      </c>
      <c r="D1408" s="10">
        <v>88</v>
      </c>
      <c r="E1408" s="10">
        <v>88</v>
      </c>
      <c r="F1408" s="9">
        <v>45710</v>
      </c>
      <c r="G1408" s="9">
        <v>45715</v>
      </c>
      <c r="H1408" s="7" t="s">
        <v>31</v>
      </c>
      <c r="I1408" s="8" t="s">
        <v>56</v>
      </c>
      <c r="J1408" s="7">
        <v>4</v>
      </c>
      <c r="K1408" s="7" t="s">
        <v>38</v>
      </c>
      <c r="L1408" s="7">
        <v>5</v>
      </c>
      <c r="M1408" s="7">
        <v>8</v>
      </c>
      <c r="N1408" s="7" t="s">
        <v>33</v>
      </c>
    </row>
    <row r="1409" spans="1:14" x14ac:dyDescent="0.3">
      <c r="A1409" s="3" t="s">
        <v>1492</v>
      </c>
      <c r="B1409" s="3" t="s">
        <v>30</v>
      </c>
      <c r="C1409" s="3">
        <v>3</v>
      </c>
      <c r="D1409" s="6">
        <v>74.099999999999994</v>
      </c>
      <c r="E1409" s="6">
        <v>222.3</v>
      </c>
      <c r="F1409" s="5">
        <v>45710</v>
      </c>
      <c r="G1409" s="5">
        <v>45710</v>
      </c>
      <c r="H1409" s="3" t="s">
        <v>26</v>
      </c>
      <c r="I1409" s="4" t="s">
        <v>75</v>
      </c>
      <c r="J1409" s="3">
        <v>3</v>
      </c>
      <c r="K1409" s="3" t="s">
        <v>38</v>
      </c>
      <c r="L1409" s="3">
        <v>0</v>
      </c>
      <c r="M1409" s="3">
        <v>8</v>
      </c>
      <c r="N1409" s="3" t="s">
        <v>28</v>
      </c>
    </row>
    <row r="1410" spans="1:14" x14ac:dyDescent="0.3">
      <c r="A1410" s="7" t="s">
        <v>1493</v>
      </c>
      <c r="B1410" s="7" t="s">
        <v>30</v>
      </c>
      <c r="C1410" s="7">
        <v>1</v>
      </c>
      <c r="D1410" s="10">
        <v>161.9</v>
      </c>
      <c r="E1410" s="10">
        <v>161.9</v>
      </c>
      <c r="F1410" s="9">
        <v>45710</v>
      </c>
      <c r="G1410" s="9">
        <v>45712</v>
      </c>
      <c r="H1410" s="7" t="s">
        <v>26</v>
      </c>
      <c r="I1410" s="8" t="s">
        <v>45</v>
      </c>
      <c r="J1410" s="7">
        <v>4</v>
      </c>
      <c r="K1410" s="7" t="s">
        <v>38</v>
      </c>
      <c r="L1410" s="7">
        <v>2</v>
      </c>
      <c r="M1410" s="7">
        <v>8</v>
      </c>
      <c r="N1410" s="7" t="s">
        <v>28</v>
      </c>
    </row>
    <row r="1411" spans="1:14" x14ac:dyDescent="0.3">
      <c r="A1411" s="3" t="s">
        <v>1494</v>
      </c>
      <c r="B1411" s="3" t="s">
        <v>37</v>
      </c>
      <c r="C1411" s="3">
        <v>2</v>
      </c>
      <c r="D1411" s="6">
        <v>44</v>
      </c>
      <c r="E1411" s="6">
        <v>88</v>
      </c>
      <c r="F1411" s="5">
        <v>45710</v>
      </c>
      <c r="G1411" s="5">
        <v>45711</v>
      </c>
      <c r="H1411" s="3" t="s">
        <v>94</v>
      </c>
      <c r="I1411" s="4" t="s">
        <v>75</v>
      </c>
      <c r="J1411" s="3">
        <v>3</v>
      </c>
      <c r="K1411" s="3" t="s">
        <v>38</v>
      </c>
      <c r="L1411" s="3">
        <v>1</v>
      </c>
      <c r="M1411" s="3">
        <v>8</v>
      </c>
      <c r="N1411" s="3" t="s">
        <v>95</v>
      </c>
    </row>
    <row r="1412" spans="1:14" x14ac:dyDescent="0.3">
      <c r="A1412" s="7" t="s">
        <v>1495</v>
      </c>
      <c r="B1412" s="7" t="s">
        <v>72</v>
      </c>
      <c r="C1412" s="7">
        <v>1</v>
      </c>
      <c r="D1412" s="10">
        <v>32.1</v>
      </c>
      <c r="E1412" s="10">
        <v>32.1</v>
      </c>
      <c r="F1412" s="9">
        <v>45710</v>
      </c>
      <c r="G1412" s="9">
        <v>45710</v>
      </c>
      <c r="H1412" s="7" t="s">
        <v>31</v>
      </c>
      <c r="I1412" s="8" t="s">
        <v>56</v>
      </c>
      <c r="J1412" s="7">
        <v>1</v>
      </c>
      <c r="K1412" s="7" t="s">
        <v>38</v>
      </c>
      <c r="L1412" s="7">
        <v>0</v>
      </c>
      <c r="M1412" s="7">
        <v>8</v>
      </c>
      <c r="N1412" s="7" t="s">
        <v>33</v>
      </c>
    </row>
    <row r="1413" spans="1:14" x14ac:dyDescent="0.3">
      <c r="A1413" s="3" t="s">
        <v>1496</v>
      </c>
      <c r="B1413" s="3" t="s">
        <v>30</v>
      </c>
      <c r="C1413" s="3">
        <v>4</v>
      </c>
      <c r="D1413" s="6">
        <v>104.8</v>
      </c>
      <c r="E1413" s="6">
        <v>419.2</v>
      </c>
      <c r="F1413" s="5">
        <v>45711</v>
      </c>
      <c r="G1413" s="5">
        <v>45713</v>
      </c>
      <c r="H1413" s="3" t="s">
        <v>94</v>
      </c>
      <c r="I1413" s="4" t="s">
        <v>21</v>
      </c>
      <c r="J1413" s="3">
        <v>4</v>
      </c>
      <c r="K1413" s="3" t="s">
        <v>38</v>
      </c>
      <c r="L1413" s="3">
        <v>2</v>
      </c>
      <c r="M1413" s="3">
        <v>9</v>
      </c>
      <c r="N1413" s="3" t="s">
        <v>95</v>
      </c>
    </row>
    <row r="1414" spans="1:14" x14ac:dyDescent="0.3">
      <c r="A1414" s="7" t="s">
        <v>1497</v>
      </c>
      <c r="B1414" s="7" t="s">
        <v>51</v>
      </c>
      <c r="C1414" s="7">
        <v>6</v>
      </c>
      <c r="D1414" s="10">
        <v>67.400000000000006</v>
      </c>
      <c r="E1414" s="10">
        <v>404.4</v>
      </c>
      <c r="F1414" s="9">
        <v>45711</v>
      </c>
      <c r="G1414" s="9">
        <v>45712</v>
      </c>
      <c r="H1414" s="7" t="s">
        <v>31</v>
      </c>
      <c r="I1414" s="8" t="s">
        <v>56</v>
      </c>
      <c r="J1414" s="7">
        <v>4</v>
      </c>
      <c r="K1414" s="7" t="s">
        <v>38</v>
      </c>
      <c r="L1414" s="7">
        <v>1</v>
      </c>
      <c r="M1414" s="7">
        <v>9</v>
      </c>
      <c r="N1414" s="7" t="s">
        <v>33</v>
      </c>
    </row>
    <row r="1415" spans="1:14" x14ac:dyDescent="0.3">
      <c r="A1415" s="3" t="s">
        <v>1498</v>
      </c>
      <c r="B1415" s="3" t="s">
        <v>44</v>
      </c>
      <c r="C1415" s="3">
        <v>2</v>
      </c>
      <c r="D1415" s="6">
        <v>115.2</v>
      </c>
      <c r="E1415" s="6">
        <v>230.4</v>
      </c>
      <c r="F1415" s="5">
        <v>45711</v>
      </c>
      <c r="G1415" s="5">
        <v>45712</v>
      </c>
      <c r="H1415" s="3" t="s">
        <v>31</v>
      </c>
      <c r="I1415" s="4" t="s">
        <v>40</v>
      </c>
      <c r="J1415" s="3">
        <v>4</v>
      </c>
      <c r="K1415" s="3" t="s">
        <v>54</v>
      </c>
      <c r="L1415" s="3">
        <v>1</v>
      </c>
      <c r="M1415" s="3">
        <v>9</v>
      </c>
      <c r="N1415" s="3" t="s">
        <v>33</v>
      </c>
    </row>
    <row r="1416" spans="1:14" x14ac:dyDescent="0.3">
      <c r="A1416" s="7" t="s">
        <v>1499</v>
      </c>
      <c r="B1416" s="7" t="s">
        <v>49</v>
      </c>
      <c r="C1416" s="7">
        <v>29</v>
      </c>
      <c r="D1416" s="10">
        <v>15.5</v>
      </c>
      <c r="E1416" s="10">
        <v>449.5</v>
      </c>
      <c r="F1416" s="9">
        <v>45711</v>
      </c>
      <c r="G1416" s="9">
        <v>45713</v>
      </c>
      <c r="H1416" s="7" t="s">
        <v>31</v>
      </c>
      <c r="I1416" s="8" t="s">
        <v>21</v>
      </c>
      <c r="J1416" s="7">
        <v>3</v>
      </c>
      <c r="K1416" s="7" t="s">
        <v>164</v>
      </c>
      <c r="L1416" s="7">
        <v>2</v>
      </c>
      <c r="M1416" s="7">
        <v>9</v>
      </c>
      <c r="N1416" s="7" t="s">
        <v>33</v>
      </c>
    </row>
    <row r="1417" spans="1:14" x14ac:dyDescent="0.3">
      <c r="A1417" s="3" t="s">
        <v>1500</v>
      </c>
      <c r="B1417" s="3" t="s">
        <v>44</v>
      </c>
      <c r="C1417" s="3">
        <v>11</v>
      </c>
      <c r="D1417" s="6">
        <v>66.400000000000006</v>
      </c>
      <c r="E1417" s="6">
        <v>730.40000000000009</v>
      </c>
      <c r="F1417" s="5">
        <v>45711</v>
      </c>
      <c r="G1417" s="5">
        <v>45713</v>
      </c>
      <c r="H1417" s="3" t="s">
        <v>31</v>
      </c>
      <c r="I1417" s="4" t="s">
        <v>21</v>
      </c>
      <c r="J1417" s="3">
        <v>4</v>
      </c>
      <c r="K1417" s="3" t="s">
        <v>60</v>
      </c>
      <c r="L1417" s="3">
        <v>2</v>
      </c>
      <c r="M1417" s="3">
        <v>9</v>
      </c>
      <c r="N1417" s="3" t="s">
        <v>33</v>
      </c>
    </row>
    <row r="1418" spans="1:14" x14ac:dyDescent="0.3">
      <c r="A1418" s="7" t="s">
        <v>1501</v>
      </c>
      <c r="B1418" s="7" t="s">
        <v>51</v>
      </c>
      <c r="C1418" s="7">
        <v>12</v>
      </c>
      <c r="D1418" s="10">
        <v>68.099999999999994</v>
      </c>
      <c r="E1418" s="10">
        <v>817.19999999999993</v>
      </c>
      <c r="F1418" s="9">
        <v>45711</v>
      </c>
      <c r="G1418" s="9">
        <v>45712</v>
      </c>
      <c r="H1418" s="7" t="s">
        <v>31</v>
      </c>
      <c r="I1418" s="8" t="s">
        <v>45</v>
      </c>
      <c r="J1418" s="7">
        <v>4</v>
      </c>
      <c r="K1418" s="7" t="s">
        <v>67</v>
      </c>
      <c r="L1418" s="7">
        <v>1</v>
      </c>
      <c r="M1418" s="7">
        <v>9</v>
      </c>
      <c r="N1418" s="7" t="s">
        <v>33</v>
      </c>
    </row>
    <row r="1419" spans="1:14" x14ac:dyDescent="0.3">
      <c r="A1419" s="3" t="s">
        <v>1502</v>
      </c>
      <c r="B1419" s="3" t="s">
        <v>49</v>
      </c>
      <c r="C1419" s="3">
        <v>5</v>
      </c>
      <c r="D1419" s="6">
        <v>32.5</v>
      </c>
      <c r="E1419" s="6">
        <v>162.5</v>
      </c>
      <c r="F1419" s="5">
        <v>45711</v>
      </c>
      <c r="G1419" s="5">
        <v>45715</v>
      </c>
      <c r="H1419" s="3" t="s">
        <v>26</v>
      </c>
      <c r="I1419" s="4" t="s">
        <v>45</v>
      </c>
      <c r="J1419" s="3">
        <v>3</v>
      </c>
      <c r="K1419" s="3" t="s">
        <v>67</v>
      </c>
      <c r="L1419" s="3">
        <v>4</v>
      </c>
      <c r="M1419" s="3">
        <v>9</v>
      </c>
      <c r="N1419" s="3" t="s">
        <v>28</v>
      </c>
    </row>
    <row r="1420" spans="1:14" x14ac:dyDescent="0.3">
      <c r="A1420" s="7" t="s">
        <v>1503</v>
      </c>
      <c r="B1420" s="7" t="s">
        <v>129</v>
      </c>
      <c r="C1420" s="7">
        <v>3</v>
      </c>
      <c r="D1420" s="10">
        <v>61.2</v>
      </c>
      <c r="E1420" s="10">
        <v>183.6</v>
      </c>
      <c r="F1420" s="9">
        <v>45711</v>
      </c>
      <c r="G1420" s="9">
        <v>45713</v>
      </c>
      <c r="H1420" s="7" t="s">
        <v>31</v>
      </c>
      <c r="I1420" s="8" t="s">
        <v>40</v>
      </c>
      <c r="J1420" s="7">
        <v>3</v>
      </c>
      <c r="K1420" s="7" t="s">
        <v>67</v>
      </c>
      <c r="L1420" s="7">
        <v>2</v>
      </c>
      <c r="M1420" s="7">
        <v>9</v>
      </c>
      <c r="N1420" s="7" t="s">
        <v>33</v>
      </c>
    </row>
    <row r="1421" spans="1:14" x14ac:dyDescent="0.3">
      <c r="A1421" s="3" t="s">
        <v>1504</v>
      </c>
      <c r="B1421" s="3" t="s">
        <v>51</v>
      </c>
      <c r="C1421" s="3">
        <v>2</v>
      </c>
      <c r="D1421" s="6">
        <v>54.2</v>
      </c>
      <c r="E1421" s="6">
        <v>108.4</v>
      </c>
      <c r="F1421" s="5">
        <v>45711</v>
      </c>
      <c r="G1421" s="5">
        <v>45712</v>
      </c>
      <c r="H1421" s="3" t="s">
        <v>31</v>
      </c>
      <c r="I1421" s="4" t="s">
        <v>40</v>
      </c>
      <c r="J1421" s="3">
        <v>4</v>
      </c>
      <c r="K1421" s="3" t="s">
        <v>67</v>
      </c>
      <c r="L1421" s="3">
        <v>1</v>
      </c>
      <c r="M1421" s="3">
        <v>9</v>
      </c>
      <c r="N1421" s="3" t="s">
        <v>33</v>
      </c>
    </row>
    <row r="1422" spans="1:14" x14ac:dyDescent="0.3">
      <c r="A1422" s="7" t="s">
        <v>1505</v>
      </c>
      <c r="B1422" s="7" t="s">
        <v>72</v>
      </c>
      <c r="C1422" s="7">
        <v>8</v>
      </c>
      <c r="D1422" s="10">
        <v>28.7</v>
      </c>
      <c r="E1422" s="10">
        <v>229.6</v>
      </c>
      <c r="F1422" s="9">
        <v>45711</v>
      </c>
      <c r="G1422" s="9">
        <v>45713</v>
      </c>
      <c r="H1422" s="7" t="s">
        <v>26</v>
      </c>
      <c r="I1422" s="8" t="s">
        <v>40</v>
      </c>
      <c r="J1422" s="7">
        <v>4</v>
      </c>
      <c r="K1422" s="7" t="s">
        <v>77</v>
      </c>
      <c r="L1422" s="7">
        <v>2</v>
      </c>
      <c r="M1422" s="7">
        <v>9</v>
      </c>
      <c r="N1422" s="7" t="s">
        <v>28</v>
      </c>
    </row>
    <row r="1423" spans="1:14" x14ac:dyDescent="0.3">
      <c r="A1423" s="3" t="s">
        <v>1506</v>
      </c>
      <c r="B1423" s="3" t="s">
        <v>74</v>
      </c>
      <c r="C1423" s="3">
        <v>6</v>
      </c>
      <c r="D1423" s="6">
        <v>38.200000000000003</v>
      </c>
      <c r="E1423" s="6">
        <v>229.2</v>
      </c>
      <c r="F1423" s="5">
        <v>45711</v>
      </c>
      <c r="G1423" s="5">
        <v>45715</v>
      </c>
      <c r="H1423" s="3" t="s">
        <v>31</v>
      </c>
      <c r="I1423" s="4" t="s">
        <v>21</v>
      </c>
      <c r="J1423" s="3">
        <v>3</v>
      </c>
      <c r="K1423" s="3" t="s">
        <v>77</v>
      </c>
      <c r="L1423" s="3">
        <v>4</v>
      </c>
      <c r="M1423" s="3">
        <v>9</v>
      </c>
      <c r="N1423" s="3" t="s">
        <v>33</v>
      </c>
    </row>
    <row r="1424" spans="1:14" x14ac:dyDescent="0.3">
      <c r="A1424" s="7" t="s">
        <v>1507</v>
      </c>
      <c r="B1424" s="7" t="s">
        <v>49</v>
      </c>
      <c r="C1424" s="7">
        <v>12</v>
      </c>
      <c r="D1424" s="10">
        <v>17.600000000000001</v>
      </c>
      <c r="E1424" s="10">
        <v>211.2</v>
      </c>
      <c r="F1424" s="9">
        <v>45711</v>
      </c>
      <c r="G1424" s="9">
        <v>45712</v>
      </c>
      <c r="H1424" s="7" t="s">
        <v>31</v>
      </c>
      <c r="I1424" s="8" t="s">
        <v>45</v>
      </c>
      <c r="J1424" s="7">
        <v>3</v>
      </c>
      <c r="K1424" s="7" t="s">
        <v>77</v>
      </c>
      <c r="L1424" s="7">
        <v>1</v>
      </c>
      <c r="M1424" s="7">
        <v>9</v>
      </c>
      <c r="N1424" s="7" t="s">
        <v>33</v>
      </c>
    </row>
    <row r="1425" spans="1:14" x14ac:dyDescent="0.3">
      <c r="A1425" s="3" t="s">
        <v>1508</v>
      </c>
      <c r="B1425" s="3" t="s">
        <v>59</v>
      </c>
      <c r="C1425" s="3">
        <v>3</v>
      </c>
      <c r="D1425" s="6">
        <v>74.599999999999994</v>
      </c>
      <c r="E1425" s="6">
        <v>223.8</v>
      </c>
      <c r="F1425" s="5">
        <v>45711</v>
      </c>
      <c r="G1425" s="5">
        <v>45711</v>
      </c>
      <c r="H1425" s="3" t="s">
        <v>31</v>
      </c>
      <c r="I1425" s="4" t="s">
        <v>45</v>
      </c>
      <c r="J1425" s="3">
        <v>4</v>
      </c>
      <c r="K1425" s="3" t="s">
        <v>82</v>
      </c>
      <c r="L1425" s="3">
        <v>0</v>
      </c>
      <c r="M1425" s="3">
        <v>9</v>
      </c>
      <c r="N1425" s="3" t="s">
        <v>33</v>
      </c>
    </row>
    <row r="1426" spans="1:14" x14ac:dyDescent="0.3">
      <c r="A1426" s="7" t="s">
        <v>1509</v>
      </c>
      <c r="B1426" s="7" t="s">
        <v>134</v>
      </c>
      <c r="C1426" s="7">
        <v>15</v>
      </c>
      <c r="D1426" s="10">
        <v>72.599999999999994</v>
      </c>
      <c r="E1426" s="10">
        <v>1089</v>
      </c>
      <c r="F1426" s="9">
        <v>45711</v>
      </c>
      <c r="G1426" s="9">
        <v>45711</v>
      </c>
      <c r="H1426" s="7"/>
      <c r="I1426" s="8" t="s">
        <v>40</v>
      </c>
      <c r="J1426" s="7">
        <v>3</v>
      </c>
      <c r="K1426" s="7" t="s">
        <v>82</v>
      </c>
      <c r="L1426" s="7">
        <v>0</v>
      </c>
      <c r="M1426" s="7">
        <v>9</v>
      </c>
      <c r="N1426" s="7" t="s">
        <v>23</v>
      </c>
    </row>
    <row r="1427" spans="1:14" x14ac:dyDescent="0.3">
      <c r="A1427" s="3" t="s">
        <v>1510</v>
      </c>
      <c r="B1427" s="3" t="s">
        <v>47</v>
      </c>
      <c r="C1427" s="3">
        <v>1</v>
      </c>
      <c r="D1427" s="6">
        <v>62.3</v>
      </c>
      <c r="E1427" s="6">
        <v>62.3</v>
      </c>
      <c r="F1427" s="5">
        <v>45711</v>
      </c>
      <c r="G1427" s="5">
        <v>45712</v>
      </c>
      <c r="H1427" s="3" t="s">
        <v>31</v>
      </c>
      <c r="I1427" s="4" t="s">
        <v>40</v>
      </c>
      <c r="J1427" s="3">
        <v>4</v>
      </c>
      <c r="K1427" s="3" t="s">
        <v>82</v>
      </c>
      <c r="L1427" s="3">
        <v>1</v>
      </c>
      <c r="M1427" s="3">
        <v>9</v>
      </c>
      <c r="N1427" s="3" t="s">
        <v>33</v>
      </c>
    </row>
    <row r="1428" spans="1:14" x14ac:dyDescent="0.3">
      <c r="A1428" s="7" t="s">
        <v>1511</v>
      </c>
      <c r="B1428" s="7" t="s">
        <v>35</v>
      </c>
      <c r="C1428" s="7">
        <v>3</v>
      </c>
      <c r="D1428" s="10">
        <v>33.799999999999997</v>
      </c>
      <c r="E1428" s="10">
        <v>101.4</v>
      </c>
      <c r="F1428" s="9">
        <v>45711</v>
      </c>
      <c r="G1428" s="9">
        <v>45713</v>
      </c>
      <c r="H1428" s="7" t="s">
        <v>26</v>
      </c>
      <c r="I1428" s="8" t="s">
        <v>21</v>
      </c>
      <c r="J1428" s="7">
        <v>5</v>
      </c>
      <c r="K1428" s="7" t="s">
        <v>119</v>
      </c>
      <c r="L1428" s="7">
        <v>2</v>
      </c>
      <c r="M1428" s="7">
        <v>9</v>
      </c>
      <c r="N1428" s="7" t="s">
        <v>28</v>
      </c>
    </row>
    <row r="1429" spans="1:14" x14ac:dyDescent="0.3">
      <c r="A1429" s="3" t="s">
        <v>1512</v>
      </c>
      <c r="B1429" s="3" t="s">
        <v>51</v>
      </c>
      <c r="C1429" s="3">
        <v>1</v>
      </c>
      <c r="D1429" s="6">
        <v>85.7</v>
      </c>
      <c r="E1429" s="6">
        <v>85.7</v>
      </c>
      <c r="F1429" s="5">
        <v>45711</v>
      </c>
      <c r="G1429" s="5">
        <v>45714</v>
      </c>
      <c r="H1429" s="3" t="s">
        <v>26</v>
      </c>
      <c r="I1429" s="4" t="s">
        <v>56</v>
      </c>
      <c r="J1429" s="3">
        <v>3</v>
      </c>
      <c r="K1429" s="3" t="s">
        <v>121</v>
      </c>
      <c r="L1429" s="3">
        <v>3</v>
      </c>
      <c r="M1429" s="3">
        <v>9</v>
      </c>
      <c r="N1429" s="3" t="s">
        <v>28</v>
      </c>
    </row>
    <row r="1430" spans="1:14" x14ac:dyDescent="0.3">
      <c r="A1430" s="7" t="s">
        <v>1513</v>
      </c>
      <c r="B1430" s="7" t="s">
        <v>44</v>
      </c>
      <c r="C1430" s="7">
        <v>2</v>
      </c>
      <c r="D1430" s="10">
        <v>92.1</v>
      </c>
      <c r="E1430" s="10">
        <v>184.2</v>
      </c>
      <c r="F1430" s="9">
        <v>45711</v>
      </c>
      <c r="G1430" s="9">
        <v>45713</v>
      </c>
      <c r="H1430" s="7" t="s">
        <v>26</v>
      </c>
      <c r="I1430" s="8" t="s">
        <v>40</v>
      </c>
      <c r="J1430" s="7">
        <v>4</v>
      </c>
      <c r="K1430" s="7" t="s">
        <v>121</v>
      </c>
      <c r="L1430" s="7">
        <v>2</v>
      </c>
      <c r="M1430" s="7">
        <v>9</v>
      </c>
      <c r="N1430" s="7" t="s">
        <v>28</v>
      </c>
    </row>
    <row r="1431" spans="1:14" x14ac:dyDescent="0.3">
      <c r="A1431" s="3" t="s">
        <v>1514</v>
      </c>
      <c r="B1431" s="3" t="s">
        <v>134</v>
      </c>
      <c r="C1431" s="3">
        <v>3</v>
      </c>
      <c r="D1431" s="6">
        <v>65.099999999999994</v>
      </c>
      <c r="E1431" s="6">
        <v>195.3</v>
      </c>
      <c r="F1431" s="5">
        <v>45711</v>
      </c>
      <c r="G1431" s="5">
        <v>45714</v>
      </c>
      <c r="H1431" s="3" t="s">
        <v>26</v>
      </c>
      <c r="I1431" s="4" t="s">
        <v>21</v>
      </c>
      <c r="J1431" s="3">
        <v>4</v>
      </c>
      <c r="K1431" s="3" t="s">
        <v>27</v>
      </c>
      <c r="L1431" s="3">
        <v>3</v>
      </c>
      <c r="M1431" s="3">
        <v>9</v>
      </c>
      <c r="N1431" s="3" t="s">
        <v>28</v>
      </c>
    </row>
    <row r="1432" spans="1:14" x14ac:dyDescent="0.3">
      <c r="A1432" s="7" t="s">
        <v>1515</v>
      </c>
      <c r="B1432" s="7" t="s">
        <v>51</v>
      </c>
      <c r="C1432" s="7">
        <v>7</v>
      </c>
      <c r="D1432" s="10">
        <v>20.3</v>
      </c>
      <c r="E1432" s="10">
        <v>142.1</v>
      </c>
      <c r="F1432" s="9">
        <v>45711</v>
      </c>
      <c r="G1432" s="9">
        <v>45712</v>
      </c>
      <c r="H1432" s="7" t="s">
        <v>31</v>
      </c>
      <c r="I1432" s="8" t="s">
        <v>45</v>
      </c>
      <c r="J1432" s="7">
        <v>5</v>
      </c>
      <c r="K1432" s="7" t="s">
        <v>32</v>
      </c>
      <c r="L1432" s="7">
        <v>1</v>
      </c>
      <c r="M1432" s="7">
        <v>9</v>
      </c>
      <c r="N1432" s="7" t="s">
        <v>33</v>
      </c>
    </row>
    <row r="1433" spans="1:14" x14ac:dyDescent="0.3">
      <c r="A1433" s="3" t="s">
        <v>1516</v>
      </c>
      <c r="B1433" s="3" t="s">
        <v>177</v>
      </c>
      <c r="C1433" s="3">
        <v>2</v>
      </c>
      <c r="D1433" s="6">
        <v>29.8</v>
      </c>
      <c r="E1433" s="6">
        <v>59.6</v>
      </c>
      <c r="F1433" s="5">
        <v>45711</v>
      </c>
      <c r="G1433" s="5">
        <v>45713</v>
      </c>
      <c r="H1433" s="3" t="s">
        <v>31</v>
      </c>
      <c r="I1433" s="4" t="s">
        <v>40</v>
      </c>
      <c r="J1433" s="3">
        <v>5</v>
      </c>
      <c r="K1433" s="3" t="s">
        <v>22</v>
      </c>
      <c r="L1433" s="3">
        <v>2</v>
      </c>
      <c r="M1433" s="3">
        <v>9</v>
      </c>
      <c r="N1433" s="3" t="s">
        <v>33</v>
      </c>
    </row>
    <row r="1434" spans="1:14" x14ac:dyDescent="0.3">
      <c r="A1434" s="7" t="s">
        <v>1517</v>
      </c>
      <c r="B1434" s="7" t="s">
        <v>20</v>
      </c>
      <c r="C1434" s="7">
        <v>2</v>
      </c>
      <c r="D1434" s="10">
        <v>24.2</v>
      </c>
      <c r="E1434" s="10">
        <v>48.4</v>
      </c>
      <c r="F1434" s="9">
        <v>45711</v>
      </c>
      <c r="G1434" s="9">
        <v>45713</v>
      </c>
      <c r="H1434" s="7" t="s">
        <v>31</v>
      </c>
      <c r="I1434" s="8" t="s">
        <v>56</v>
      </c>
      <c r="J1434" s="7">
        <v>5</v>
      </c>
      <c r="K1434" s="7" t="s">
        <v>38</v>
      </c>
      <c r="L1434" s="7">
        <v>2</v>
      </c>
      <c r="M1434" s="7">
        <v>9</v>
      </c>
      <c r="N1434" s="7" t="s">
        <v>33</v>
      </c>
    </row>
    <row r="1435" spans="1:14" x14ac:dyDescent="0.3">
      <c r="A1435" s="3" t="s">
        <v>1518</v>
      </c>
      <c r="B1435" s="3" t="s">
        <v>35</v>
      </c>
      <c r="C1435" s="3">
        <v>1</v>
      </c>
      <c r="D1435" s="6">
        <v>57.3</v>
      </c>
      <c r="E1435" s="6">
        <v>57.3</v>
      </c>
      <c r="F1435" s="5">
        <v>45711</v>
      </c>
      <c r="G1435" s="5">
        <v>45713</v>
      </c>
      <c r="H1435" s="3" t="s">
        <v>26</v>
      </c>
      <c r="I1435" s="4" t="s">
        <v>21</v>
      </c>
      <c r="J1435" s="3">
        <v>4</v>
      </c>
      <c r="K1435" s="3" t="s">
        <v>38</v>
      </c>
      <c r="L1435" s="3">
        <v>2</v>
      </c>
      <c r="M1435" s="3">
        <v>9</v>
      </c>
      <c r="N1435" s="3" t="s">
        <v>28</v>
      </c>
    </row>
    <row r="1436" spans="1:14" x14ac:dyDescent="0.3">
      <c r="A1436" s="7" t="s">
        <v>1519</v>
      </c>
      <c r="B1436" s="7" t="s">
        <v>30</v>
      </c>
      <c r="C1436" s="7">
        <v>1</v>
      </c>
      <c r="D1436" s="10">
        <v>108.9</v>
      </c>
      <c r="E1436" s="10">
        <v>108.9</v>
      </c>
      <c r="F1436" s="9">
        <v>45711</v>
      </c>
      <c r="G1436" s="9">
        <v>45713</v>
      </c>
      <c r="H1436" s="7" t="s">
        <v>31</v>
      </c>
      <c r="I1436" s="8" t="s">
        <v>40</v>
      </c>
      <c r="J1436" s="7">
        <v>4</v>
      </c>
      <c r="K1436" s="7" t="s">
        <v>38</v>
      </c>
      <c r="L1436" s="7">
        <v>2</v>
      </c>
      <c r="M1436" s="7">
        <v>9</v>
      </c>
      <c r="N1436" s="7" t="s">
        <v>33</v>
      </c>
    </row>
    <row r="1437" spans="1:14" x14ac:dyDescent="0.3">
      <c r="A1437" s="3" t="s">
        <v>1520</v>
      </c>
      <c r="B1437" s="3" t="s">
        <v>47</v>
      </c>
      <c r="C1437" s="3">
        <v>5</v>
      </c>
      <c r="D1437" s="6">
        <v>50.7</v>
      </c>
      <c r="E1437" s="6">
        <v>253.5</v>
      </c>
      <c r="F1437" s="5">
        <v>45711</v>
      </c>
      <c r="G1437" s="5">
        <v>45712</v>
      </c>
      <c r="H1437" s="3" t="s">
        <v>31</v>
      </c>
      <c r="I1437" s="4" t="s">
        <v>21</v>
      </c>
      <c r="J1437" s="3">
        <v>4</v>
      </c>
      <c r="K1437" s="3" t="s">
        <v>38</v>
      </c>
      <c r="L1437" s="3">
        <v>1</v>
      </c>
      <c r="M1437" s="3">
        <v>9</v>
      </c>
      <c r="N1437" s="3" t="s">
        <v>33</v>
      </c>
    </row>
    <row r="1438" spans="1:14" x14ac:dyDescent="0.3">
      <c r="A1438" s="7" t="s">
        <v>1521</v>
      </c>
      <c r="B1438" s="7" t="s">
        <v>47</v>
      </c>
      <c r="C1438" s="7">
        <v>9</v>
      </c>
      <c r="D1438" s="10">
        <v>66.099999999999994</v>
      </c>
      <c r="E1438" s="10">
        <v>594.9</v>
      </c>
      <c r="F1438" s="9">
        <v>45711</v>
      </c>
      <c r="G1438" s="9">
        <v>45725</v>
      </c>
      <c r="H1438" s="7" t="s">
        <v>31</v>
      </c>
      <c r="I1438" s="8" t="s">
        <v>40</v>
      </c>
      <c r="J1438" s="7">
        <v>4</v>
      </c>
      <c r="K1438" s="7" t="s">
        <v>38</v>
      </c>
      <c r="L1438" s="7">
        <v>14</v>
      </c>
      <c r="M1438" s="7">
        <v>9</v>
      </c>
      <c r="N1438" s="7" t="s">
        <v>33</v>
      </c>
    </row>
    <row r="1439" spans="1:14" x14ac:dyDescent="0.3">
      <c r="A1439" s="3" t="s">
        <v>1522</v>
      </c>
      <c r="B1439" s="3" t="s">
        <v>74</v>
      </c>
      <c r="C1439" s="3">
        <v>5</v>
      </c>
      <c r="D1439" s="6">
        <v>36.700000000000003</v>
      </c>
      <c r="E1439" s="6">
        <v>183.5</v>
      </c>
      <c r="F1439" s="5">
        <v>45711</v>
      </c>
      <c r="G1439" s="5">
        <v>45715</v>
      </c>
      <c r="H1439" s="3" t="s">
        <v>31</v>
      </c>
      <c r="I1439" s="4" t="s">
        <v>75</v>
      </c>
      <c r="J1439" s="3">
        <v>4</v>
      </c>
      <c r="K1439" s="3" t="s">
        <v>38</v>
      </c>
      <c r="L1439" s="3">
        <v>4</v>
      </c>
      <c r="M1439" s="3">
        <v>9</v>
      </c>
      <c r="N1439" s="3" t="s">
        <v>33</v>
      </c>
    </row>
    <row r="1440" spans="1:14" x14ac:dyDescent="0.3">
      <c r="A1440" s="7" t="s">
        <v>1523</v>
      </c>
      <c r="B1440" s="7" t="s">
        <v>49</v>
      </c>
      <c r="C1440" s="7">
        <v>17</v>
      </c>
      <c r="D1440" s="10">
        <v>19.3</v>
      </c>
      <c r="E1440" s="10">
        <v>328.1</v>
      </c>
      <c r="F1440" s="9">
        <v>45711</v>
      </c>
      <c r="G1440" s="9">
        <v>45713</v>
      </c>
      <c r="H1440" s="7" t="s">
        <v>26</v>
      </c>
      <c r="I1440" s="8" t="s">
        <v>21</v>
      </c>
      <c r="J1440" s="7">
        <v>4</v>
      </c>
      <c r="K1440" s="7" t="s">
        <v>116</v>
      </c>
      <c r="L1440" s="7">
        <v>2</v>
      </c>
      <c r="M1440" s="7">
        <v>9</v>
      </c>
      <c r="N1440" s="7" t="s">
        <v>28</v>
      </c>
    </row>
    <row r="1441" spans="1:14" x14ac:dyDescent="0.3">
      <c r="A1441" s="3" t="s">
        <v>1524</v>
      </c>
      <c r="B1441" s="3" t="s">
        <v>49</v>
      </c>
      <c r="C1441" s="3">
        <v>4</v>
      </c>
      <c r="D1441" s="6">
        <v>20.7</v>
      </c>
      <c r="E1441" s="6">
        <v>82.8</v>
      </c>
      <c r="F1441" s="5">
        <v>45711</v>
      </c>
      <c r="G1441" s="5">
        <v>45712</v>
      </c>
      <c r="H1441" s="3" t="s">
        <v>26</v>
      </c>
      <c r="I1441" s="4" t="s">
        <v>40</v>
      </c>
      <c r="J1441" s="3">
        <v>5</v>
      </c>
      <c r="K1441" s="3" t="s">
        <v>60</v>
      </c>
      <c r="L1441" s="3">
        <v>1</v>
      </c>
      <c r="M1441" s="3">
        <v>9</v>
      </c>
      <c r="N1441" s="3" t="s">
        <v>28</v>
      </c>
    </row>
    <row r="1442" spans="1:14" x14ac:dyDescent="0.3">
      <c r="A1442" s="7" t="s">
        <v>1525</v>
      </c>
      <c r="B1442" s="7" t="s">
        <v>42</v>
      </c>
      <c r="C1442" s="7">
        <v>3</v>
      </c>
      <c r="D1442" s="10">
        <v>54.7</v>
      </c>
      <c r="E1442" s="10">
        <v>164.1</v>
      </c>
      <c r="F1442" s="9">
        <v>45711</v>
      </c>
      <c r="G1442" s="9">
        <v>45711</v>
      </c>
      <c r="H1442" s="7" t="s">
        <v>94</v>
      </c>
      <c r="I1442" s="8" t="s">
        <v>40</v>
      </c>
      <c r="J1442" s="7">
        <v>2</v>
      </c>
      <c r="K1442" s="7" t="s">
        <v>60</v>
      </c>
      <c r="L1442" s="7">
        <v>0</v>
      </c>
      <c r="M1442" s="7">
        <v>9</v>
      </c>
      <c r="N1442" s="7" t="s">
        <v>95</v>
      </c>
    </row>
    <row r="1443" spans="1:14" x14ac:dyDescent="0.3">
      <c r="A1443" s="3" t="s">
        <v>1526</v>
      </c>
      <c r="B1443" s="3" t="s">
        <v>37</v>
      </c>
      <c r="C1443" s="3">
        <v>2</v>
      </c>
      <c r="D1443" s="6">
        <v>19.8</v>
      </c>
      <c r="E1443" s="6">
        <v>39.6</v>
      </c>
      <c r="F1443" s="5">
        <v>45711</v>
      </c>
      <c r="G1443" s="5">
        <v>45715</v>
      </c>
      <c r="H1443" s="3" t="s">
        <v>31</v>
      </c>
      <c r="I1443" s="4" t="s">
        <v>75</v>
      </c>
      <c r="J1443" s="3">
        <v>3</v>
      </c>
      <c r="K1443" s="3" t="s">
        <v>67</v>
      </c>
      <c r="L1443" s="3">
        <v>4</v>
      </c>
      <c r="M1443" s="3">
        <v>9</v>
      </c>
      <c r="N1443" s="3" t="s">
        <v>33</v>
      </c>
    </row>
    <row r="1444" spans="1:14" x14ac:dyDescent="0.3">
      <c r="A1444" s="7" t="s">
        <v>1527</v>
      </c>
      <c r="B1444" s="7" t="s">
        <v>47</v>
      </c>
      <c r="C1444" s="7">
        <v>1</v>
      </c>
      <c r="D1444" s="10">
        <v>41.1</v>
      </c>
      <c r="E1444" s="10">
        <v>41.1</v>
      </c>
      <c r="F1444" s="9">
        <v>45711</v>
      </c>
      <c r="G1444" s="9">
        <v>45713</v>
      </c>
      <c r="H1444" s="7" t="s">
        <v>31</v>
      </c>
      <c r="I1444" s="8" t="s">
        <v>21</v>
      </c>
      <c r="J1444" s="7">
        <v>5</v>
      </c>
      <c r="K1444" s="7" t="s">
        <v>67</v>
      </c>
      <c r="L1444" s="7">
        <v>2</v>
      </c>
      <c r="M1444" s="7">
        <v>9</v>
      </c>
      <c r="N1444" s="7" t="s">
        <v>33</v>
      </c>
    </row>
    <row r="1445" spans="1:14" x14ac:dyDescent="0.3">
      <c r="A1445" s="3" t="s">
        <v>1528</v>
      </c>
      <c r="B1445" s="3" t="s">
        <v>72</v>
      </c>
      <c r="C1445" s="3">
        <v>8</v>
      </c>
      <c r="D1445" s="6">
        <v>43.5</v>
      </c>
      <c r="E1445" s="6">
        <v>348</v>
      </c>
      <c r="F1445" s="5">
        <v>45711</v>
      </c>
      <c r="G1445" s="5">
        <v>45715</v>
      </c>
      <c r="H1445" s="3" t="s">
        <v>31</v>
      </c>
      <c r="I1445" s="4" t="s">
        <v>56</v>
      </c>
      <c r="J1445" s="3">
        <v>4</v>
      </c>
      <c r="K1445" s="3" t="s">
        <v>67</v>
      </c>
      <c r="L1445" s="3">
        <v>4</v>
      </c>
      <c r="M1445" s="3">
        <v>9</v>
      </c>
      <c r="N1445" s="3" t="s">
        <v>33</v>
      </c>
    </row>
    <row r="1446" spans="1:14" x14ac:dyDescent="0.3">
      <c r="A1446" s="7" t="s">
        <v>1529</v>
      </c>
      <c r="B1446" s="7" t="s">
        <v>49</v>
      </c>
      <c r="C1446" s="7">
        <v>14</v>
      </c>
      <c r="D1446" s="10">
        <v>19</v>
      </c>
      <c r="E1446" s="10">
        <v>266</v>
      </c>
      <c r="F1446" s="9">
        <v>45711</v>
      </c>
      <c r="G1446" s="9">
        <v>45712</v>
      </c>
      <c r="H1446" s="7" t="s">
        <v>26</v>
      </c>
      <c r="I1446" s="8" t="s">
        <v>21</v>
      </c>
      <c r="J1446" s="7">
        <v>4</v>
      </c>
      <c r="K1446" s="7" t="s">
        <v>207</v>
      </c>
      <c r="L1446" s="7">
        <v>1</v>
      </c>
      <c r="M1446" s="7">
        <v>9</v>
      </c>
      <c r="N1446" s="7" t="s">
        <v>28</v>
      </c>
    </row>
    <row r="1447" spans="1:14" x14ac:dyDescent="0.3">
      <c r="A1447" s="3" t="s">
        <v>1530</v>
      </c>
      <c r="B1447" s="3" t="s">
        <v>30</v>
      </c>
      <c r="C1447" s="3">
        <v>4</v>
      </c>
      <c r="D1447" s="6">
        <v>51.4</v>
      </c>
      <c r="E1447" s="6">
        <v>205.6</v>
      </c>
      <c r="F1447" s="5">
        <v>45711</v>
      </c>
      <c r="G1447" s="5">
        <v>45711</v>
      </c>
      <c r="H1447" s="3" t="s">
        <v>31</v>
      </c>
      <c r="I1447" s="4" t="s">
        <v>21</v>
      </c>
      <c r="J1447" s="3">
        <v>4</v>
      </c>
      <c r="K1447" s="3" t="s">
        <v>207</v>
      </c>
      <c r="L1447" s="3">
        <v>0</v>
      </c>
      <c r="M1447" s="3">
        <v>9</v>
      </c>
      <c r="N1447" s="3" t="s">
        <v>33</v>
      </c>
    </row>
    <row r="1448" spans="1:14" x14ac:dyDescent="0.3">
      <c r="A1448" s="7" t="s">
        <v>1531</v>
      </c>
      <c r="B1448" s="7" t="s">
        <v>59</v>
      </c>
      <c r="C1448" s="7">
        <v>2</v>
      </c>
      <c r="D1448" s="10">
        <v>39.799999999999997</v>
      </c>
      <c r="E1448" s="10">
        <v>79.599999999999994</v>
      </c>
      <c r="F1448" s="9">
        <v>45711</v>
      </c>
      <c r="G1448" s="9">
        <v>45714</v>
      </c>
      <c r="H1448" s="7" t="s">
        <v>26</v>
      </c>
      <c r="I1448" s="8" t="s">
        <v>56</v>
      </c>
      <c r="J1448" s="7">
        <v>3</v>
      </c>
      <c r="K1448" s="7" t="s">
        <v>87</v>
      </c>
      <c r="L1448" s="7">
        <v>3</v>
      </c>
      <c r="M1448" s="7">
        <v>9</v>
      </c>
      <c r="N1448" s="7" t="s">
        <v>28</v>
      </c>
    </row>
    <row r="1449" spans="1:14" x14ac:dyDescent="0.3">
      <c r="A1449" s="3" t="s">
        <v>1532</v>
      </c>
      <c r="B1449" s="3" t="s">
        <v>44</v>
      </c>
      <c r="C1449" s="3">
        <v>5</v>
      </c>
      <c r="D1449" s="6">
        <v>61</v>
      </c>
      <c r="E1449" s="6">
        <v>305</v>
      </c>
      <c r="F1449" s="5">
        <v>45711</v>
      </c>
      <c r="G1449" s="5">
        <v>45712</v>
      </c>
      <c r="H1449" s="3"/>
      <c r="I1449" s="4" t="s">
        <v>21</v>
      </c>
      <c r="J1449" s="3">
        <v>5</v>
      </c>
      <c r="K1449" s="3" t="s">
        <v>121</v>
      </c>
      <c r="L1449" s="3">
        <v>1</v>
      </c>
      <c r="M1449" s="3">
        <v>9</v>
      </c>
      <c r="N1449" s="3" t="s">
        <v>23</v>
      </c>
    </row>
    <row r="1450" spans="1:14" x14ac:dyDescent="0.3">
      <c r="A1450" s="7" t="s">
        <v>1533</v>
      </c>
      <c r="B1450" s="7" t="s">
        <v>49</v>
      </c>
      <c r="C1450" s="7">
        <v>11</v>
      </c>
      <c r="D1450" s="10">
        <v>15.1</v>
      </c>
      <c r="E1450" s="10">
        <v>166.1</v>
      </c>
      <c r="F1450" s="9">
        <v>45712</v>
      </c>
      <c r="G1450" s="9">
        <v>45717</v>
      </c>
      <c r="H1450" s="7" t="s">
        <v>26</v>
      </c>
      <c r="I1450" s="8" t="s">
        <v>56</v>
      </c>
      <c r="J1450" s="7">
        <v>5</v>
      </c>
      <c r="K1450" s="7" t="s">
        <v>32</v>
      </c>
      <c r="L1450" s="7">
        <v>5</v>
      </c>
      <c r="M1450" s="7">
        <v>9</v>
      </c>
      <c r="N1450" s="7" t="s">
        <v>28</v>
      </c>
    </row>
    <row r="1451" spans="1:14" x14ac:dyDescent="0.3">
      <c r="A1451" s="3" t="s">
        <v>1534</v>
      </c>
      <c r="B1451" s="3" t="s">
        <v>25</v>
      </c>
      <c r="C1451" s="3">
        <v>7</v>
      </c>
      <c r="D1451" s="6">
        <v>71.3</v>
      </c>
      <c r="E1451" s="6">
        <v>499.1</v>
      </c>
      <c r="F1451" s="5">
        <v>45712</v>
      </c>
      <c r="G1451" s="5">
        <v>45713</v>
      </c>
      <c r="H1451" s="3" t="s">
        <v>26</v>
      </c>
      <c r="I1451" s="4" t="s">
        <v>75</v>
      </c>
      <c r="J1451" s="3">
        <v>4</v>
      </c>
      <c r="K1451" s="3" t="s">
        <v>38</v>
      </c>
      <c r="L1451" s="3">
        <v>1</v>
      </c>
      <c r="M1451" s="3">
        <v>9</v>
      </c>
      <c r="N1451" s="3" t="s">
        <v>28</v>
      </c>
    </row>
    <row r="1452" spans="1:14" x14ac:dyDescent="0.3">
      <c r="A1452" s="7" t="s">
        <v>1535</v>
      </c>
      <c r="B1452" s="7" t="s">
        <v>59</v>
      </c>
      <c r="C1452" s="7">
        <v>1</v>
      </c>
      <c r="D1452" s="10">
        <v>25.8</v>
      </c>
      <c r="E1452" s="10">
        <v>25.8</v>
      </c>
      <c r="F1452" s="9">
        <v>45712</v>
      </c>
      <c r="G1452" s="9">
        <v>45714</v>
      </c>
      <c r="H1452" s="7" t="s">
        <v>31</v>
      </c>
      <c r="I1452" s="8" t="s">
        <v>21</v>
      </c>
      <c r="J1452" s="7">
        <v>5</v>
      </c>
      <c r="K1452" s="7" t="s">
        <v>38</v>
      </c>
      <c r="L1452" s="7">
        <v>2</v>
      </c>
      <c r="M1452" s="7">
        <v>9</v>
      </c>
      <c r="N1452" s="7" t="s">
        <v>33</v>
      </c>
    </row>
    <row r="1453" spans="1:14" x14ac:dyDescent="0.3">
      <c r="A1453" s="3" t="s">
        <v>1536</v>
      </c>
      <c r="B1453" s="3" t="s">
        <v>49</v>
      </c>
      <c r="C1453" s="3">
        <v>5</v>
      </c>
      <c r="D1453" s="6">
        <v>39.6</v>
      </c>
      <c r="E1453" s="6">
        <v>198</v>
      </c>
      <c r="F1453" s="5">
        <v>45712</v>
      </c>
      <c r="G1453" s="5">
        <v>45714</v>
      </c>
      <c r="H1453" s="3" t="s">
        <v>26</v>
      </c>
      <c r="I1453" s="4" t="s">
        <v>40</v>
      </c>
      <c r="J1453" s="3">
        <v>5</v>
      </c>
      <c r="K1453" s="3" t="s">
        <v>38</v>
      </c>
      <c r="L1453" s="3">
        <v>2</v>
      </c>
      <c r="M1453" s="3">
        <v>9</v>
      </c>
      <c r="N1453" s="3" t="s">
        <v>28</v>
      </c>
    </row>
    <row r="1454" spans="1:14" x14ac:dyDescent="0.3">
      <c r="A1454" s="7" t="s">
        <v>1537</v>
      </c>
      <c r="B1454" s="7" t="s">
        <v>42</v>
      </c>
      <c r="C1454" s="7">
        <v>2</v>
      </c>
      <c r="D1454" s="10">
        <v>64</v>
      </c>
      <c r="E1454" s="10">
        <v>128</v>
      </c>
      <c r="F1454" s="9">
        <v>45712</v>
      </c>
      <c r="G1454" s="9">
        <v>45712</v>
      </c>
      <c r="H1454" s="7" t="s">
        <v>26</v>
      </c>
      <c r="I1454" s="8" t="s">
        <v>40</v>
      </c>
      <c r="J1454" s="7">
        <v>3</v>
      </c>
      <c r="K1454" s="7" t="s">
        <v>38</v>
      </c>
      <c r="L1454" s="7">
        <v>0</v>
      </c>
      <c r="M1454" s="7">
        <v>9</v>
      </c>
      <c r="N1454" s="7" t="s">
        <v>28</v>
      </c>
    </row>
    <row r="1455" spans="1:14" x14ac:dyDescent="0.3">
      <c r="A1455" s="3" t="s">
        <v>1538</v>
      </c>
      <c r="B1455" s="3" t="s">
        <v>49</v>
      </c>
      <c r="C1455" s="3">
        <v>2</v>
      </c>
      <c r="D1455" s="6">
        <v>30.6</v>
      </c>
      <c r="E1455" s="6">
        <v>61.2</v>
      </c>
      <c r="F1455" s="5">
        <v>45712</v>
      </c>
      <c r="G1455" s="5">
        <v>45715</v>
      </c>
      <c r="H1455" s="3" t="s">
        <v>26</v>
      </c>
      <c r="I1455" s="4" t="s">
        <v>21</v>
      </c>
      <c r="J1455" s="3">
        <v>5</v>
      </c>
      <c r="K1455" s="3" t="s">
        <v>38</v>
      </c>
      <c r="L1455" s="3">
        <v>3</v>
      </c>
      <c r="M1455" s="3">
        <v>9</v>
      </c>
      <c r="N1455" s="3" t="s">
        <v>28</v>
      </c>
    </row>
    <row r="1456" spans="1:14" x14ac:dyDescent="0.3">
      <c r="A1456" s="7" t="s">
        <v>1539</v>
      </c>
      <c r="B1456" s="7" t="s">
        <v>49</v>
      </c>
      <c r="C1456" s="7">
        <v>2</v>
      </c>
      <c r="D1456" s="10">
        <v>21.3</v>
      </c>
      <c r="E1456" s="10">
        <v>42.6</v>
      </c>
      <c r="F1456" s="9">
        <v>45712</v>
      </c>
      <c r="G1456" s="9">
        <v>45713</v>
      </c>
      <c r="H1456" s="7" t="s">
        <v>26</v>
      </c>
      <c r="I1456" s="8" t="s">
        <v>21</v>
      </c>
      <c r="J1456" s="7">
        <v>3</v>
      </c>
      <c r="K1456" s="7" t="s">
        <v>38</v>
      </c>
      <c r="L1456" s="7">
        <v>1</v>
      </c>
      <c r="M1456" s="7">
        <v>9</v>
      </c>
      <c r="N1456" s="7" t="s">
        <v>28</v>
      </c>
    </row>
    <row r="1457" spans="1:14" x14ac:dyDescent="0.3">
      <c r="A1457" s="3" t="s">
        <v>1540</v>
      </c>
      <c r="B1457" s="3" t="s">
        <v>47</v>
      </c>
      <c r="C1457" s="3">
        <v>1</v>
      </c>
      <c r="D1457" s="6">
        <v>40.799999999999997</v>
      </c>
      <c r="E1457" s="6">
        <v>40.799999999999997</v>
      </c>
      <c r="F1457" s="5">
        <v>45712</v>
      </c>
      <c r="G1457" s="5">
        <v>45714</v>
      </c>
      <c r="H1457" s="3" t="s">
        <v>31</v>
      </c>
      <c r="I1457" s="4" t="s">
        <v>75</v>
      </c>
      <c r="J1457" s="3">
        <v>4</v>
      </c>
      <c r="K1457" s="3" t="s">
        <v>38</v>
      </c>
      <c r="L1457" s="3">
        <v>2</v>
      </c>
      <c r="M1457" s="3">
        <v>9</v>
      </c>
      <c r="N1457" s="3" t="s">
        <v>33</v>
      </c>
    </row>
    <row r="1458" spans="1:14" x14ac:dyDescent="0.3">
      <c r="A1458" s="7" t="s">
        <v>1541</v>
      </c>
      <c r="B1458" s="7" t="s">
        <v>51</v>
      </c>
      <c r="C1458" s="7">
        <v>4</v>
      </c>
      <c r="D1458" s="10">
        <v>27.7</v>
      </c>
      <c r="E1458" s="10">
        <v>110.8</v>
      </c>
      <c r="F1458" s="9">
        <v>45712</v>
      </c>
      <c r="G1458" s="9">
        <v>45713</v>
      </c>
      <c r="H1458" s="7" t="s">
        <v>31</v>
      </c>
      <c r="I1458" s="8" t="s">
        <v>21</v>
      </c>
      <c r="J1458" s="7">
        <v>3</v>
      </c>
      <c r="K1458" s="7" t="s">
        <v>38</v>
      </c>
      <c r="L1458" s="7">
        <v>1</v>
      </c>
      <c r="M1458" s="7">
        <v>9</v>
      </c>
      <c r="N1458" s="7" t="s">
        <v>33</v>
      </c>
    </row>
    <row r="1459" spans="1:14" x14ac:dyDescent="0.3">
      <c r="A1459" s="3" t="s">
        <v>1542</v>
      </c>
      <c r="B1459" s="3" t="s">
        <v>44</v>
      </c>
      <c r="C1459" s="3">
        <v>2</v>
      </c>
      <c r="D1459" s="6">
        <v>64.599999999999994</v>
      </c>
      <c r="E1459" s="6">
        <v>129.19999999999999</v>
      </c>
      <c r="F1459" s="5">
        <v>45712</v>
      </c>
      <c r="G1459" s="5">
        <v>45713</v>
      </c>
      <c r="H1459" s="3" t="s">
        <v>26</v>
      </c>
      <c r="I1459" s="4" t="s">
        <v>21</v>
      </c>
      <c r="J1459" s="3">
        <v>3</v>
      </c>
      <c r="K1459" s="3" t="s">
        <v>38</v>
      </c>
      <c r="L1459" s="3">
        <v>1</v>
      </c>
      <c r="M1459" s="3">
        <v>9</v>
      </c>
      <c r="N1459" s="3" t="s">
        <v>28</v>
      </c>
    </row>
    <row r="1460" spans="1:14" x14ac:dyDescent="0.3">
      <c r="A1460" s="7" t="s">
        <v>1543</v>
      </c>
      <c r="B1460" s="7" t="s">
        <v>44</v>
      </c>
      <c r="C1460" s="7">
        <v>16</v>
      </c>
      <c r="D1460" s="10">
        <v>91.1</v>
      </c>
      <c r="E1460" s="10">
        <v>1457.6</v>
      </c>
      <c r="F1460" s="9">
        <v>45712</v>
      </c>
      <c r="G1460" s="9">
        <v>45713</v>
      </c>
      <c r="H1460" s="7" t="s">
        <v>31</v>
      </c>
      <c r="I1460" s="8" t="s">
        <v>40</v>
      </c>
      <c r="J1460" s="7">
        <v>5</v>
      </c>
      <c r="K1460" s="7" t="s">
        <v>38</v>
      </c>
      <c r="L1460" s="7">
        <v>1</v>
      </c>
      <c r="M1460" s="7">
        <v>9</v>
      </c>
      <c r="N1460" s="7" t="s">
        <v>33</v>
      </c>
    </row>
    <row r="1461" spans="1:14" x14ac:dyDescent="0.3">
      <c r="A1461" s="3" t="s">
        <v>1544</v>
      </c>
      <c r="B1461" s="3" t="s">
        <v>25</v>
      </c>
      <c r="C1461" s="3">
        <v>1</v>
      </c>
      <c r="D1461" s="6">
        <v>39.5</v>
      </c>
      <c r="E1461" s="6">
        <v>39.5</v>
      </c>
      <c r="F1461" s="5">
        <v>45712</v>
      </c>
      <c r="G1461" s="5">
        <v>45720</v>
      </c>
      <c r="H1461" s="3" t="s">
        <v>31</v>
      </c>
      <c r="I1461" s="4" t="s">
        <v>21</v>
      </c>
      <c r="J1461" s="3">
        <v>4</v>
      </c>
      <c r="K1461" s="3" t="s">
        <v>38</v>
      </c>
      <c r="L1461" s="3">
        <v>8</v>
      </c>
      <c r="M1461" s="3">
        <v>9</v>
      </c>
      <c r="N1461" s="3" t="s">
        <v>33</v>
      </c>
    </row>
    <row r="1462" spans="1:14" x14ac:dyDescent="0.3">
      <c r="A1462" s="7" t="s">
        <v>1545</v>
      </c>
      <c r="B1462" s="7" t="s">
        <v>51</v>
      </c>
      <c r="C1462" s="7">
        <v>2</v>
      </c>
      <c r="D1462" s="10">
        <v>21.8</v>
      </c>
      <c r="E1462" s="10">
        <v>43.6</v>
      </c>
      <c r="F1462" s="9">
        <v>45712</v>
      </c>
      <c r="G1462" s="9">
        <v>45716</v>
      </c>
      <c r="H1462" s="7" t="s">
        <v>26</v>
      </c>
      <c r="I1462" s="8" t="s">
        <v>75</v>
      </c>
      <c r="J1462" s="7">
        <v>5</v>
      </c>
      <c r="K1462" s="7" t="s">
        <v>38</v>
      </c>
      <c r="L1462" s="7">
        <v>4</v>
      </c>
      <c r="M1462" s="7">
        <v>9</v>
      </c>
      <c r="N1462" s="7" t="s">
        <v>28</v>
      </c>
    </row>
    <row r="1463" spans="1:14" x14ac:dyDescent="0.3">
      <c r="A1463" s="3" t="s">
        <v>1546</v>
      </c>
      <c r="B1463" s="3" t="s">
        <v>49</v>
      </c>
      <c r="C1463" s="3">
        <v>2</v>
      </c>
      <c r="D1463" s="6">
        <v>51</v>
      </c>
      <c r="E1463" s="6">
        <v>102</v>
      </c>
      <c r="F1463" s="5">
        <v>45712</v>
      </c>
      <c r="G1463" s="5">
        <v>45715</v>
      </c>
      <c r="H1463" s="3" t="s">
        <v>26</v>
      </c>
      <c r="I1463" s="4" t="s">
        <v>56</v>
      </c>
      <c r="J1463" s="3">
        <v>5</v>
      </c>
      <c r="K1463" s="3" t="s">
        <v>38</v>
      </c>
      <c r="L1463" s="3">
        <v>3</v>
      </c>
      <c r="M1463" s="3">
        <v>9</v>
      </c>
      <c r="N1463" s="3" t="s">
        <v>28</v>
      </c>
    </row>
    <row r="1464" spans="1:14" x14ac:dyDescent="0.3">
      <c r="A1464" s="7" t="s">
        <v>1547</v>
      </c>
      <c r="B1464" s="7" t="s">
        <v>30</v>
      </c>
      <c r="C1464" s="7">
        <v>1</v>
      </c>
      <c r="D1464" s="10">
        <v>92.6</v>
      </c>
      <c r="E1464" s="10">
        <v>92.6</v>
      </c>
      <c r="F1464" s="9">
        <v>45712</v>
      </c>
      <c r="G1464" s="9">
        <v>45715</v>
      </c>
      <c r="H1464" s="7" t="s">
        <v>31</v>
      </c>
      <c r="I1464" s="8" t="s">
        <v>21</v>
      </c>
      <c r="J1464" s="7">
        <v>5</v>
      </c>
      <c r="K1464" s="7" t="s">
        <v>54</v>
      </c>
      <c r="L1464" s="7">
        <v>3</v>
      </c>
      <c r="M1464" s="7">
        <v>9</v>
      </c>
      <c r="N1464" s="7" t="s">
        <v>33</v>
      </c>
    </row>
    <row r="1465" spans="1:14" x14ac:dyDescent="0.3">
      <c r="A1465" s="3" t="s">
        <v>1548</v>
      </c>
      <c r="B1465" s="3" t="s">
        <v>51</v>
      </c>
      <c r="C1465" s="3">
        <v>2</v>
      </c>
      <c r="D1465" s="6">
        <v>31.1</v>
      </c>
      <c r="E1465" s="6">
        <v>62.2</v>
      </c>
      <c r="F1465" s="5">
        <v>45712</v>
      </c>
      <c r="G1465" s="5">
        <v>45717</v>
      </c>
      <c r="H1465" s="3"/>
      <c r="I1465" s="4" t="s">
        <v>40</v>
      </c>
      <c r="J1465" s="3">
        <v>1</v>
      </c>
      <c r="K1465" s="3" t="s">
        <v>164</v>
      </c>
      <c r="L1465" s="3">
        <v>5</v>
      </c>
      <c r="M1465" s="3">
        <v>9</v>
      </c>
      <c r="N1465" s="3" t="s">
        <v>23</v>
      </c>
    </row>
    <row r="1466" spans="1:14" x14ac:dyDescent="0.3">
      <c r="A1466" s="7" t="s">
        <v>1549</v>
      </c>
      <c r="B1466" s="7" t="s">
        <v>42</v>
      </c>
      <c r="C1466" s="7">
        <v>3</v>
      </c>
      <c r="D1466" s="10">
        <v>56.4</v>
      </c>
      <c r="E1466" s="10">
        <v>169.2</v>
      </c>
      <c r="F1466" s="9">
        <v>45712</v>
      </c>
      <c r="G1466" s="9">
        <v>45713</v>
      </c>
      <c r="H1466" s="7"/>
      <c r="I1466" s="8" t="s">
        <v>40</v>
      </c>
      <c r="J1466" s="7">
        <v>4</v>
      </c>
      <c r="K1466" s="7" t="s">
        <v>60</v>
      </c>
      <c r="L1466" s="7">
        <v>1</v>
      </c>
      <c r="M1466" s="7">
        <v>9</v>
      </c>
      <c r="N1466" s="7" t="s">
        <v>23</v>
      </c>
    </row>
    <row r="1467" spans="1:14" x14ac:dyDescent="0.3">
      <c r="A1467" s="3" t="s">
        <v>1550</v>
      </c>
      <c r="B1467" s="3" t="s">
        <v>51</v>
      </c>
      <c r="C1467" s="3">
        <v>1</v>
      </c>
      <c r="D1467" s="6">
        <v>41.9</v>
      </c>
      <c r="E1467" s="6">
        <v>41.9</v>
      </c>
      <c r="F1467" s="5">
        <v>45712</v>
      </c>
      <c r="G1467" s="5">
        <v>45712</v>
      </c>
      <c r="H1467" s="3" t="s">
        <v>26</v>
      </c>
      <c r="I1467" s="4" t="s">
        <v>40</v>
      </c>
      <c r="J1467" s="3">
        <v>4</v>
      </c>
      <c r="K1467" s="3" t="s">
        <v>60</v>
      </c>
      <c r="L1467" s="3">
        <v>0</v>
      </c>
      <c r="M1467" s="3">
        <v>9</v>
      </c>
      <c r="N1467" s="3" t="s">
        <v>28</v>
      </c>
    </row>
    <row r="1468" spans="1:14" x14ac:dyDescent="0.3">
      <c r="A1468" s="7" t="s">
        <v>1551</v>
      </c>
      <c r="B1468" s="7" t="s">
        <v>59</v>
      </c>
      <c r="C1468" s="7">
        <v>7</v>
      </c>
      <c r="D1468" s="10">
        <v>45.9</v>
      </c>
      <c r="E1468" s="10">
        <v>321.3</v>
      </c>
      <c r="F1468" s="9">
        <v>45712</v>
      </c>
      <c r="G1468" s="9">
        <v>45713</v>
      </c>
      <c r="H1468" s="7" t="s">
        <v>26</v>
      </c>
      <c r="I1468" s="8" t="s">
        <v>56</v>
      </c>
      <c r="J1468" s="7">
        <v>5</v>
      </c>
      <c r="K1468" s="7" t="s">
        <v>67</v>
      </c>
      <c r="L1468" s="7">
        <v>1</v>
      </c>
      <c r="M1468" s="7">
        <v>9</v>
      </c>
      <c r="N1468" s="7" t="s">
        <v>28</v>
      </c>
    </row>
    <row r="1469" spans="1:14" x14ac:dyDescent="0.3">
      <c r="A1469" s="3" t="s">
        <v>1552</v>
      </c>
      <c r="B1469" s="3" t="s">
        <v>86</v>
      </c>
      <c r="C1469" s="3">
        <v>9</v>
      </c>
      <c r="D1469" s="6">
        <v>24.4</v>
      </c>
      <c r="E1469" s="6">
        <v>219.6</v>
      </c>
      <c r="F1469" s="5">
        <v>45712</v>
      </c>
      <c r="G1469" s="5">
        <v>45716</v>
      </c>
      <c r="H1469" s="3" t="s">
        <v>26</v>
      </c>
      <c r="I1469" s="4" t="s">
        <v>56</v>
      </c>
      <c r="J1469" s="3">
        <v>5</v>
      </c>
      <c r="K1469" s="3" t="s">
        <v>67</v>
      </c>
      <c r="L1469" s="3">
        <v>4</v>
      </c>
      <c r="M1469" s="3">
        <v>9</v>
      </c>
      <c r="N1469" s="3" t="s">
        <v>28</v>
      </c>
    </row>
    <row r="1470" spans="1:14" x14ac:dyDescent="0.3">
      <c r="A1470" s="7" t="s">
        <v>1553</v>
      </c>
      <c r="B1470" s="7" t="s">
        <v>49</v>
      </c>
      <c r="C1470" s="7">
        <v>1</v>
      </c>
      <c r="D1470" s="10">
        <v>18.2</v>
      </c>
      <c r="E1470" s="10">
        <v>18.2</v>
      </c>
      <c r="F1470" s="9">
        <v>45712</v>
      </c>
      <c r="G1470" s="9">
        <v>45713</v>
      </c>
      <c r="H1470" s="7" t="s">
        <v>31</v>
      </c>
      <c r="I1470" s="8" t="s">
        <v>45</v>
      </c>
      <c r="J1470" s="7">
        <v>5</v>
      </c>
      <c r="K1470" s="7" t="s">
        <v>67</v>
      </c>
      <c r="L1470" s="7">
        <v>1</v>
      </c>
      <c r="M1470" s="7">
        <v>9</v>
      </c>
      <c r="N1470" s="7" t="s">
        <v>33</v>
      </c>
    </row>
    <row r="1471" spans="1:14" x14ac:dyDescent="0.3">
      <c r="A1471" s="3" t="s">
        <v>1554</v>
      </c>
      <c r="B1471" s="3" t="s">
        <v>49</v>
      </c>
      <c r="C1471" s="3">
        <v>4</v>
      </c>
      <c r="D1471" s="6">
        <v>51.2</v>
      </c>
      <c r="E1471" s="6">
        <v>204.8</v>
      </c>
      <c r="F1471" s="5">
        <v>45712</v>
      </c>
      <c r="G1471" s="5">
        <v>45713</v>
      </c>
      <c r="H1471" s="3" t="s">
        <v>31</v>
      </c>
      <c r="I1471" s="4" t="s">
        <v>21</v>
      </c>
      <c r="J1471" s="3">
        <v>4</v>
      </c>
      <c r="K1471" s="3" t="s">
        <v>67</v>
      </c>
      <c r="L1471" s="3">
        <v>1</v>
      </c>
      <c r="M1471" s="3">
        <v>9</v>
      </c>
      <c r="N1471" s="3" t="s">
        <v>33</v>
      </c>
    </row>
    <row r="1472" spans="1:14" x14ac:dyDescent="0.3">
      <c r="A1472" s="7" t="s">
        <v>1555</v>
      </c>
      <c r="B1472" s="7" t="s">
        <v>44</v>
      </c>
      <c r="C1472" s="7">
        <v>1</v>
      </c>
      <c r="D1472" s="10">
        <v>59.7</v>
      </c>
      <c r="E1472" s="10">
        <v>59.7</v>
      </c>
      <c r="F1472" s="9">
        <v>45712</v>
      </c>
      <c r="G1472" s="9">
        <v>45715</v>
      </c>
      <c r="H1472" s="7" t="s">
        <v>26</v>
      </c>
      <c r="I1472" s="8" t="s">
        <v>21</v>
      </c>
      <c r="J1472" s="7">
        <v>5</v>
      </c>
      <c r="K1472" s="7" t="s">
        <v>67</v>
      </c>
      <c r="L1472" s="7">
        <v>3</v>
      </c>
      <c r="M1472" s="7">
        <v>9</v>
      </c>
      <c r="N1472" s="7" t="s">
        <v>28</v>
      </c>
    </row>
    <row r="1473" spans="1:14" x14ac:dyDescent="0.3">
      <c r="A1473" s="3" t="s">
        <v>1556</v>
      </c>
      <c r="B1473" s="3" t="s">
        <v>37</v>
      </c>
      <c r="C1473" s="3">
        <v>2</v>
      </c>
      <c r="D1473" s="6">
        <v>33.6</v>
      </c>
      <c r="E1473" s="6">
        <v>67.2</v>
      </c>
      <c r="F1473" s="5">
        <v>45712</v>
      </c>
      <c r="G1473" s="5">
        <v>45714</v>
      </c>
      <c r="H1473" s="3" t="s">
        <v>31</v>
      </c>
      <c r="I1473" s="4" t="s">
        <v>21</v>
      </c>
      <c r="J1473" s="3">
        <v>4</v>
      </c>
      <c r="K1473" s="3" t="s">
        <v>109</v>
      </c>
      <c r="L1473" s="3">
        <v>2</v>
      </c>
      <c r="M1473" s="3">
        <v>9</v>
      </c>
      <c r="N1473" s="3" t="s">
        <v>33</v>
      </c>
    </row>
    <row r="1474" spans="1:14" x14ac:dyDescent="0.3">
      <c r="A1474" s="7" t="s">
        <v>1557</v>
      </c>
      <c r="B1474" s="7" t="s">
        <v>74</v>
      </c>
      <c r="C1474" s="7">
        <v>1</v>
      </c>
      <c r="D1474" s="10">
        <v>90.4</v>
      </c>
      <c r="E1474" s="10">
        <v>90.4</v>
      </c>
      <c r="F1474" s="9">
        <v>45712</v>
      </c>
      <c r="G1474" s="9">
        <v>45716</v>
      </c>
      <c r="H1474" s="7" t="s">
        <v>26</v>
      </c>
      <c r="I1474" s="8" t="s">
        <v>40</v>
      </c>
      <c r="J1474" s="7">
        <v>5</v>
      </c>
      <c r="K1474" s="7" t="s">
        <v>79</v>
      </c>
      <c r="L1474" s="7">
        <v>4</v>
      </c>
      <c r="M1474" s="7">
        <v>9</v>
      </c>
      <c r="N1474" s="7" t="s">
        <v>28</v>
      </c>
    </row>
    <row r="1475" spans="1:14" x14ac:dyDescent="0.3">
      <c r="A1475" s="3" t="s">
        <v>1558</v>
      </c>
      <c r="B1475" s="3" t="s">
        <v>72</v>
      </c>
      <c r="C1475" s="3">
        <v>3</v>
      </c>
      <c r="D1475" s="6">
        <v>70.3</v>
      </c>
      <c r="E1475" s="6">
        <v>210.9</v>
      </c>
      <c r="F1475" s="5">
        <v>45712</v>
      </c>
      <c r="G1475" s="5">
        <v>45712</v>
      </c>
      <c r="H1475" s="3" t="s">
        <v>26</v>
      </c>
      <c r="I1475" s="4" t="s">
        <v>40</v>
      </c>
      <c r="J1475" s="3">
        <v>5</v>
      </c>
      <c r="K1475" s="3" t="s">
        <v>82</v>
      </c>
      <c r="L1475" s="3">
        <v>0</v>
      </c>
      <c r="M1475" s="3">
        <v>9</v>
      </c>
      <c r="N1475" s="3" t="s">
        <v>28</v>
      </c>
    </row>
    <row r="1476" spans="1:14" x14ac:dyDescent="0.3">
      <c r="A1476" s="7" t="s">
        <v>1559</v>
      </c>
      <c r="B1476" s="7" t="s">
        <v>37</v>
      </c>
      <c r="C1476" s="7">
        <v>2</v>
      </c>
      <c r="D1476" s="10">
        <v>20.5</v>
      </c>
      <c r="E1476" s="10">
        <v>41</v>
      </c>
      <c r="F1476" s="9">
        <v>45712</v>
      </c>
      <c r="G1476" s="9">
        <v>45715</v>
      </c>
      <c r="H1476" s="7" t="s">
        <v>31</v>
      </c>
      <c r="I1476" s="8" t="s">
        <v>21</v>
      </c>
      <c r="J1476" s="7">
        <v>3</v>
      </c>
      <c r="K1476" s="7" t="s">
        <v>82</v>
      </c>
      <c r="L1476" s="7">
        <v>3</v>
      </c>
      <c r="M1476" s="7">
        <v>9</v>
      </c>
      <c r="N1476" s="7" t="s">
        <v>33</v>
      </c>
    </row>
    <row r="1477" spans="1:14" x14ac:dyDescent="0.3">
      <c r="A1477" s="3" t="s">
        <v>1560</v>
      </c>
      <c r="B1477" s="3" t="s">
        <v>42</v>
      </c>
      <c r="C1477" s="3">
        <v>11</v>
      </c>
      <c r="D1477" s="6">
        <v>37.6</v>
      </c>
      <c r="E1477" s="6">
        <v>413.6</v>
      </c>
      <c r="F1477" s="5">
        <v>45712</v>
      </c>
      <c r="G1477" s="5">
        <v>45713</v>
      </c>
      <c r="H1477" s="3" t="s">
        <v>26</v>
      </c>
      <c r="I1477" s="4" t="s">
        <v>21</v>
      </c>
      <c r="J1477" s="3">
        <v>4</v>
      </c>
      <c r="K1477" s="3" t="s">
        <v>84</v>
      </c>
      <c r="L1477" s="3">
        <v>1</v>
      </c>
      <c r="M1477" s="3">
        <v>9</v>
      </c>
      <c r="N1477" s="3" t="s">
        <v>28</v>
      </c>
    </row>
    <row r="1478" spans="1:14" x14ac:dyDescent="0.3">
      <c r="A1478" s="7" t="s">
        <v>1561</v>
      </c>
      <c r="B1478" s="7" t="s">
        <v>42</v>
      </c>
      <c r="C1478" s="7">
        <v>4</v>
      </c>
      <c r="D1478" s="10">
        <v>61.5</v>
      </c>
      <c r="E1478" s="10">
        <v>246</v>
      </c>
      <c r="F1478" s="9">
        <v>45712</v>
      </c>
      <c r="G1478" s="9">
        <v>45719</v>
      </c>
      <c r="H1478" s="7" t="s">
        <v>31</v>
      </c>
      <c r="I1478" s="8" t="s">
        <v>40</v>
      </c>
      <c r="J1478" s="7">
        <v>2</v>
      </c>
      <c r="K1478" s="7" t="s">
        <v>87</v>
      </c>
      <c r="L1478" s="7">
        <v>7</v>
      </c>
      <c r="M1478" s="7">
        <v>9</v>
      </c>
      <c r="N1478" s="7" t="s">
        <v>33</v>
      </c>
    </row>
    <row r="1479" spans="1:14" x14ac:dyDescent="0.3">
      <c r="A1479" s="3" t="s">
        <v>1562</v>
      </c>
      <c r="B1479" s="3" t="s">
        <v>51</v>
      </c>
      <c r="C1479" s="3">
        <v>1</v>
      </c>
      <c r="D1479" s="6">
        <v>33.5</v>
      </c>
      <c r="E1479" s="6">
        <v>33.5</v>
      </c>
      <c r="F1479" s="5">
        <v>45713</v>
      </c>
      <c r="G1479" s="5">
        <v>45717</v>
      </c>
      <c r="H1479" s="3" t="s">
        <v>26</v>
      </c>
      <c r="I1479" s="4" t="s">
        <v>75</v>
      </c>
      <c r="J1479" s="3">
        <v>3</v>
      </c>
      <c r="K1479" s="3" t="s">
        <v>121</v>
      </c>
      <c r="L1479" s="3">
        <v>4</v>
      </c>
      <c r="M1479" s="3">
        <v>9</v>
      </c>
      <c r="N1479" s="3" t="s">
        <v>28</v>
      </c>
    </row>
    <row r="1480" spans="1:14" x14ac:dyDescent="0.3">
      <c r="A1480" s="7" t="s">
        <v>1563</v>
      </c>
      <c r="B1480" s="7" t="s">
        <v>37</v>
      </c>
      <c r="C1480" s="7">
        <v>3</v>
      </c>
      <c r="D1480" s="10">
        <v>29.3</v>
      </c>
      <c r="E1480" s="10">
        <v>87.9</v>
      </c>
      <c r="F1480" s="9">
        <v>45713</v>
      </c>
      <c r="G1480" s="9">
        <v>45715</v>
      </c>
      <c r="H1480" s="7" t="s">
        <v>31</v>
      </c>
      <c r="I1480" s="8" t="s">
        <v>40</v>
      </c>
      <c r="J1480" s="7">
        <v>5</v>
      </c>
      <c r="K1480" s="7" t="s">
        <v>27</v>
      </c>
      <c r="L1480" s="7">
        <v>2</v>
      </c>
      <c r="M1480" s="7">
        <v>9</v>
      </c>
      <c r="N1480" s="7" t="s">
        <v>33</v>
      </c>
    </row>
    <row r="1481" spans="1:14" x14ac:dyDescent="0.3">
      <c r="A1481" s="3" t="s">
        <v>1564</v>
      </c>
      <c r="B1481" s="3" t="s">
        <v>30</v>
      </c>
      <c r="C1481" s="3">
        <v>2</v>
      </c>
      <c r="D1481" s="6">
        <v>125.9</v>
      </c>
      <c r="E1481" s="6">
        <v>251.8</v>
      </c>
      <c r="F1481" s="5">
        <v>45713</v>
      </c>
      <c r="G1481" s="5">
        <v>45718</v>
      </c>
      <c r="H1481" s="3" t="s">
        <v>31</v>
      </c>
      <c r="I1481" s="4" t="s">
        <v>75</v>
      </c>
      <c r="J1481" s="3">
        <v>3</v>
      </c>
      <c r="K1481" s="3" t="s">
        <v>27</v>
      </c>
      <c r="L1481" s="3">
        <v>5</v>
      </c>
      <c r="M1481" s="3">
        <v>9</v>
      </c>
      <c r="N1481" s="3" t="s">
        <v>33</v>
      </c>
    </row>
    <row r="1482" spans="1:14" x14ac:dyDescent="0.3">
      <c r="A1482" s="7" t="s">
        <v>1565</v>
      </c>
      <c r="B1482" s="7" t="s">
        <v>42</v>
      </c>
      <c r="C1482" s="7">
        <v>5</v>
      </c>
      <c r="D1482" s="10">
        <v>29.3</v>
      </c>
      <c r="E1482" s="10">
        <v>146.5</v>
      </c>
      <c r="F1482" s="9">
        <v>45713</v>
      </c>
      <c r="G1482" s="9">
        <v>45713</v>
      </c>
      <c r="H1482" s="7" t="s">
        <v>26</v>
      </c>
      <c r="I1482" s="8" t="s">
        <v>45</v>
      </c>
      <c r="J1482" s="7">
        <v>4</v>
      </c>
      <c r="K1482" s="7" t="s">
        <v>119</v>
      </c>
      <c r="L1482" s="7">
        <v>0</v>
      </c>
      <c r="M1482" s="7">
        <v>9</v>
      </c>
      <c r="N1482" s="7" t="s">
        <v>28</v>
      </c>
    </row>
    <row r="1483" spans="1:14" x14ac:dyDescent="0.3">
      <c r="A1483" s="3" t="s">
        <v>1566</v>
      </c>
      <c r="B1483" s="3" t="s">
        <v>51</v>
      </c>
      <c r="C1483" s="3">
        <v>1</v>
      </c>
      <c r="D1483" s="6">
        <v>37.799999999999997</v>
      </c>
      <c r="E1483" s="6">
        <v>37.799999999999997</v>
      </c>
      <c r="F1483" s="5">
        <v>45713</v>
      </c>
      <c r="G1483" s="5">
        <v>45716</v>
      </c>
      <c r="H1483" s="3" t="s">
        <v>31</v>
      </c>
      <c r="I1483" s="4" t="s">
        <v>21</v>
      </c>
      <c r="J1483" s="3">
        <v>5</v>
      </c>
      <c r="K1483" s="3" t="s">
        <v>38</v>
      </c>
      <c r="L1483" s="3">
        <v>3</v>
      </c>
      <c r="M1483" s="3">
        <v>9</v>
      </c>
      <c r="N1483" s="3" t="s">
        <v>33</v>
      </c>
    </row>
    <row r="1484" spans="1:14" x14ac:dyDescent="0.3">
      <c r="A1484" s="7" t="s">
        <v>1567</v>
      </c>
      <c r="B1484" s="7" t="s">
        <v>20</v>
      </c>
      <c r="C1484" s="7">
        <v>4</v>
      </c>
      <c r="D1484" s="10">
        <v>31.7</v>
      </c>
      <c r="E1484" s="10">
        <v>126.8</v>
      </c>
      <c r="F1484" s="9">
        <v>45713</v>
      </c>
      <c r="G1484" s="9">
        <v>45714</v>
      </c>
      <c r="H1484" s="7" t="s">
        <v>26</v>
      </c>
      <c r="I1484" s="8" t="s">
        <v>45</v>
      </c>
      <c r="J1484" s="7">
        <v>5</v>
      </c>
      <c r="K1484" s="7" t="s">
        <v>38</v>
      </c>
      <c r="L1484" s="7">
        <v>1</v>
      </c>
      <c r="M1484" s="7">
        <v>9</v>
      </c>
      <c r="N1484" s="7" t="s">
        <v>28</v>
      </c>
    </row>
    <row r="1485" spans="1:14" x14ac:dyDescent="0.3">
      <c r="A1485" s="3" t="s">
        <v>1568</v>
      </c>
      <c r="B1485" s="3" t="s">
        <v>49</v>
      </c>
      <c r="C1485" s="3">
        <v>5</v>
      </c>
      <c r="D1485" s="6">
        <v>26.3</v>
      </c>
      <c r="E1485" s="6">
        <v>131.5</v>
      </c>
      <c r="F1485" s="5">
        <v>45713</v>
      </c>
      <c r="G1485" s="5">
        <v>45714</v>
      </c>
      <c r="H1485" s="3" t="s">
        <v>31</v>
      </c>
      <c r="I1485" s="4" t="s">
        <v>56</v>
      </c>
      <c r="J1485" s="3">
        <v>5</v>
      </c>
      <c r="K1485" s="3" t="s">
        <v>38</v>
      </c>
      <c r="L1485" s="3">
        <v>1</v>
      </c>
      <c r="M1485" s="3">
        <v>9</v>
      </c>
      <c r="N1485" s="3" t="s">
        <v>33</v>
      </c>
    </row>
    <row r="1486" spans="1:14" x14ac:dyDescent="0.3">
      <c r="A1486" s="7" t="s">
        <v>1569</v>
      </c>
      <c r="B1486" s="7" t="s">
        <v>49</v>
      </c>
      <c r="C1486" s="7">
        <v>3</v>
      </c>
      <c r="D1486" s="10">
        <v>23.1</v>
      </c>
      <c r="E1486" s="10">
        <v>69.300000000000011</v>
      </c>
      <c r="F1486" s="9">
        <v>45713</v>
      </c>
      <c r="G1486" s="9">
        <v>45714</v>
      </c>
      <c r="H1486" s="7" t="s">
        <v>94</v>
      </c>
      <c r="I1486" s="8" t="s">
        <v>45</v>
      </c>
      <c r="J1486" s="7">
        <v>3</v>
      </c>
      <c r="K1486" s="7" t="s">
        <v>38</v>
      </c>
      <c r="L1486" s="7">
        <v>1</v>
      </c>
      <c r="M1486" s="7">
        <v>9</v>
      </c>
      <c r="N1486" s="7" t="s">
        <v>95</v>
      </c>
    </row>
    <row r="1487" spans="1:14" x14ac:dyDescent="0.3">
      <c r="A1487" s="3" t="s">
        <v>1570</v>
      </c>
      <c r="B1487" s="3" t="s">
        <v>37</v>
      </c>
      <c r="C1487" s="3">
        <v>1</v>
      </c>
      <c r="D1487" s="6">
        <v>22.3</v>
      </c>
      <c r="E1487" s="6">
        <v>22.3</v>
      </c>
      <c r="F1487" s="5">
        <v>45713</v>
      </c>
      <c r="G1487" s="5">
        <v>45715</v>
      </c>
      <c r="H1487" s="3" t="s">
        <v>31</v>
      </c>
      <c r="I1487" s="4" t="s">
        <v>45</v>
      </c>
      <c r="J1487" s="3">
        <v>4</v>
      </c>
      <c r="K1487" s="3" t="s">
        <v>38</v>
      </c>
      <c r="L1487" s="3">
        <v>2</v>
      </c>
      <c r="M1487" s="3">
        <v>9</v>
      </c>
      <c r="N1487" s="3" t="s">
        <v>33</v>
      </c>
    </row>
    <row r="1488" spans="1:14" x14ac:dyDescent="0.3">
      <c r="A1488" s="7" t="s">
        <v>1571</v>
      </c>
      <c r="B1488" s="7" t="s">
        <v>74</v>
      </c>
      <c r="C1488" s="7">
        <v>2</v>
      </c>
      <c r="D1488" s="10">
        <v>99.5</v>
      </c>
      <c r="E1488" s="10">
        <v>199</v>
      </c>
      <c r="F1488" s="9">
        <v>45713</v>
      </c>
      <c r="G1488" s="9">
        <v>45715</v>
      </c>
      <c r="H1488" s="7" t="s">
        <v>31</v>
      </c>
      <c r="I1488" s="8" t="s">
        <v>45</v>
      </c>
      <c r="J1488" s="7">
        <v>4</v>
      </c>
      <c r="K1488" s="7" t="s">
        <v>38</v>
      </c>
      <c r="L1488" s="7">
        <v>2</v>
      </c>
      <c r="M1488" s="7">
        <v>9</v>
      </c>
      <c r="N1488" s="7" t="s">
        <v>33</v>
      </c>
    </row>
    <row r="1489" spans="1:14" x14ac:dyDescent="0.3">
      <c r="A1489" s="3" t="s">
        <v>1572</v>
      </c>
      <c r="B1489" s="3" t="s">
        <v>74</v>
      </c>
      <c r="C1489" s="3">
        <v>4</v>
      </c>
      <c r="D1489" s="6">
        <v>47.4</v>
      </c>
      <c r="E1489" s="6">
        <v>189.6</v>
      </c>
      <c r="F1489" s="5">
        <v>45713</v>
      </c>
      <c r="G1489" s="5">
        <v>45716</v>
      </c>
      <c r="H1489" s="3" t="s">
        <v>31</v>
      </c>
      <c r="I1489" s="4" t="s">
        <v>40</v>
      </c>
      <c r="J1489" s="3">
        <v>4</v>
      </c>
      <c r="K1489" s="3" t="s">
        <v>38</v>
      </c>
      <c r="L1489" s="3">
        <v>3</v>
      </c>
      <c r="M1489" s="3">
        <v>9</v>
      </c>
      <c r="N1489" s="3" t="s">
        <v>33</v>
      </c>
    </row>
    <row r="1490" spans="1:14" x14ac:dyDescent="0.3">
      <c r="A1490" s="7" t="s">
        <v>1573</v>
      </c>
      <c r="B1490" s="7" t="s">
        <v>20</v>
      </c>
      <c r="C1490" s="7">
        <v>11</v>
      </c>
      <c r="D1490" s="10">
        <v>37.5</v>
      </c>
      <c r="E1490" s="10">
        <v>412.5</v>
      </c>
      <c r="F1490" s="9">
        <v>45713</v>
      </c>
      <c r="G1490" s="9">
        <v>45715</v>
      </c>
      <c r="H1490" s="7" t="s">
        <v>31</v>
      </c>
      <c r="I1490" s="8" t="s">
        <v>21</v>
      </c>
      <c r="J1490" s="7">
        <v>1</v>
      </c>
      <c r="K1490" s="7" t="s">
        <v>38</v>
      </c>
      <c r="L1490" s="7">
        <v>2</v>
      </c>
      <c r="M1490" s="7">
        <v>9</v>
      </c>
      <c r="N1490" s="7" t="s">
        <v>33</v>
      </c>
    </row>
    <row r="1491" spans="1:14" x14ac:dyDescent="0.3">
      <c r="A1491" s="3" t="s">
        <v>1574</v>
      </c>
      <c r="B1491" s="3" t="s">
        <v>59</v>
      </c>
      <c r="C1491" s="3">
        <v>1</v>
      </c>
      <c r="D1491" s="6">
        <v>45.1</v>
      </c>
      <c r="E1491" s="6">
        <v>45.1</v>
      </c>
      <c r="F1491" s="5">
        <v>45713</v>
      </c>
      <c r="G1491" s="5">
        <v>45718</v>
      </c>
      <c r="H1491" s="3" t="s">
        <v>26</v>
      </c>
      <c r="I1491" s="4" t="s">
        <v>56</v>
      </c>
      <c r="J1491" s="3">
        <v>5</v>
      </c>
      <c r="K1491" s="3" t="s">
        <v>192</v>
      </c>
      <c r="L1491" s="3">
        <v>5</v>
      </c>
      <c r="M1491" s="3">
        <v>9</v>
      </c>
      <c r="N1491" s="3" t="s">
        <v>28</v>
      </c>
    </row>
    <row r="1492" spans="1:14" x14ac:dyDescent="0.3">
      <c r="A1492" s="7" t="s">
        <v>1575</v>
      </c>
      <c r="B1492" s="7" t="s">
        <v>42</v>
      </c>
      <c r="C1492" s="7">
        <v>10</v>
      </c>
      <c r="D1492" s="10">
        <v>34.4</v>
      </c>
      <c r="E1492" s="10">
        <v>344</v>
      </c>
      <c r="F1492" s="9">
        <v>45713</v>
      </c>
      <c r="G1492" s="9">
        <v>45716</v>
      </c>
      <c r="H1492" s="7" t="s">
        <v>26</v>
      </c>
      <c r="I1492" s="8" t="s">
        <v>45</v>
      </c>
      <c r="J1492" s="7">
        <v>4</v>
      </c>
      <c r="K1492" s="7" t="s">
        <v>104</v>
      </c>
      <c r="L1492" s="7">
        <v>3</v>
      </c>
      <c r="M1492" s="7">
        <v>9</v>
      </c>
      <c r="N1492" s="7" t="s">
        <v>28</v>
      </c>
    </row>
    <row r="1493" spans="1:14" x14ac:dyDescent="0.3">
      <c r="A1493" s="3" t="s">
        <v>1576</v>
      </c>
      <c r="B1493" s="3" t="s">
        <v>37</v>
      </c>
      <c r="C1493" s="3">
        <v>2</v>
      </c>
      <c r="D1493" s="6">
        <v>38</v>
      </c>
      <c r="E1493" s="6">
        <v>76</v>
      </c>
      <c r="F1493" s="5">
        <v>45713</v>
      </c>
      <c r="G1493" s="5">
        <v>45715</v>
      </c>
      <c r="H1493" s="3" t="s">
        <v>31</v>
      </c>
      <c r="I1493" s="4" t="s">
        <v>40</v>
      </c>
      <c r="J1493" s="3">
        <v>4</v>
      </c>
      <c r="K1493" s="3" t="s">
        <v>57</v>
      </c>
      <c r="L1493" s="3">
        <v>2</v>
      </c>
      <c r="M1493" s="3">
        <v>9</v>
      </c>
      <c r="N1493" s="3" t="s">
        <v>33</v>
      </c>
    </row>
    <row r="1494" spans="1:14" x14ac:dyDescent="0.3">
      <c r="A1494" s="7" t="s">
        <v>1577</v>
      </c>
      <c r="B1494" s="7" t="s">
        <v>35</v>
      </c>
      <c r="C1494" s="7">
        <v>14</v>
      </c>
      <c r="D1494" s="10">
        <v>32.4</v>
      </c>
      <c r="E1494" s="10">
        <v>453.6</v>
      </c>
      <c r="F1494" s="9">
        <v>45713</v>
      </c>
      <c r="G1494" s="9">
        <v>45716</v>
      </c>
      <c r="H1494" s="7" t="s">
        <v>26</v>
      </c>
      <c r="I1494" s="8" t="s">
        <v>75</v>
      </c>
      <c r="J1494" s="7">
        <v>4</v>
      </c>
      <c r="K1494" s="7" t="s">
        <v>60</v>
      </c>
      <c r="L1494" s="7">
        <v>3</v>
      </c>
      <c r="M1494" s="7">
        <v>9</v>
      </c>
      <c r="N1494" s="7" t="s">
        <v>28</v>
      </c>
    </row>
    <row r="1495" spans="1:14" x14ac:dyDescent="0.3">
      <c r="A1495" s="3" t="s">
        <v>1578</v>
      </c>
      <c r="B1495" s="3" t="s">
        <v>44</v>
      </c>
      <c r="C1495" s="3">
        <v>3</v>
      </c>
      <c r="D1495" s="6">
        <v>40.9</v>
      </c>
      <c r="E1495" s="6">
        <v>122.7</v>
      </c>
      <c r="F1495" s="5">
        <v>45713</v>
      </c>
      <c r="G1495" s="5">
        <v>45713</v>
      </c>
      <c r="H1495" s="3"/>
      <c r="I1495" s="4" t="s">
        <v>40</v>
      </c>
      <c r="J1495" s="3">
        <v>4</v>
      </c>
      <c r="K1495" s="3" t="s">
        <v>67</v>
      </c>
      <c r="L1495" s="3">
        <v>0</v>
      </c>
      <c r="M1495" s="3">
        <v>9</v>
      </c>
      <c r="N1495" s="3" t="s">
        <v>23</v>
      </c>
    </row>
    <row r="1496" spans="1:14" x14ac:dyDescent="0.3">
      <c r="A1496" s="7" t="s">
        <v>1579</v>
      </c>
      <c r="B1496" s="7" t="s">
        <v>47</v>
      </c>
      <c r="C1496" s="7">
        <v>7</v>
      </c>
      <c r="D1496" s="10">
        <v>76.2</v>
      </c>
      <c r="E1496" s="10">
        <v>533.4</v>
      </c>
      <c r="F1496" s="9">
        <v>45713</v>
      </c>
      <c r="G1496" s="9">
        <v>45715</v>
      </c>
      <c r="H1496" s="7" t="s">
        <v>31</v>
      </c>
      <c r="I1496" s="8" t="s">
        <v>45</v>
      </c>
      <c r="J1496" s="7">
        <v>3</v>
      </c>
      <c r="K1496" s="7" t="s">
        <v>67</v>
      </c>
      <c r="L1496" s="7">
        <v>2</v>
      </c>
      <c r="M1496" s="7">
        <v>9</v>
      </c>
      <c r="N1496" s="7" t="s">
        <v>33</v>
      </c>
    </row>
    <row r="1497" spans="1:14" x14ac:dyDescent="0.3">
      <c r="A1497" s="3" t="s">
        <v>1580</v>
      </c>
      <c r="B1497" s="3" t="s">
        <v>30</v>
      </c>
      <c r="C1497" s="3">
        <v>1</v>
      </c>
      <c r="D1497" s="6">
        <v>85.6</v>
      </c>
      <c r="E1497" s="6">
        <v>85.6</v>
      </c>
      <c r="F1497" s="5">
        <v>45713</v>
      </c>
      <c r="G1497" s="5">
        <v>45715</v>
      </c>
      <c r="H1497" s="3" t="s">
        <v>26</v>
      </c>
      <c r="I1497" s="4" t="s">
        <v>45</v>
      </c>
      <c r="J1497" s="3">
        <v>4</v>
      </c>
      <c r="K1497" s="3" t="s">
        <v>67</v>
      </c>
      <c r="L1497" s="3">
        <v>2</v>
      </c>
      <c r="M1497" s="3">
        <v>9</v>
      </c>
      <c r="N1497" s="3" t="s">
        <v>28</v>
      </c>
    </row>
    <row r="1498" spans="1:14" x14ac:dyDescent="0.3">
      <c r="A1498" s="7" t="s">
        <v>1581</v>
      </c>
      <c r="B1498" s="7" t="s">
        <v>37</v>
      </c>
      <c r="C1498" s="7">
        <v>4</v>
      </c>
      <c r="D1498" s="10">
        <v>25</v>
      </c>
      <c r="E1498" s="10">
        <v>100</v>
      </c>
      <c r="F1498" s="9">
        <v>45713</v>
      </c>
      <c r="G1498" s="9">
        <v>45715</v>
      </c>
      <c r="H1498" s="7" t="s">
        <v>31</v>
      </c>
      <c r="I1498" s="8" t="s">
        <v>45</v>
      </c>
      <c r="J1498" s="7">
        <v>5</v>
      </c>
      <c r="K1498" s="7" t="s">
        <v>67</v>
      </c>
      <c r="L1498" s="7">
        <v>2</v>
      </c>
      <c r="M1498" s="7">
        <v>9</v>
      </c>
      <c r="N1498" s="7" t="s">
        <v>33</v>
      </c>
    </row>
    <row r="1499" spans="1:14" x14ac:dyDescent="0.3">
      <c r="A1499" s="3" t="s">
        <v>1582</v>
      </c>
      <c r="B1499" s="3" t="s">
        <v>30</v>
      </c>
      <c r="C1499" s="3">
        <v>5</v>
      </c>
      <c r="D1499" s="6">
        <v>150.69999999999999</v>
      </c>
      <c r="E1499" s="6">
        <v>753.5</v>
      </c>
      <c r="F1499" s="5">
        <v>45713</v>
      </c>
      <c r="G1499" s="5">
        <v>45714</v>
      </c>
      <c r="H1499" s="3"/>
      <c r="I1499" s="4" t="s">
        <v>21</v>
      </c>
      <c r="J1499" s="3">
        <v>5</v>
      </c>
      <c r="K1499" s="3" t="s">
        <v>67</v>
      </c>
      <c r="L1499" s="3">
        <v>1</v>
      </c>
      <c r="M1499" s="3">
        <v>9</v>
      </c>
      <c r="N1499" s="3" t="s">
        <v>23</v>
      </c>
    </row>
    <row r="1500" spans="1:14" x14ac:dyDescent="0.3">
      <c r="A1500" s="7" t="s">
        <v>1583</v>
      </c>
      <c r="B1500" s="7" t="s">
        <v>49</v>
      </c>
      <c r="C1500" s="7">
        <v>1</v>
      </c>
      <c r="D1500" s="10">
        <v>19.600000000000001</v>
      </c>
      <c r="E1500" s="10">
        <v>19.600000000000001</v>
      </c>
      <c r="F1500" s="9">
        <v>45713</v>
      </c>
      <c r="G1500" s="9">
        <v>45714</v>
      </c>
      <c r="H1500" s="7" t="s">
        <v>26</v>
      </c>
      <c r="I1500" s="8" t="s">
        <v>40</v>
      </c>
      <c r="J1500" s="7">
        <v>2</v>
      </c>
      <c r="K1500" s="7" t="s">
        <v>67</v>
      </c>
      <c r="L1500" s="7">
        <v>1</v>
      </c>
      <c r="M1500" s="7">
        <v>9</v>
      </c>
      <c r="N1500" s="7" t="s">
        <v>28</v>
      </c>
    </row>
    <row r="1501" spans="1:14" x14ac:dyDescent="0.3">
      <c r="A1501" s="3" t="s">
        <v>1584</v>
      </c>
      <c r="B1501" s="3" t="s">
        <v>81</v>
      </c>
      <c r="C1501" s="3">
        <v>2</v>
      </c>
      <c r="D1501" s="6">
        <v>37.5</v>
      </c>
      <c r="E1501" s="6">
        <v>75</v>
      </c>
      <c r="F1501" s="5">
        <v>45713</v>
      </c>
      <c r="G1501" s="5">
        <v>45716</v>
      </c>
      <c r="H1501" s="3" t="s">
        <v>31</v>
      </c>
      <c r="I1501" s="4" t="s">
        <v>40</v>
      </c>
      <c r="J1501" s="3">
        <v>5</v>
      </c>
      <c r="K1501" s="3" t="s">
        <v>109</v>
      </c>
      <c r="L1501" s="3">
        <v>3</v>
      </c>
      <c r="M1501" s="3">
        <v>9</v>
      </c>
      <c r="N1501" s="3" t="s">
        <v>33</v>
      </c>
    </row>
    <row r="1502" spans="1:14" x14ac:dyDescent="0.3">
      <c r="A1502" s="7" t="s">
        <v>1585</v>
      </c>
      <c r="B1502" s="7" t="s">
        <v>51</v>
      </c>
      <c r="C1502" s="7">
        <v>3</v>
      </c>
      <c r="D1502" s="10">
        <v>51.9</v>
      </c>
      <c r="E1502" s="10">
        <v>155.69999999999999</v>
      </c>
      <c r="F1502" s="9">
        <v>45713</v>
      </c>
      <c r="G1502" s="9">
        <v>45719</v>
      </c>
      <c r="H1502" s="7" t="s">
        <v>31</v>
      </c>
      <c r="I1502" s="8" t="s">
        <v>21</v>
      </c>
      <c r="J1502" s="7">
        <v>2</v>
      </c>
      <c r="K1502" s="7" t="s">
        <v>82</v>
      </c>
      <c r="L1502" s="7">
        <v>6</v>
      </c>
      <c r="M1502" s="7">
        <v>9</v>
      </c>
      <c r="N1502" s="7" t="s">
        <v>33</v>
      </c>
    </row>
    <row r="1503" spans="1:14" x14ac:dyDescent="0.3">
      <c r="A1503" s="3" t="s">
        <v>1586</v>
      </c>
      <c r="B1503" s="3" t="s">
        <v>25</v>
      </c>
      <c r="C1503" s="3">
        <v>2</v>
      </c>
      <c r="D1503" s="6">
        <v>30.9</v>
      </c>
      <c r="E1503" s="6">
        <v>61.8</v>
      </c>
      <c r="F1503" s="5">
        <v>45713</v>
      </c>
      <c r="G1503" s="5">
        <v>45715</v>
      </c>
      <c r="H1503" s="3" t="s">
        <v>31</v>
      </c>
      <c r="I1503" s="4" t="s">
        <v>40</v>
      </c>
      <c r="J1503" s="3">
        <v>4</v>
      </c>
      <c r="K1503" s="3" t="s">
        <v>114</v>
      </c>
      <c r="L1503" s="3">
        <v>2</v>
      </c>
      <c r="M1503" s="3">
        <v>9</v>
      </c>
      <c r="N1503" s="3" t="s">
        <v>33</v>
      </c>
    </row>
    <row r="1504" spans="1:14" x14ac:dyDescent="0.3">
      <c r="A1504" s="7" t="s">
        <v>1587</v>
      </c>
      <c r="B1504" s="7" t="s">
        <v>37</v>
      </c>
      <c r="C1504" s="7">
        <v>3</v>
      </c>
      <c r="D1504" s="10">
        <v>21.2</v>
      </c>
      <c r="E1504" s="10">
        <v>63.599999999999987</v>
      </c>
      <c r="F1504" s="9">
        <v>45713</v>
      </c>
      <c r="G1504" s="9">
        <v>45716</v>
      </c>
      <c r="H1504" s="7" t="s">
        <v>31</v>
      </c>
      <c r="I1504" s="8" t="s">
        <v>40</v>
      </c>
      <c r="J1504" s="7">
        <v>4</v>
      </c>
      <c r="K1504" s="7" t="s">
        <v>116</v>
      </c>
      <c r="L1504" s="7">
        <v>3</v>
      </c>
      <c r="M1504" s="7">
        <v>9</v>
      </c>
      <c r="N1504" s="7" t="s">
        <v>33</v>
      </c>
    </row>
    <row r="1505" spans="1:14" x14ac:dyDescent="0.3">
      <c r="A1505" s="3" t="s">
        <v>1588</v>
      </c>
      <c r="B1505" s="3" t="s">
        <v>81</v>
      </c>
      <c r="C1505" s="3">
        <v>17</v>
      </c>
      <c r="D1505" s="6">
        <v>17.5</v>
      </c>
      <c r="E1505" s="6">
        <v>297.5</v>
      </c>
      <c r="F1505" s="5">
        <v>45713</v>
      </c>
      <c r="G1505" s="5">
        <v>45714</v>
      </c>
      <c r="H1505" s="3" t="s">
        <v>26</v>
      </c>
      <c r="I1505" s="4" t="s">
        <v>40</v>
      </c>
      <c r="J1505" s="3">
        <v>3</v>
      </c>
      <c r="K1505" s="3" t="s">
        <v>87</v>
      </c>
      <c r="L1505" s="3">
        <v>1</v>
      </c>
      <c r="M1505" s="3">
        <v>9</v>
      </c>
      <c r="N1505" s="3" t="s">
        <v>28</v>
      </c>
    </row>
    <row r="1506" spans="1:14" x14ac:dyDescent="0.3">
      <c r="A1506" s="7" t="s">
        <v>1589</v>
      </c>
      <c r="B1506" s="7" t="s">
        <v>74</v>
      </c>
      <c r="C1506" s="7">
        <v>2</v>
      </c>
      <c r="D1506" s="10">
        <v>53.8</v>
      </c>
      <c r="E1506" s="10">
        <v>107.6</v>
      </c>
      <c r="F1506" s="9">
        <v>45713</v>
      </c>
      <c r="G1506" s="9">
        <v>45718</v>
      </c>
      <c r="H1506" s="7" t="s">
        <v>31</v>
      </c>
      <c r="I1506" s="8" t="s">
        <v>21</v>
      </c>
      <c r="J1506" s="7">
        <v>5</v>
      </c>
      <c r="K1506" s="7" t="s">
        <v>121</v>
      </c>
      <c r="L1506" s="7">
        <v>5</v>
      </c>
      <c r="M1506" s="7">
        <v>9</v>
      </c>
      <c r="N1506" s="7" t="s">
        <v>33</v>
      </c>
    </row>
    <row r="1507" spans="1:14" x14ac:dyDescent="0.3">
      <c r="A1507" s="3" t="s">
        <v>1590</v>
      </c>
      <c r="B1507" s="3" t="s">
        <v>177</v>
      </c>
      <c r="C1507" s="3">
        <v>2</v>
      </c>
      <c r="D1507" s="6">
        <v>17</v>
      </c>
      <c r="E1507" s="6">
        <v>34</v>
      </c>
      <c r="F1507" s="5">
        <v>45713</v>
      </c>
      <c r="G1507" s="5">
        <v>45714</v>
      </c>
      <c r="H1507" s="3" t="s">
        <v>26</v>
      </c>
      <c r="I1507" s="4" t="s">
        <v>56</v>
      </c>
      <c r="J1507" s="3">
        <v>4</v>
      </c>
      <c r="K1507" s="3" t="s">
        <v>121</v>
      </c>
      <c r="L1507" s="3">
        <v>1</v>
      </c>
      <c r="M1507" s="3">
        <v>9</v>
      </c>
      <c r="N1507" s="3" t="s">
        <v>28</v>
      </c>
    </row>
    <row r="1508" spans="1:14" x14ac:dyDescent="0.3">
      <c r="A1508" s="7" t="s">
        <v>1591</v>
      </c>
      <c r="B1508" s="7" t="s">
        <v>44</v>
      </c>
      <c r="C1508" s="7">
        <v>1</v>
      </c>
      <c r="D1508" s="10">
        <v>103.2</v>
      </c>
      <c r="E1508" s="10">
        <v>103.2</v>
      </c>
      <c r="F1508" s="9">
        <v>45713</v>
      </c>
      <c r="G1508" s="9">
        <v>45721</v>
      </c>
      <c r="H1508" s="7" t="s">
        <v>26</v>
      </c>
      <c r="I1508" s="8" t="s">
        <v>45</v>
      </c>
      <c r="J1508" s="7">
        <v>3</v>
      </c>
      <c r="K1508" s="7" t="s">
        <v>27</v>
      </c>
      <c r="L1508" s="7">
        <v>8</v>
      </c>
      <c r="M1508" s="7">
        <v>9</v>
      </c>
      <c r="N1508" s="7" t="s">
        <v>28</v>
      </c>
    </row>
    <row r="1509" spans="1:14" x14ac:dyDescent="0.3">
      <c r="A1509" s="3" t="s">
        <v>1592</v>
      </c>
      <c r="B1509" s="3" t="s">
        <v>44</v>
      </c>
      <c r="C1509" s="3">
        <v>4</v>
      </c>
      <c r="D1509" s="6">
        <v>70.3</v>
      </c>
      <c r="E1509" s="6">
        <v>281.2</v>
      </c>
      <c r="F1509" s="5">
        <v>45713</v>
      </c>
      <c r="G1509" s="5">
        <v>45714</v>
      </c>
      <c r="H1509" s="3" t="s">
        <v>26</v>
      </c>
      <c r="I1509" s="4" t="s">
        <v>21</v>
      </c>
      <c r="J1509" s="3">
        <v>4</v>
      </c>
      <c r="K1509" s="3" t="s">
        <v>38</v>
      </c>
      <c r="L1509" s="3">
        <v>1</v>
      </c>
      <c r="M1509" s="3">
        <v>9</v>
      </c>
      <c r="N1509" s="3" t="s">
        <v>28</v>
      </c>
    </row>
    <row r="1510" spans="1:14" x14ac:dyDescent="0.3">
      <c r="A1510" s="7" t="s">
        <v>1593</v>
      </c>
      <c r="B1510" s="7" t="s">
        <v>30</v>
      </c>
      <c r="C1510" s="7">
        <v>2</v>
      </c>
      <c r="D1510" s="10">
        <v>73.8</v>
      </c>
      <c r="E1510" s="10">
        <v>147.6</v>
      </c>
      <c r="F1510" s="9">
        <v>45713</v>
      </c>
      <c r="G1510" s="9">
        <v>45713</v>
      </c>
      <c r="H1510" s="7" t="s">
        <v>26</v>
      </c>
      <c r="I1510" s="8" t="s">
        <v>56</v>
      </c>
      <c r="J1510" s="7">
        <v>5</v>
      </c>
      <c r="K1510" s="7" t="s">
        <v>38</v>
      </c>
      <c r="L1510" s="7">
        <v>0</v>
      </c>
      <c r="M1510" s="7">
        <v>9</v>
      </c>
      <c r="N1510" s="7" t="s">
        <v>28</v>
      </c>
    </row>
    <row r="1511" spans="1:14" x14ac:dyDescent="0.3">
      <c r="A1511" s="3" t="s">
        <v>1594</v>
      </c>
      <c r="B1511" s="3" t="s">
        <v>25</v>
      </c>
      <c r="C1511" s="3">
        <v>12</v>
      </c>
      <c r="D1511" s="6">
        <v>67.7</v>
      </c>
      <c r="E1511" s="6">
        <v>812.40000000000009</v>
      </c>
      <c r="F1511" s="5">
        <v>45713</v>
      </c>
      <c r="G1511" s="5">
        <v>45717</v>
      </c>
      <c r="H1511" s="3" t="s">
        <v>26</v>
      </c>
      <c r="I1511" s="4" t="s">
        <v>40</v>
      </c>
      <c r="J1511" s="3">
        <v>3</v>
      </c>
      <c r="K1511" s="3" t="s">
        <v>38</v>
      </c>
      <c r="L1511" s="3">
        <v>4</v>
      </c>
      <c r="M1511" s="3">
        <v>9</v>
      </c>
      <c r="N1511" s="3" t="s">
        <v>28</v>
      </c>
    </row>
    <row r="1512" spans="1:14" x14ac:dyDescent="0.3">
      <c r="A1512" s="7" t="s">
        <v>1595</v>
      </c>
      <c r="B1512" s="7" t="s">
        <v>81</v>
      </c>
      <c r="C1512" s="7">
        <v>7</v>
      </c>
      <c r="D1512" s="10">
        <v>43.8</v>
      </c>
      <c r="E1512" s="10">
        <v>306.60000000000002</v>
      </c>
      <c r="F1512" s="9">
        <v>45713</v>
      </c>
      <c r="G1512" s="9">
        <v>45715</v>
      </c>
      <c r="H1512" s="7" t="s">
        <v>26</v>
      </c>
      <c r="I1512" s="8" t="s">
        <v>40</v>
      </c>
      <c r="J1512" s="7">
        <v>4</v>
      </c>
      <c r="K1512" s="7" t="s">
        <v>38</v>
      </c>
      <c r="L1512" s="7">
        <v>2</v>
      </c>
      <c r="M1512" s="7">
        <v>9</v>
      </c>
      <c r="N1512" s="7" t="s">
        <v>28</v>
      </c>
    </row>
    <row r="1513" spans="1:14" x14ac:dyDescent="0.3">
      <c r="A1513" s="3" t="s">
        <v>1596</v>
      </c>
      <c r="B1513" s="3" t="s">
        <v>141</v>
      </c>
      <c r="C1513" s="3">
        <v>6</v>
      </c>
      <c r="D1513" s="6">
        <v>71.900000000000006</v>
      </c>
      <c r="E1513" s="6">
        <v>431.4</v>
      </c>
      <c r="F1513" s="5">
        <v>45713</v>
      </c>
      <c r="G1513" s="5">
        <v>45714</v>
      </c>
      <c r="H1513" s="3" t="s">
        <v>31</v>
      </c>
      <c r="I1513" s="4" t="s">
        <v>45</v>
      </c>
      <c r="J1513" s="3">
        <v>4</v>
      </c>
      <c r="K1513" s="3" t="s">
        <v>38</v>
      </c>
      <c r="L1513" s="3">
        <v>1</v>
      </c>
      <c r="M1513" s="3">
        <v>9</v>
      </c>
      <c r="N1513" s="3" t="s">
        <v>33</v>
      </c>
    </row>
    <row r="1514" spans="1:14" x14ac:dyDescent="0.3">
      <c r="A1514" s="7" t="s">
        <v>1597</v>
      </c>
      <c r="B1514" s="7" t="s">
        <v>49</v>
      </c>
      <c r="C1514" s="7">
        <v>2</v>
      </c>
      <c r="D1514" s="10">
        <v>26.3</v>
      </c>
      <c r="E1514" s="10">
        <v>52.6</v>
      </c>
      <c r="F1514" s="9">
        <v>45714</v>
      </c>
      <c r="G1514" s="9">
        <v>45716</v>
      </c>
      <c r="H1514" s="7" t="s">
        <v>31</v>
      </c>
      <c r="I1514" s="8" t="s">
        <v>21</v>
      </c>
      <c r="J1514" s="7">
        <v>3</v>
      </c>
      <c r="K1514" s="7" t="s">
        <v>38</v>
      </c>
      <c r="L1514" s="7">
        <v>2</v>
      </c>
      <c r="M1514" s="7">
        <v>9</v>
      </c>
      <c r="N1514" s="7" t="s">
        <v>33</v>
      </c>
    </row>
    <row r="1515" spans="1:14" x14ac:dyDescent="0.3">
      <c r="A1515" s="3" t="s">
        <v>1598</v>
      </c>
      <c r="B1515" s="3" t="s">
        <v>44</v>
      </c>
      <c r="C1515" s="3">
        <v>4</v>
      </c>
      <c r="D1515" s="6">
        <v>52.6</v>
      </c>
      <c r="E1515" s="6">
        <v>210.4</v>
      </c>
      <c r="F1515" s="5">
        <v>45714</v>
      </c>
      <c r="G1515" s="5">
        <v>45716</v>
      </c>
      <c r="H1515" s="3" t="s">
        <v>31</v>
      </c>
      <c r="I1515" s="4" t="s">
        <v>45</v>
      </c>
      <c r="J1515" s="3">
        <v>3</v>
      </c>
      <c r="K1515" s="3" t="s">
        <v>38</v>
      </c>
      <c r="L1515" s="3">
        <v>2</v>
      </c>
      <c r="M1515" s="3">
        <v>9</v>
      </c>
      <c r="N1515" s="3" t="s">
        <v>33</v>
      </c>
    </row>
    <row r="1516" spans="1:14" x14ac:dyDescent="0.3">
      <c r="A1516" s="7" t="s">
        <v>1599</v>
      </c>
      <c r="B1516" s="7" t="s">
        <v>59</v>
      </c>
      <c r="C1516" s="7">
        <v>1</v>
      </c>
      <c r="D1516" s="10">
        <v>32.700000000000003</v>
      </c>
      <c r="E1516" s="10">
        <v>32.700000000000003</v>
      </c>
      <c r="F1516" s="9">
        <v>45714</v>
      </c>
      <c r="G1516" s="9">
        <v>45721</v>
      </c>
      <c r="H1516" s="7" t="s">
        <v>31</v>
      </c>
      <c r="I1516" s="8" t="s">
        <v>21</v>
      </c>
      <c r="J1516" s="7">
        <v>5</v>
      </c>
      <c r="K1516" s="7" t="s">
        <v>38</v>
      </c>
      <c r="L1516" s="7">
        <v>7</v>
      </c>
      <c r="M1516" s="7">
        <v>9</v>
      </c>
      <c r="N1516" s="7" t="s">
        <v>33</v>
      </c>
    </row>
    <row r="1517" spans="1:14" x14ac:dyDescent="0.3">
      <c r="A1517" s="3" t="s">
        <v>1600</v>
      </c>
      <c r="B1517" s="3" t="s">
        <v>42</v>
      </c>
      <c r="C1517" s="3">
        <v>4</v>
      </c>
      <c r="D1517" s="6">
        <v>38.9</v>
      </c>
      <c r="E1517" s="6">
        <v>155.6</v>
      </c>
      <c r="F1517" s="5">
        <v>45714</v>
      </c>
      <c r="G1517" s="5">
        <v>45715</v>
      </c>
      <c r="H1517" s="3" t="s">
        <v>31</v>
      </c>
      <c r="I1517" s="4" t="s">
        <v>21</v>
      </c>
      <c r="J1517" s="3">
        <v>4</v>
      </c>
      <c r="K1517" s="3" t="s">
        <v>38</v>
      </c>
      <c r="L1517" s="3">
        <v>1</v>
      </c>
      <c r="M1517" s="3">
        <v>9</v>
      </c>
      <c r="N1517" s="3" t="s">
        <v>33</v>
      </c>
    </row>
    <row r="1518" spans="1:14" x14ac:dyDescent="0.3">
      <c r="A1518" s="7" t="s">
        <v>1601</v>
      </c>
      <c r="B1518" s="7" t="s">
        <v>51</v>
      </c>
      <c r="C1518" s="7">
        <v>5</v>
      </c>
      <c r="D1518" s="10">
        <v>35</v>
      </c>
      <c r="E1518" s="10">
        <v>175</v>
      </c>
      <c r="F1518" s="9">
        <v>45714</v>
      </c>
      <c r="G1518" s="9">
        <v>45716</v>
      </c>
      <c r="H1518" s="7" t="s">
        <v>26</v>
      </c>
      <c r="I1518" s="8" t="s">
        <v>21</v>
      </c>
      <c r="J1518" s="7">
        <v>4</v>
      </c>
      <c r="K1518" s="7" t="s">
        <v>38</v>
      </c>
      <c r="L1518" s="7">
        <v>2</v>
      </c>
      <c r="M1518" s="7">
        <v>9</v>
      </c>
      <c r="N1518" s="7" t="s">
        <v>28</v>
      </c>
    </row>
    <row r="1519" spans="1:14" x14ac:dyDescent="0.3">
      <c r="A1519" s="3" t="s">
        <v>1602</v>
      </c>
      <c r="B1519" s="3" t="s">
        <v>30</v>
      </c>
      <c r="C1519" s="3">
        <v>2</v>
      </c>
      <c r="D1519" s="6">
        <v>121</v>
      </c>
      <c r="E1519" s="6">
        <v>242</v>
      </c>
      <c r="F1519" s="5">
        <v>45714</v>
      </c>
      <c r="G1519" s="5">
        <v>45715</v>
      </c>
      <c r="H1519" s="3" t="s">
        <v>31</v>
      </c>
      <c r="I1519" s="4" t="s">
        <v>40</v>
      </c>
      <c r="J1519" s="3">
        <v>3</v>
      </c>
      <c r="K1519" s="3" t="s">
        <v>38</v>
      </c>
      <c r="L1519" s="3">
        <v>1</v>
      </c>
      <c r="M1519" s="3">
        <v>9</v>
      </c>
      <c r="N1519" s="3" t="s">
        <v>33</v>
      </c>
    </row>
    <row r="1520" spans="1:14" x14ac:dyDescent="0.3">
      <c r="A1520" s="7" t="s">
        <v>1603</v>
      </c>
      <c r="B1520" s="7" t="s">
        <v>44</v>
      </c>
      <c r="C1520" s="7">
        <v>3</v>
      </c>
      <c r="D1520" s="10">
        <v>65.099999999999994</v>
      </c>
      <c r="E1520" s="10">
        <v>195.3</v>
      </c>
      <c r="F1520" s="9">
        <v>45714</v>
      </c>
      <c r="G1520" s="9">
        <v>45718</v>
      </c>
      <c r="H1520" s="7" t="s">
        <v>26</v>
      </c>
      <c r="I1520" s="8" t="s">
        <v>45</v>
      </c>
      <c r="J1520" s="7">
        <v>4</v>
      </c>
      <c r="K1520" s="7" t="s">
        <v>57</v>
      </c>
      <c r="L1520" s="7">
        <v>4</v>
      </c>
      <c r="M1520" s="7">
        <v>9</v>
      </c>
      <c r="N1520" s="7" t="s">
        <v>28</v>
      </c>
    </row>
    <row r="1521" spans="1:14" x14ac:dyDescent="0.3">
      <c r="A1521" s="3" t="s">
        <v>1604</v>
      </c>
      <c r="B1521" s="3" t="s">
        <v>25</v>
      </c>
      <c r="C1521" s="3">
        <v>21</v>
      </c>
      <c r="D1521" s="6">
        <v>63.8</v>
      </c>
      <c r="E1521" s="6">
        <v>1339.8</v>
      </c>
      <c r="F1521" s="5">
        <v>45714</v>
      </c>
      <c r="G1521" s="5">
        <v>45716</v>
      </c>
      <c r="H1521" s="3" t="s">
        <v>31</v>
      </c>
      <c r="I1521" s="4" t="s">
        <v>21</v>
      </c>
      <c r="J1521" s="3">
        <v>4</v>
      </c>
      <c r="K1521" s="3" t="s">
        <v>67</v>
      </c>
      <c r="L1521" s="3">
        <v>2</v>
      </c>
      <c r="M1521" s="3">
        <v>9</v>
      </c>
      <c r="N1521" s="3" t="s">
        <v>33</v>
      </c>
    </row>
    <row r="1522" spans="1:14" x14ac:dyDescent="0.3">
      <c r="A1522" s="7" t="s">
        <v>1605</v>
      </c>
      <c r="B1522" s="7" t="s">
        <v>47</v>
      </c>
      <c r="C1522" s="7">
        <v>1</v>
      </c>
      <c r="D1522" s="10">
        <v>77.7</v>
      </c>
      <c r="E1522" s="10">
        <v>77.7</v>
      </c>
      <c r="F1522" s="9">
        <v>45714</v>
      </c>
      <c r="G1522" s="9">
        <v>45716</v>
      </c>
      <c r="H1522" s="7" t="s">
        <v>26</v>
      </c>
      <c r="I1522" s="8" t="s">
        <v>21</v>
      </c>
      <c r="J1522" s="7">
        <v>4</v>
      </c>
      <c r="K1522" s="7" t="s">
        <v>67</v>
      </c>
      <c r="L1522" s="7">
        <v>2</v>
      </c>
      <c r="M1522" s="7">
        <v>9</v>
      </c>
      <c r="N1522" s="7" t="s">
        <v>28</v>
      </c>
    </row>
    <row r="1523" spans="1:14" x14ac:dyDescent="0.3">
      <c r="A1523" s="3" t="s">
        <v>1606</v>
      </c>
      <c r="B1523" s="3" t="s">
        <v>42</v>
      </c>
      <c r="C1523" s="3">
        <v>4</v>
      </c>
      <c r="D1523" s="6">
        <v>60.3</v>
      </c>
      <c r="E1523" s="6">
        <v>241.2</v>
      </c>
      <c r="F1523" s="5">
        <v>45714</v>
      </c>
      <c r="G1523" s="5">
        <v>45714</v>
      </c>
      <c r="H1523" s="3" t="s">
        <v>26</v>
      </c>
      <c r="I1523" s="4" t="s">
        <v>21</v>
      </c>
      <c r="J1523" s="3">
        <v>5</v>
      </c>
      <c r="K1523" s="3" t="s">
        <v>67</v>
      </c>
      <c r="L1523" s="3">
        <v>0</v>
      </c>
      <c r="M1523" s="3">
        <v>9</v>
      </c>
      <c r="N1523" s="3" t="s">
        <v>28</v>
      </c>
    </row>
    <row r="1524" spans="1:14" x14ac:dyDescent="0.3">
      <c r="A1524" s="7" t="s">
        <v>1607</v>
      </c>
      <c r="B1524" s="7" t="s">
        <v>42</v>
      </c>
      <c r="C1524" s="7">
        <v>2</v>
      </c>
      <c r="D1524" s="10">
        <v>124.1</v>
      </c>
      <c r="E1524" s="10">
        <v>248.2</v>
      </c>
      <c r="F1524" s="9">
        <v>45714</v>
      </c>
      <c r="G1524" s="9">
        <v>45717</v>
      </c>
      <c r="H1524" s="7" t="s">
        <v>31</v>
      </c>
      <c r="I1524" s="8" t="s">
        <v>21</v>
      </c>
      <c r="J1524" s="7">
        <v>5</v>
      </c>
      <c r="K1524" s="7" t="s">
        <v>67</v>
      </c>
      <c r="L1524" s="7">
        <v>3</v>
      </c>
      <c r="M1524" s="7">
        <v>9</v>
      </c>
      <c r="N1524" s="7" t="s">
        <v>33</v>
      </c>
    </row>
    <row r="1525" spans="1:14" x14ac:dyDescent="0.3">
      <c r="A1525" s="3" t="s">
        <v>1608</v>
      </c>
      <c r="B1525" s="3" t="s">
        <v>134</v>
      </c>
      <c r="C1525" s="3">
        <v>7</v>
      </c>
      <c r="D1525" s="6">
        <v>66</v>
      </c>
      <c r="E1525" s="6">
        <v>462</v>
      </c>
      <c r="F1525" s="5">
        <v>45714</v>
      </c>
      <c r="G1525" s="5">
        <v>45714</v>
      </c>
      <c r="H1525" s="3"/>
      <c r="I1525" s="4" t="s">
        <v>56</v>
      </c>
      <c r="J1525" s="3">
        <v>4</v>
      </c>
      <c r="K1525" s="3" t="s">
        <v>109</v>
      </c>
      <c r="L1525" s="3">
        <v>0</v>
      </c>
      <c r="M1525" s="3">
        <v>9</v>
      </c>
      <c r="N1525" s="3" t="s">
        <v>23</v>
      </c>
    </row>
    <row r="1526" spans="1:14" x14ac:dyDescent="0.3">
      <c r="A1526" s="7" t="s">
        <v>1609</v>
      </c>
      <c r="B1526" s="7" t="s">
        <v>30</v>
      </c>
      <c r="C1526" s="7">
        <v>63</v>
      </c>
      <c r="D1526" s="10">
        <v>118.2</v>
      </c>
      <c r="E1526" s="10">
        <v>7446.6</v>
      </c>
      <c r="F1526" s="9">
        <v>45714</v>
      </c>
      <c r="G1526" s="9">
        <v>45719</v>
      </c>
      <c r="H1526" s="7"/>
      <c r="I1526" s="8" t="s">
        <v>21</v>
      </c>
      <c r="J1526" s="7">
        <v>4</v>
      </c>
      <c r="K1526" s="7" t="s">
        <v>109</v>
      </c>
      <c r="L1526" s="7">
        <v>5</v>
      </c>
      <c r="M1526" s="7">
        <v>9</v>
      </c>
      <c r="N1526" s="7" t="s">
        <v>23</v>
      </c>
    </row>
    <row r="1527" spans="1:14" x14ac:dyDescent="0.3">
      <c r="A1527" s="3" t="s">
        <v>1610</v>
      </c>
      <c r="B1527" s="3" t="s">
        <v>42</v>
      </c>
      <c r="C1527" s="3">
        <v>5</v>
      </c>
      <c r="D1527" s="6">
        <v>64.3</v>
      </c>
      <c r="E1527" s="6">
        <v>321.5</v>
      </c>
      <c r="F1527" s="5">
        <v>45714</v>
      </c>
      <c r="G1527" s="5">
        <v>45715</v>
      </c>
      <c r="H1527" s="3" t="s">
        <v>26</v>
      </c>
      <c r="I1527" s="4" t="s">
        <v>75</v>
      </c>
      <c r="J1527" s="3">
        <v>2</v>
      </c>
      <c r="K1527" s="3" t="s">
        <v>207</v>
      </c>
      <c r="L1527" s="3">
        <v>1</v>
      </c>
      <c r="M1527" s="3">
        <v>9</v>
      </c>
      <c r="N1527" s="3" t="s">
        <v>28</v>
      </c>
    </row>
    <row r="1528" spans="1:14" x14ac:dyDescent="0.3">
      <c r="A1528" s="7" t="s">
        <v>1611</v>
      </c>
      <c r="B1528" s="7" t="s">
        <v>25</v>
      </c>
      <c r="C1528" s="7">
        <v>2</v>
      </c>
      <c r="D1528" s="10">
        <v>54.8</v>
      </c>
      <c r="E1528" s="10">
        <v>109.6</v>
      </c>
      <c r="F1528" s="9">
        <v>45714</v>
      </c>
      <c r="G1528" s="9">
        <v>45714</v>
      </c>
      <c r="H1528" s="7" t="s">
        <v>26</v>
      </c>
      <c r="I1528" s="8" t="s">
        <v>21</v>
      </c>
      <c r="J1528" s="7">
        <v>3</v>
      </c>
      <c r="K1528" s="7" t="s">
        <v>207</v>
      </c>
      <c r="L1528" s="7">
        <v>0</v>
      </c>
      <c r="M1528" s="7">
        <v>9</v>
      </c>
      <c r="N1528" s="7" t="s">
        <v>28</v>
      </c>
    </row>
    <row r="1529" spans="1:14" x14ac:dyDescent="0.3">
      <c r="A1529" s="3" t="s">
        <v>1612</v>
      </c>
      <c r="B1529" s="3" t="s">
        <v>47</v>
      </c>
      <c r="C1529" s="3">
        <v>2</v>
      </c>
      <c r="D1529" s="6">
        <v>78.599999999999994</v>
      </c>
      <c r="E1529" s="6">
        <v>157.19999999999999</v>
      </c>
      <c r="F1529" s="5">
        <v>45714</v>
      </c>
      <c r="G1529" s="5">
        <v>45715</v>
      </c>
      <c r="H1529" s="3" t="s">
        <v>26</v>
      </c>
      <c r="I1529" s="4" t="s">
        <v>21</v>
      </c>
      <c r="J1529" s="3">
        <v>5</v>
      </c>
      <c r="K1529" s="3" t="s">
        <v>77</v>
      </c>
      <c r="L1529" s="3">
        <v>1</v>
      </c>
      <c r="M1529" s="3">
        <v>9</v>
      </c>
      <c r="N1529" s="3" t="s">
        <v>28</v>
      </c>
    </row>
    <row r="1530" spans="1:14" x14ac:dyDescent="0.3">
      <c r="A1530" s="7" t="s">
        <v>1613</v>
      </c>
      <c r="B1530" s="7" t="s">
        <v>30</v>
      </c>
      <c r="C1530" s="7">
        <v>5</v>
      </c>
      <c r="D1530" s="10">
        <v>158.5</v>
      </c>
      <c r="E1530" s="10">
        <v>792.5</v>
      </c>
      <c r="F1530" s="9">
        <v>45714</v>
      </c>
      <c r="G1530" s="9">
        <v>45716</v>
      </c>
      <c r="H1530" s="7"/>
      <c r="I1530" s="8" t="s">
        <v>45</v>
      </c>
      <c r="J1530" s="7">
        <v>5</v>
      </c>
      <c r="K1530" s="7" t="s">
        <v>77</v>
      </c>
      <c r="L1530" s="7">
        <v>2</v>
      </c>
      <c r="M1530" s="7">
        <v>9</v>
      </c>
      <c r="N1530" s="7" t="s">
        <v>23</v>
      </c>
    </row>
    <row r="1531" spans="1:14" x14ac:dyDescent="0.3">
      <c r="A1531" s="3" t="s">
        <v>1614</v>
      </c>
      <c r="B1531" s="3" t="s">
        <v>37</v>
      </c>
      <c r="C1531" s="3">
        <v>10</v>
      </c>
      <c r="D1531" s="6">
        <v>23.5</v>
      </c>
      <c r="E1531" s="6">
        <v>235</v>
      </c>
      <c r="F1531" s="5">
        <v>45714</v>
      </c>
      <c r="G1531" s="5">
        <v>45717</v>
      </c>
      <c r="H1531" s="3" t="s">
        <v>26</v>
      </c>
      <c r="I1531" s="4" t="s">
        <v>21</v>
      </c>
      <c r="J1531" s="3">
        <v>2</v>
      </c>
      <c r="K1531" s="3" t="s">
        <v>79</v>
      </c>
      <c r="L1531" s="3">
        <v>3</v>
      </c>
      <c r="M1531" s="3">
        <v>9</v>
      </c>
      <c r="N1531" s="3" t="s">
        <v>28</v>
      </c>
    </row>
    <row r="1532" spans="1:14" x14ac:dyDescent="0.3">
      <c r="A1532" s="7" t="s">
        <v>1615</v>
      </c>
      <c r="B1532" s="7" t="s">
        <v>42</v>
      </c>
      <c r="C1532" s="7">
        <v>2</v>
      </c>
      <c r="D1532" s="10">
        <v>32.1</v>
      </c>
      <c r="E1532" s="10">
        <v>64.2</v>
      </c>
      <c r="F1532" s="9">
        <v>45714</v>
      </c>
      <c r="G1532" s="9">
        <v>45716</v>
      </c>
      <c r="H1532" s="7"/>
      <c r="I1532" s="8" t="s">
        <v>56</v>
      </c>
      <c r="J1532" s="7">
        <v>4</v>
      </c>
      <c r="K1532" s="7" t="s">
        <v>79</v>
      </c>
      <c r="L1532" s="7">
        <v>2</v>
      </c>
      <c r="M1532" s="7">
        <v>9</v>
      </c>
      <c r="N1532" s="7" t="s">
        <v>23</v>
      </c>
    </row>
    <row r="1533" spans="1:14" x14ac:dyDescent="0.3">
      <c r="A1533" s="3" t="s">
        <v>1616</v>
      </c>
      <c r="B1533" s="3" t="s">
        <v>141</v>
      </c>
      <c r="C1533" s="3">
        <v>4</v>
      </c>
      <c r="D1533" s="6">
        <v>71.900000000000006</v>
      </c>
      <c r="E1533" s="6">
        <v>287.60000000000002</v>
      </c>
      <c r="F1533" s="5">
        <v>45714</v>
      </c>
      <c r="G1533" s="5">
        <v>45714</v>
      </c>
      <c r="H1533" s="3" t="s">
        <v>26</v>
      </c>
      <c r="I1533" s="4" t="s">
        <v>45</v>
      </c>
      <c r="J1533" s="3">
        <v>4</v>
      </c>
      <c r="K1533" s="3" t="s">
        <v>116</v>
      </c>
      <c r="L1533" s="3">
        <v>0</v>
      </c>
      <c r="M1533" s="3">
        <v>9</v>
      </c>
      <c r="N1533" s="3" t="s">
        <v>28</v>
      </c>
    </row>
    <row r="1534" spans="1:14" x14ac:dyDescent="0.3">
      <c r="A1534" s="7" t="s">
        <v>1617</v>
      </c>
      <c r="B1534" s="7" t="s">
        <v>37</v>
      </c>
      <c r="C1534" s="7">
        <v>6</v>
      </c>
      <c r="D1534" s="10">
        <v>22.3</v>
      </c>
      <c r="E1534" s="10">
        <v>133.80000000000001</v>
      </c>
      <c r="F1534" s="9">
        <v>45714</v>
      </c>
      <c r="G1534" s="9">
        <v>45715</v>
      </c>
      <c r="H1534" s="7"/>
      <c r="I1534" s="8" t="s">
        <v>56</v>
      </c>
      <c r="J1534" s="7">
        <v>5</v>
      </c>
      <c r="K1534" s="7" t="s">
        <v>87</v>
      </c>
      <c r="L1534" s="7">
        <v>1</v>
      </c>
      <c r="M1534" s="7">
        <v>9</v>
      </c>
      <c r="N1534" s="7" t="s">
        <v>23</v>
      </c>
    </row>
    <row r="1535" spans="1:14" x14ac:dyDescent="0.3">
      <c r="A1535" s="3" t="s">
        <v>1618</v>
      </c>
      <c r="B1535" s="3" t="s">
        <v>72</v>
      </c>
      <c r="C1535" s="3">
        <v>2</v>
      </c>
      <c r="D1535" s="6">
        <v>29.5</v>
      </c>
      <c r="E1535" s="6">
        <v>59</v>
      </c>
      <c r="F1535" s="5">
        <v>45714</v>
      </c>
      <c r="G1535" s="5">
        <v>45715</v>
      </c>
      <c r="H1535" s="3" t="s">
        <v>31</v>
      </c>
      <c r="I1535" s="4" t="s">
        <v>21</v>
      </c>
      <c r="J1535" s="3">
        <v>5</v>
      </c>
      <c r="K1535" s="3" t="s">
        <v>87</v>
      </c>
      <c r="L1535" s="3">
        <v>1</v>
      </c>
      <c r="M1535" s="3">
        <v>9</v>
      </c>
      <c r="N1535" s="3" t="s">
        <v>33</v>
      </c>
    </row>
    <row r="1536" spans="1:14" x14ac:dyDescent="0.3">
      <c r="A1536" s="7" t="s">
        <v>1619</v>
      </c>
      <c r="B1536" s="7" t="s">
        <v>44</v>
      </c>
      <c r="C1536" s="7">
        <v>4</v>
      </c>
      <c r="D1536" s="10">
        <v>41.9</v>
      </c>
      <c r="E1536" s="10">
        <v>167.6</v>
      </c>
      <c r="F1536" s="9">
        <v>45714</v>
      </c>
      <c r="G1536" s="9">
        <v>45718</v>
      </c>
      <c r="H1536" s="7" t="s">
        <v>31</v>
      </c>
      <c r="I1536" s="8" t="s">
        <v>21</v>
      </c>
      <c r="J1536" s="7">
        <v>3</v>
      </c>
      <c r="K1536" s="7" t="s">
        <v>121</v>
      </c>
      <c r="L1536" s="7">
        <v>4</v>
      </c>
      <c r="M1536" s="7">
        <v>9</v>
      </c>
      <c r="N1536" s="7" t="s">
        <v>33</v>
      </c>
    </row>
    <row r="1537" spans="1:14" x14ac:dyDescent="0.3">
      <c r="A1537" s="3" t="s">
        <v>1620</v>
      </c>
      <c r="B1537" s="3" t="s">
        <v>44</v>
      </c>
      <c r="C1537" s="3">
        <v>3</v>
      </c>
      <c r="D1537" s="6">
        <v>107.8</v>
      </c>
      <c r="E1537" s="6">
        <v>323.39999999999998</v>
      </c>
      <c r="F1537" s="5">
        <v>45714</v>
      </c>
      <c r="G1537" s="5">
        <v>45715</v>
      </c>
      <c r="H1537" s="3" t="s">
        <v>26</v>
      </c>
      <c r="I1537" s="4" t="s">
        <v>40</v>
      </c>
      <c r="J1537" s="3">
        <v>5</v>
      </c>
      <c r="K1537" s="3" t="s">
        <v>153</v>
      </c>
      <c r="L1537" s="3">
        <v>1</v>
      </c>
      <c r="M1537" s="3">
        <v>9</v>
      </c>
      <c r="N1537" s="3" t="s">
        <v>28</v>
      </c>
    </row>
    <row r="1538" spans="1:14" x14ac:dyDescent="0.3">
      <c r="A1538" s="7" t="s">
        <v>1621</v>
      </c>
      <c r="B1538" s="7" t="s">
        <v>37</v>
      </c>
      <c r="C1538" s="7">
        <v>5</v>
      </c>
      <c r="D1538" s="10">
        <v>18.100000000000001</v>
      </c>
      <c r="E1538" s="10">
        <v>90.5</v>
      </c>
      <c r="F1538" s="9">
        <v>45714</v>
      </c>
      <c r="G1538" s="9">
        <v>45717</v>
      </c>
      <c r="H1538" s="7" t="s">
        <v>26</v>
      </c>
      <c r="I1538" s="8" t="s">
        <v>21</v>
      </c>
      <c r="J1538" s="7">
        <v>5</v>
      </c>
      <c r="K1538" s="7" t="s">
        <v>32</v>
      </c>
      <c r="L1538" s="7">
        <v>3</v>
      </c>
      <c r="M1538" s="7">
        <v>9</v>
      </c>
      <c r="N1538" s="7" t="s">
        <v>28</v>
      </c>
    </row>
    <row r="1539" spans="1:14" x14ac:dyDescent="0.3">
      <c r="A1539" s="3" t="s">
        <v>1622</v>
      </c>
      <c r="B1539" s="3" t="s">
        <v>74</v>
      </c>
      <c r="C1539" s="3">
        <v>9</v>
      </c>
      <c r="D1539" s="6">
        <v>79.8</v>
      </c>
      <c r="E1539" s="6">
        <v>718.19999999999993</v>
      </c>
      <c r="F1539" s="5">
        <v>45714</v>
      </c>
      <c r="G1539" s="5">
        <v>45715</v>
      </c>
      <c r="H1539" s="3" t="s">
        <v>31</v>
      </c>
      <c r="I1539" s="4" t="s">
        <v>40</v>
      </c>
      <c r="J1539" s="3">
        <v>3</v>
      </c>
      <c r="K1539" s="3" t="s">
        <v>153</v>
      </c>
      <c r="L1539" s="3">
        <v>1</v>
      </c>
      <c r="M1539" s="3">
        <v>9</v>
      </c>
      <c r="N1539" s="3" t="s">
        <v>33</v>
      </c>
    </row>
    <row r="1540" spans="1:14" x14ac:dyDescent="0.3">
      <c r="A1540" s="7" t="s">
        <v>1623</v>
      </c>
      <c r="B1540" s="7" t="s">
        <v>20</v>
      </c>
      <c r="C1540" s="7">
        <v>3</v>
      </c>
      <c r="D1540" s="10">
        <v>22.3</v>
      </c>
      <c r="E1540" s="10">
        <v>66.900000000000006</v>
      </c>
      <c r="F1540" s="9">
        <v>45714</v>
      </c>
      <c r="G1540" s="9">
        <v>45717</v>
      </c>
      <c r="H1540" s="7" t="s">
        <v>31</v>
      </c>
      <c r="I1540" s="8" t="s">
        <v>21</v>
      </c>
      <c r="J1540" s="7">
        <v>5</v>
      </c>
      <c r="K1540" s="7" t="s">
        <v>153</v>
      </c>
      <c r="L1540" s="7">
        <v>3</v>
      </c>
      <c r="M1540" s="7">
        <v>9</v>
      </c>
      <c r="N1540" s="7" t="s">
        <v>33</v>
      </c>
    </row>
    <row r="1541" spans="1:14" x14ac:dyDescent="0.3">
      <c r="A1541" s="3" t="s">
        <v>1624</v>
      </c>
      <c r="B1541" s="3" t="s">
        <v>49</v>
      </c>
      <c r="C1541" s="3">
        <v>1</v>
      </c>
      <c r="D1541" s="6">
        <v>22.9</v>
      </c>
      <c r="E1541" s="6">
        <v>22.9</v>
      </c>
      <c r="F1541" s="5">
        <v>45714</v>
      </c>
      <c r="G1541" s="5">
        <v>45714</v>
      </c>
      <c r="H1541" s="3" t="s">
        <v>31</v>
      </c>
      <c r="I1541" s="4" t="s">
        <v>40</v>
      </c>
      <c r="J1541" s="3">
        <v>4</v>
      </c>
      <c r="K1541" s="3" t="s">
        <v>153</v>
      </c>
      <c r="L1541" s="3">
        <v>0</v>
      </c>
      <c r="M1541" s="3">
        <v>9</v>
      </c>
      <c r="N1541" s="3" t="s">
        <v>33</v>
      </c>
    </row>
    <row r="1542" spans="1:14" x14ac:dyDescent="0.3">
      <c r="A1542" s="7" t="s">
        <v>1625</v>
      </c>
      <c r="B1542" s="7" t="s">
        <v>20</v>
      </c>
      <c r="C1542" s="7">
        <v>3</v>
      </c>
      <c r="D1542" s="10">
        <v>16.2</v>
      </c>
      <c r="E1542" s="10">
        <v>48.599999999999987</v>
      </c>
      <c r="F1542" s="9">
        <v>45715</v>
      </c>
      <c r="G1542" s="9">
        <v>45715</v>
      </c>
      <c r="H1542" s="7" t="s">
        <v>26</v>
      </c>
      <c r="I1542" s="8" t="s">
        <v>75</v>
      </c>
      <c r="J1542" s="7">
        <v>5</v>
      </c>
      <c r="K1542" s="7" t="s">
        <v>38</v>
      </c>
      <c r="L1542" s="7">
        <v>0</v>
      </c>
      <c r="M1542" s="7">
        <v>9</v>
      </c>
      <c r="N1542" s="7" t="s">
        <v>28</v>
      </c>
    </row>
    <row r="1543" spans="1:14" x14ac:dyDescent="0.3">
      <c r="A1543" s="3" t="s">
        <v>1626</v>
      </c>
      <c r="B1543" s="3" t="s">
        <v>59</v>
      </c>
      <c r="C1543" s="3">
        <v>4</v>
      </c>
      <c r="D1543" s="6">
        <v>59.5</v>
      </c>
      <c r="E1543" s="6">
        <v>238</v>
      </c>
      <c r="F1543" s="5">
        <v>45715</v>
      </c>
      <c r="G1543" s="5">
        <v>45716</v>
      </c>
      <c r="H1543" s="3" t="s">
        <v>26</v>
      </c>
      <c r="I1543" s="4" t="s">
        <v>40</v>
      </c>
      <c r="J1543" s="3">
        <v>5</v>
      </c>
      <c r="K1543" s="3" t="s">
        <v>38</v>
      </c>
      <c r="L1543" s="3">
        <v>1</v>
      </c>
      <c r="M1543" s="3">
        <v>9</v>
      </c>
      <c r="N1543" s="3" t="s">
        <v>28</v>
      </c>
    </row>
    <row r="1544" spans="1:14" x14ac:dyDescent="0.3">
      <c r="A1544" s="7" t="s">
        <v>1627</v>
      </c>
      <c r="B1544" s="7" t="s">
        <v>152</v>
      </c>
      <c r="C1544" s="7">
        <v>5</v>
      </c>
      <c r="D1544" s="10">
        <v>26.2</v>
      </c>
      <c r="E1544" s="10">
        <v>131</v>
      </c>
      <c r="F1544" s="9">
        <v>45715</v>
      </c>
      <c r="G1544" s="9">
        <v>45718</v>
      </c>
      <c r="H1544" s="7" t="s">
        <v>26</v>
      </c>
      <c r="I1544" s="8" t="s">
        <v>56</v>
      </c>
      <c r="J1544" s="7">
        <v>2</v>
      </c>
      <c r="K1544" s="7" t="s">
        <v>38</v>
      </c>
      <c r="L1544" s="7">
        <v>3</v>
      </c>
      <c r="M1544" s="7">
        <v>9</v>
      </c>
      <c r="N1544" s="7" t="s">
        <v>28</v>
      </c>
    </row>
    <row r="1545" spans="1:14" x14ac:dyDescent="0.3">
      <c r="A1545" s="3" t="s">
        <v>1628</v>
      </c>
      <c r="B1545" s="3" t="s">
        <v>35</v>
      </c>
      <c r="C1545" s="3">
        <v>1</v>
      </c>
      <c r="D1545" s="6">
        <v>44.2</v>
      </c>
      <c r="E1545" s="6">
        <v>44.2</v>
      </c>
      <c r="F1545" s="5">
        <v>45715</v>
      </c>
      <c r="G1545" s="5">
        <v>45718</v>
      </c>
      <c r="H1545" s="3" t="s">
        <v>31</v>
      </c>
      <c r="I1545" s="4" t="s">
        <v>40</v>
      </c>
      <c r="J1545" s="3">
        <v>4</v>
      </c>
      <c r="K1545" s="3" t="s">
        <v>38</v>
      </c>
      <c r="L1545" s="3">
        <v>3</v>
      </c>
      <c r="M1545" s="3">
        <v>9</v>
      </c>
      <c r="N1545" s="3" t="s">
        <v>33</v>
      </c>
    </row>
    <row r="1546" spans="1:14" x14ac:dyDescent="0.3">
      <c r="A1546" s="7" t="s">
        <v>1629</v>
      </c>
      <c r="B1546" s="7" t="s">
        <v>51</v>
      </c>
      <c r="C1546" s="7">
        <v>2</v>
      </c>
      <c r="D1546" s="10">
        <v>59.2</v>
      </c>
      <c r="E1546" s="10">
        <v>118.4</v>
      </c>
      <c r="F1546" s="9">
        <v>45715</v>
      </c>
      <c r="G1546" s="9">
        <v>45715</v>
      </c>
      <c r="H1546" s="7" t="s">
        <v>31</v>
      </c>
      <c r="I1546" s="8" t="s">
        <v>40</v>
      </c>
      <c r="J1546" s="7">
        <v>2</v>
      </c>
      <c r="K1546" s="7" t="s">
        <v>38</v>
      </c>
      <c r="L1546" s="7">
        <v>0</v>
      </c>
      <c r="M1546" s="7">
        <v>9</v>
      </c>
      <c r="N1546" s="7" t="s">
        <v>33</v>
      </c>
    </row>
    <row r="1547" spans="1:14" x14ac:dyDescent="0.3">
      <c r="A1547" s="3" t="s">
        <v>1630</v>
      </c>
      <c r="B1547" s="3" t="s">
        <v>129</v>
      </c>
      <c r="C1547" s="3">
        <v>4</v>
      </c>
      <c r="D1547" s="6">
        <v>41.5</v>
      </c>
      <c r="E1547" s="6">
        <v>166</v>
      </c>
      <c r="F1547" s="5">
        <v>45715</v>
      </c>
      <c r="G1547" s="5">
        <v>45717</v>
      </c>
      <c r="H1547" s="3" t="s">
        <v>31</v>
      </c>
      <c r="I1547" s="4" t="s">
        <v>21</v>
      </c>
      <c r="J1547" s="3">
        <v>4</v>
      </c>
      <c r="K1547" s="3" t="s">
        <v>104</v>
      </c>
      <c r="L1547" s="3">
        <v>2</v>
      </c>
      <c r="M1547" s="3">
        <v>9</v>
      </c>
      <c r="N1547" s="3" t="s">
        <v>33</v>
      </c>
    </row>
    <row r="1548" spans="1:14" x14ac:dyDescent="0.3">
      <c r="A1548" s="7" t="s">
        <v>1631</v>
      </c>
      <c r="B1548" s="7" t="s">
        <v>44</v>
      </c>
      <c r="C1548" s="7">
        <v>12</v>
      </c>
      <c r="D1548" s="10">
        <v>67.099999999999994</v>
      </c>
      <c r="E1548" s="10">
        <v>805.19999999999993</v>
      </c>
      <c r="F1548" s="9">
        <v>45715</v>
      </c>
      <c r="G1548" s="9">
        <v>45729</v>
      </c>
      <c r="H1548" s="7" t="s">
        <v>31</v>
      </c>
      <c r="I1548" s="8" t="s">
        <v>21</v>
      </c>
      <c r="J1548" s="7">
        <v>5</v>
      </c>
      <c r="K1548" s="7" t="s">
        <v>164</v>
      </c>
      <c r="L1548" s="7">
        <v>14</v>
      </c>
      <c r="M1548" s="7">
        <v>9</v>
      </c>
      <c r="N1548" s="7" t="s">
        <v>33</v>
      </c>
    </row>
    <row r="1549" spans="1:14" x14ac:dyDescent="0.3">
      <c r="A1549" s="3" t="s">
        <v>1632</v>
      </c>
      <c r="B1549" s="3" t="s">
        <v>49</v>
      </c>
      <c r="C1549" s="3">
        <v>2</v>
      </c>
      <c r="D1549" s="6">
        <v>28.7</v>
      </c>
      <c r="E1549" s="6">
        <v>57.4</v>
      </c>
      <c r="F1549" s="5">
        <v>45715</v>
      </c>
      <c r="G1549" s="5">
        <v>45719</v>
      </c>
      <c r="H1549" s="3" t="s">
        <v>31</v>
      </c>
      <c r="I1549" s="4" t="s">
        <v>40</v>
      </c>
      <c r="J1549" s="3">
        <v>4</v>
      </c>
      <c r="K1549" s="3" t="s">
        <v>60</v>
      </c>
      <c r="L1549" s="3">
        <v>4</v>
      </c>
      <c r="M1549" s="3">
        <v>9</v>
      </c>
      <c r="N1549" s="3" t="s">
        <v>33</v>
      </c>
    </row>
    <row r="1550" spans="1:14" x14ac:dyDescent="0.3">
      <c r="A1550" s="7" t="s">
        <v>1633</v>
      </c>
      <c r="B1550" s="7" t="s">
        <v>30</v>
      </c>
      <c r="C1550" s="7">
        <v>4</v>
      </c>
      <c r="D1550" s="10">
        <v>132.1</v>
      </c>
      <c r="E1550" s="10">
        <v>528.4</v>
      </c>
      <c r="F1550" s="9">
        <v>45715</v>
      </c>
      <c r="G1550" s="9">
        <v>45716</v>
      </c>
      <c r="H1550" s="7" t="s">
        <v>31</v>
      </c>
      <c r="I1550" s="8" t="s">
        <v>21</v>
      </c>
      <c r="J1550" s="7">
        <v>3</v>
      </c>
      <c r="K1550" s="7" t="s">
        <v>60</v>
      </c>
      <c r="L1550" s="7">
        <v>1</v>
      </c>
      <c r="M1550" s="7">
        <v>9</v>
      </c>
      <c r="N1550" s="7" t="s">
        <v>33</v>
      </c>
    </row>
    <row r="1551" spans="1:14" x14ac:dyDescent="0.3">
      <c r="A1551" s="3" t="s">
        <v>1634</v>
      </c>
      <c r="B1551" s="3" t="s">
        <v>152</v>
      </c>
      <c r="C1551" s="3">
        <v>2</v>
      </c>
      <c r="D1551" s="6">
        <v>47</v>
      </c>
      <c r="E1551" s="6">
        <v>94</v>
      </c>
      <c r="F1551" s="5">
        <v>45715</v>
      </c>
      <c r="G1551" s="5">
        <v>45717</v>
      </c>
      <c r="H1551" s="3" t="s">
        <v>26</v>
      </c>
      <c r="I1551" s="4" t="s">
        <v>75</v>
      </c>
      <c r="J1551" s="3">
        <v>4</v>
      </c>
      <c r="K1551" s="3" t="s">
        <v>67</v>
      </c>
      <c r="L1551" s="3">
        <v>2</v>
      </c>
      <c r="M1551" s="3">
        <v>9</v>
      </c>
      <c r="N1551" s="3" t="s">
        <v>28</v>
      </c>
    </row>
    <row r="1552" spans="1:14" x14ac:dyDescent="0.3">
      <c r="A1552" s="7" t="s">
        <v>1635</v>
      </c>
      <c r="B1552" s="7" t="s">
        <v>49</v>
      </c>
      <c r="C1552" s="7">
        <v>2</v>
      </c>
      <c r="D1552" s="10">
        <v>41.6</v>
      </c>
      <c r="E1552" s="10">
        <v>83.2</v>
      </c>
      <c r="F1552" s="9">
        <v>45715</v>
      </c>
      <c r="G1552" s="9">
        <v>45719</v>
      </c>
      <c r="H1552" s="7" t="s">
        <v>26</v>
      </c>
      <c r="I1552" s="8" t="s">
        <v>40</v>
      </c>
      <c r="J1552" s="7">
        <v>5</v>
      </c>
      <c r="K1552" s="7" t="s">
        <v>67</v>
      </c>
      <c r="L1552" s="7">
        <v>4</v>
      </c>
      <c r="M1552" s="7">
        <v>9</v>
      </c>
      <c r="N1552" s="7" t="s">
        <v>28</v>
      </c>
    </row>
    <row r="1553" spans="1:14" x14ac:dyDescent="0.3">
      <c r="A1553" s="3" t="s">
        <v>1636</v>
      </c>
      <c r="B1553" s="3" t="s">
        <v>49</v>
      </c>
      <c r="C1553" s="3">
        <v>38</v>
      </c>
      <c r="D1553" s="6">
        <v>17.3</v>
      </c>
      <c r="E1553" s="6">
        <v>657.4</v>
      </c>
      <c r="F1553" s="5">
        <v>45715</v>
      </c>
      <c r="G1553" s="5">
        <v>45717</v>
      </c>
      <c r="H1553" s="3" t="s">
        <v>26</v>
      </c>
      <c r="I1553" s="4" t="s">
        <v>45</v>
      </c>
      <c r="J1553" s="3">
        <v>5</v>
      </c>
      <c r="K1553" s="3" t="s">
        <v>67</v>
      </c>
      <c r="L1553" s="3">
        <v>2</v>
      </c>
      <c r="M1553" s="3">
        <v>9</v>
      </c>
      <c r="N1553" s="3" t="s">
        <v>28</v>
      </c>
    </row>
    <row r="1554" spans="1:14" x14ac:dyDescent="0.3">
      <c r="A1554" s="7" t="s">
        <v>1637</v>
      </c>
      <c r="B1554" s="7" t="s">
        <v>81</v>
      </c>
      <c r="C1554" s="7">
        <v>3</v>
      </c>
      <c r="D1554" s="10">
        <v>41.8</v>
      </c>
      <c r="E1554" s="10">
        <v>125.4</v>
      </c>
      <c r="F1554" s="9">
        <v>45715</v>
      </c>
      <c r="G1554" s="9">
        <v>45718</v>
      </c>
      <c r="H1554" s="7" t="s">
        <v>26</v>
      </c>
      <c r="I1554" s="8" t="s">
        <v>21</v>
      </c>
      <c r="J1554" s="7">
        <v>5</v>
      </c>
      <c r="K1554" s="7" t="s">
        <v>67</v>
      </c>
      <c r="L1554" s="7">
        <v>3</v>
      </c>
      <c r="M1554" s="7">
        <v>9</v>
      </c>
      <c r="N1554" s="7" t="s">
        <v>28</v>
      </c>
    </row>
    <row r="1555" spans="1:14" x14ac:dyDescent="0.3">
      <c r="A1555" s="3" t="s">
        <v>1638</v>
      </c>
      <c r="B1555" s="3" t="s">
        <v>59</v>
      </c>
      <c r="C1555" s="3">
        <v>1</v>
      </c>
      <c r="D1555" s="6">
        <v>24</v>
      </c>
      <c r="E1555" s="6">
        <v>24</v>
      </c>
      <c r="F1555" s="5">
        <v>45715</v>
      </c>
      <c r="G1555" s="5">
        <v>45716</v>
      </c>
      <c r="H1555" s="3" t="s">
        <v>31</v>
      </c>
      <c r="I1555" s="4" t="s">
        <v>21</v>
      </c>
      <c r="J1555" s="3">
        <v>4</v>
      </c>
      <c r="K1555" s="3" t="s">
        <v>109</v>
      </c>
      <c r="L1555" s="3">
        <v>1</v>
      </c>
      <c r="M1555" s="3">
        <v>9</v>
      </c>
      <c r="N1555" s="3" t="s">
        <v>33</v>
      </c>
    </row>
    <row r="1556" spans="1:14" x14ac:dyDescent="0.3">
      <c r="A1556" s="7" t="s">
        <v>1639</v>
      </c>
      <c r="B1556" s="7" t="s">
        <v>86</v>
      </c>
      <c r="C1556" s="7">
        <v>9</v>
      </c>
      <c r="D1556" s="10">
        <v>18.5</v>
      </c>
      <c r="E1556" s="10">
        <v>166.5</v>
      </c>
      <c r="F1556" s="9">
        <v>45715</v>
      </c>
      <c r="G1556" s="9">
        <v>45717</v>
      </c>
      <c r="H1556" s="7" t="s">
        <v>31</v>
      </c>
      <c r="I1556" s="8" t="s">
        <v>21</v>
      </c>
      <c r="J1556" s="7">
        <v>4</v>
      </c>
      <c r="K1556" s="7" t="s">
        <v>77</v>
      </c>
      <c r="L1556" s="7">
        <v>2</v>
      </c>
      <c r="M1556" s="7">
        <v>9</v>
      </c>
      <c r="N1556" s="7" t="s">
        <v>33</v>
      </c>
    </row>
    <row r="1557" spans="1:14" x14ac:dyDescent="0.3">
      <c r="A1557" s="3" t="s">
        <v>1640</v>
      </c>
      <c r="B1557" s="3" t="s">
        <v>35</v>
      </c>
      <c r="C1557" s="3">
        <v>12</v>
      </c>
      <c r="D1557" s="6">
        <v>66.7</v>
      </c>
      <c r="E1557" s="6">
        <v>800.40000000000009</v>
      </c>
      <c r="F1557" s="5">
        <v>45715</v>
      </c>
      <c r="G1557" s="5">
        <v>45718</v>
      </c>
      <c r="H1557" s="3"/>
      <c r="I1557" s="4" t="s">
        <v>21</v>
      </c>
      <c r="J1557" s="3">
        <v>5</v>
      </c>
      <c r="K1557" s="3" t="s">
        <v>82</v>
      </c>
      <c r="L1557" s="3">
        <v>3</v>
      </c>
      <c r="M1557" s="3">
        <v>9</v>
      </c>
      <c r="N1557" s="3" t="s">
        <v>23</v>
      </c>
    </row>
    <row r="1558" spans="1:14" x14ac:dyDescent="0.3">
      <c r="A1558" s="7" t="s">
        <v>1641</v>
      </c>
      <c r="B1558" s="7" t="s">
        <v>25</v>
      </c>
      <c r="C1558" s="7">
        <v>4</v>
      </c>
      <c r="D1558" s="10">
        <v>33.1</v>
      </c>
      <c r="E1558" s="10">
        <v>132.4</v>
      </c>
      <c r="F1558" s="9">
        <v>45715</v>
      </c>
      <c r="G1558" s="9">
        <v>45720</v>
      </c>
      <c r="H1558" s="7" t="s">
        <v>26</v>
      </c>
      <c r="I1558" s="8" t="s">
        <v>56</v>
      </c>
      <c r="J1558" s="7">
        <v>4</v>
      </c>
      <c r="K1558" s="7" t="s">
        <v>82</v>
      </c>
      <c r="L1558" s="7">
        <v>5</v>
      </c>
      <c r="M1558" s="7">
        <v>9</v>
      </c>
      <c r="N1558" s="7" t="s">
        <v>28</v>
      </c>
    </row>
    <row r="1559" spans="1:14" x14ac:dyDescent="0.3">
      <c r="A1559" s="3" t="s">
        <v>1642</v>
      </c>
      <c r="B1559" s="3" t="s">
        <v>177</v>
      </c>
      <c r="C1559" s="3">
        <v>9</v>
      </c>
      <c r="D1559" s="6">
        <v>42.1</v>
      </c>
      <c r="E1559" s="6">
        <v>378.9</v>
      </c>
      <c r="F1559" s="5">
        <v>45715</v>
      </c>
      <c r="G1559" s="5">
        <v>45726</v>
      </c>
      <c r="H1559" s="3" t="s">
        <v>26</v>
      </c>
      <c r="I1559" s="4" t="s">
        <v>40</v>
      </c>
      <c r="J1559" s="3">
        <v>4</v>
      </c>
      <c r="K1559" s="3" t="s">
        <v>114</v>
      </c>
      <c r="L1559" s="3">
        <v>11</v>
      </c>
      <c r="M1559" s="3">
        <v>9</v>
      </c>
      <c r="N1559" s="3" t="s">
        <v>28</v>
      </c>
    </row>
    <row r="1560" spans="1:14" x14ac:dyDescent="0.3">
      <c r="A1560" s="7" t="s">
        <v>1643</v>
      </c>
      <c r="B1560" s="7" t="s">
        <v>152</v>
      </c>
      <c r="C1560" s="7">
        <v>7</v>
      </c>
      <c r="D1560" s="10">
        <v>58.7</v>
      </c>
      <c r="E1560" s="10">
        <v>410.9</v>
      </c>
      <c r="F1560" s="9">
        <v>45715</v>
      </c>
      <c r="G1560" s="9">
        <v>45715</v>
      </c>
      <c r="H1560" s="7" t="s">
        <v>94</v>
      </c>
      <c r="I1560" s="8" t="s">
        <v>56</v>
      </c>
      <c r="J1560" s="7">
        <v>4</v>
      </c>
      <c r="K1560" s="7" t="s">
        <v>298</v>
      </c>
      <c r="L1560" s="7">
        <v>0</v>
      </c>
      <c r="M1560" s="7">
        <v>9</v>
      </c>
      <c r="N1560" s="7" t="s">
        <v>95</v>
      </c>
    </row>
    <row r="1561" spans="1:14" x14ac:dyDescent="0.3">
      <c r="A1561" s="3" t="s">
        <v>1644</v>
      </c>
      <c r="B1561" s="3" t="s">
        <v>44</v>
      </c>
      <c r="C1561" s="3">
        <v>4</v>
      </c>
      <c r="D1561" s="6">
        <v>54</v>
      </c>
      <c r="E1561" s="6">
        <v>216</v>
      </c>
      <c r="F1561" s="5">
        <v>45715</v>
      </c>
      <c r="G1561" s="5">
        <v>45717</v>
      </c>
      <c r="H1561" s="3" t="s">
        <v>31</v>
      </c>
      <c r="I1561" s="4" t="s">
        <v>40</v>
      </c>
      <c r="J1561" s="3">
        <v>4</v>
      </c>
      <c r="K1561" s="3" t="s">
        <v>27</v>
      </c>
      <c r="L1561" s="3">
        <v>2</v>
      </c>
      <c r="M1561" s="3">
        <v>9</v>
      </c>
      <c r="N1561" s="3" t="s">
        <v>33</v>
      </c>
    </row>
    <row r="1562" spans="1:14" x14ac:dyDescent="0.3">
      <c r="A1562" s="7" t="s">
        <v>1645</v>
      </c>
      <c r="B1562" s="7" t="s">
        <v>49</v>
      </c>
      <c r="C1562" s="7">
        <v>1</v>
      </c>
      <c r="D1562" s="10">
        <v>52.1</v>
      </c>
      <c r="E1562" s="10">
        <v>52.1</v>
      </c>
      <c r="F1562" s="9">
        <v>45715</v>
      </c>
      <c r="G1562" s="9">
        <v>45716</v>
      </c>
      <c r="H1562" s="7" t="s">
        <v>31</v>
      </c>
      <c r="I1562" s="8" t="s">
        <v>45</v>
      </c>
      <c r="J1562" s="7">
        <v>5</v>
      </c>
      <c r="K1562" s="7" t="s">
        <v>32</v>
      </c>
      <c r="L1562" s="7">
        <v>1</v>
      </c>
      <c r="M1562" s="7">
        <v>9</v>
      </c>
      <c r="N1562" s="7" t="s">
        <v>33</v>
      </c>
    </row>
    <row r="1563" spans="1:14" x14ac:dyDescent="0.3">
      <c r="A1563" s="3" t="s">
        <v>1646</v>
      </c>
      <c r="B1563" s="3" t="s">
        <v>177</v>
      </c>
      <c r="C1563" s="3">
        <v>2</v>
      </c>
      <c r="D1563" s="6">
        <v>27</v>
      </c>
      <c r="E1563" s="6">
        <v>54</v>
      </c>
      <c r="F1563" s="5">
        <v>45715</v>
      </c>
      <c r="G1563" s="5">
        <v>45718</v>
      </c>
      <c r="H1563" s="3" t="s">
        <v>94</v>
      </c>
      <c r="I1563" s="4" t="s">
        <v>45</v>
      </c>
      <c r="J1563" s="3">
        <v>4</v>
      </c>
      <c r="K1563" s="3" t="s">
        <v>153</v>
      </c>
      <c r="L1563" s="3">
        <v>3</v>
      </c>
      <c r="M1563" s="3">
        <v>9</v>
      </c>
      <c r="N1563" s="3" t="s">
        <v>95</v>
      </c>
    </row>
    <row r="1564" spans="1:14" x14ac:dyDescent="0.3">
      <c r="A1564" s="7" t="s">
        <v>1647</v>
      </c>
      <c r="B1564" s="7" t="s">
        <v>74</v>
      </c>
      <c r="C1564" s="7">
        <v>10</v>
      </c>
      <c r="D1564" s="10">
        <v>31</v>
      </c>
      <c r="E1564" s="10">
        <v>310</v>
      </c>
      <c r="F1564" s="9">
        <v>45716</v>
      </c>
      <c r="G1564" s="9">
        <v>45717</v>
      </c>
      <c r="H1564" s="7" t="s">
        <v>31</v>
      </c>
      <c r="I1564" s="8" t="s">
        <v>56</v>
      </c>
      <c r="J1564" s="7">
        <v>5</v>
      </c>
      <c r="K1564" s="7" t="s">
        <v>153</v>
      </c>
      <c r="L1564" s="7">
        <v>1</v>
      </c>
      <c r="M1564" s="7">
        <v>9</v>
      </c>
      <c r="N1564" s="7" t="s">
        <v>33</v>
      </c>
    </row>
    <row r="1565" spans="1:14" x14ac:dyDescent="0.3">
      <c r="A1565" s="3" t="s">
        <v>1648</v>
      </c>
      <c r="B1565" s="3" t="s">
        <v>59</v>
      </c>
      <c r="C1565" s="3">
        <v>2</v>
      </c>
      <c r="D1565" s="6">
        <v>46.7</v>
      </c>
      <c r="E1565" s="6">
        <v>93.4</v>
      </c>
      <c r="F1565" s="5">
        <v>45716</v>
      </c>
      <c r="G1565" s="5">
        <v>45716</v>
      </c>
      <c r="H1565" s="3" t="s">
        <v>31</v>
      </c>
      <c r="I1565" s="4" t="s">
        <v>21</v>
      </c>
      <c r="J1565" s="3">
        <v>4</v>
      </c>
      <c r="K1565" s="3" t="s">
        <v>22</v>
      </c>
      <c r="L1565" s="3">
        <v>0</v>
      </c>
      <c r="M1565" s="3">
        <v>9</v>
      </c>
      <c r="N1565" s="3" t="s">
        <v>33</v>
      </c>
    </row>
    <row r="1566" spans="1:14" x14ac:dyDescent="0.3">
      <c r="A1566" s="7" t="s">
        <v>1649</v>
      </c>
      <c r="B1566" s="7" t="s">
        <v>44</v>
      </c>
      <c r="C1566" s="7">
        <v>1</v>
      </c>
      <c r="D1566" s="10">
        <v>144.69999999999999</v>
      </c>
      <c r="E1566" s="10">
        <v>144.69999999999999</v>
      </c>
      <c r="F1566" s="9">
        <v>45716</v>
      </c>
      <c r="G1566" s="9">
        <v>45719</v>
      </c>
      <c r="H1566" s="7" t="s">
        <v>26</v>
      </c>
      <c r="I1566" s="8" t="s">
        <v>21</v>
      </c>
      <c r="J1566" s="7">
        <v>5</v>
      </c>
      <c r="K1566" s="7" t="s">
        <v>38</v>
      </c>
      <c r="L1566" s="7">
        <v>3</v>
      </c>
      <c r="M1566" s="7">
        <v>9</v>
      </c>
      <c r="N1566" s="7" t="s">
        <v>28</v>
      </c>
    </row>
    <row r="1567" spans="1:14" x14ac:dyDescent="0.3">
      <c r="A1567" s="3" t="s">
        <v>1650</v>
      </c>
      <c r="B1567" s="3" t="s">
        <v>30</v>
      </c>
      <c r="C1567" s="3">
        <v>9</v>
      </c>
      <c r="D1567" s="6">
        <v>90.9</v>
      </c>
      <c r="E1567" s="6">
        <v>818.1</v>
      </c>
      <c r="F1567" s="5">
        <v>45716</v>
      </c>
      <c r="G1567" s="5">
        <v>45717</v>
      </c>
      <c r="H1567" s="3" t="s">
        <v>26</v>
      </c>
      <c r="I1567" s="4" t="s">
        <v>21</v>
      </c>
      <c r="J1567" s="3">
        <v>5</v>
      </c>
      <c r="K1567" s="3" t="s">
        <v>38</v>
      </c>
      <c r="L1567" s="3">
        <v>1</v>
      </c>
      <c r="M1567" s="3">
        <v>9</v>
      </c>
      <c r="N1567" s="3" t="s">
        <v>28</v>
      </c>
    </row>
    <row r="1568" spans="1:14" x14ac:dyDescent="0.3">
      <c r="A1568" s="7" t="s">
        <v>1651</v>
      </c>
      <c r="B1568" s="7" t="s">
        <v>25</v>
      </c>
      <c r="C1568" s="7">
        <v>2</v>
      </c>
      <c r="D1568" s="10">
        <v>75.8</v>
      </c>
      <c r="E1568" s="10">
        <v>151.6</v>
      </c>
      <c r="F1568" s="9">
        <v>45716</v>
      </c>
      <c r="G1568" s="9">
        <v>45717</v>
      </c>
      <c r="H1568" s="7" t="s">
        <v>31</v>
      </c>
      <c r="I1568" s="8" t="s">
        <v>45</v>
      </c>
      <c r="J1568" s="7">
        <v>3</v>
      </c>
      <c r="K1568" s="7" t="s">
        <v>38</v>
      </c>
      <c r="L1568" s="7">
        <v>1</v>
      </c>
      <c r="M1568" s="7">
        <v>9</v>
      </c>
      <c r="N1568" s="7" t="s">
        <v>33</v>
      </c>
    </row>
    <row r="1569" spans="1:14" x14ac:dyDescent="0.3">
      <c r="A1569" s="3" t="s">
        <v>1652</v>
      </c>
      <c r="B1569" s="3" t="s">
        <v>47</v>
      </c>
      <c r="C1569" s="3">
        <v>5</v>
      </c>
      <c r="D1569" s="6">
        <v>57.9</v>
      </c>
      <c r="E1569" s="6">
        <v>289.5</v>
      </c>
      <c r="F1569" s="5">
        <v>45716</v>
      </c>
      <c r="G1569" s="5">
        <v>45718</v>
      </c>
      <c r="H1569" s="3" t="s">
        <v>26</v>
      </c>
      <c r="I1569" s="4" t="s">
        <v>45</v>
      </c>
      <c r="J1569" s="3">
        <v>5</v>
      </c>
      <c r="K1569" s="3" t="s">
        <v>38</v>
      </c>
      <c r="L1569" s="3">
        <v>2</v>
      </c>
      <c r="M1569" s="3">
        <v>9</v>
      </c>
      <c r="N1569" s="3" t="s">
        <v>28</v>
      </c>
    </row>
    <row r="1570" spans="1:14" x14ac:dyDescent="0.3">
      <c r="A1570" s="7" t="s">
        <v>1653</v>
      </c>
      <c r="B1570" s="7" t="s">
        <v>49</v>
      </c>
      <c r="C1570" s="7">
        <v>5</v>
      </c>
      <c r="D1570" s="10">
        <v>44.8</v>
      </c>
      <c r="E1570" s="10">
        <v>224</v>
      </c>
      <c r="F1570" s="9">
        <v>45716</v>
      </c>
      <c r="G1570" s="9">
        <v>45717</v>
      </c>
      <c r="H1570" s="7" t="s">
        <v>31</v>
      </c>
      <c r="I1570" s="8" t="s">
        <v>56</v>
      </c>
      <c r="J1570" s="7">
        <v>5</v>
      </c>
      <c r="K1570" s="7" t="s">
        <v>38</v>
      </c>
      <c r="L1570" s="7">
        <v>1</v>
      </c>
      <c r="M1570" s="7">
        <v>9</v>
      </c>
      <c r="N1570" s="7" t="s">
        <v>33</v>
      </c>
    </row>
    <row r="1571" spans="1:14" x14ac:dyDescent="0.3">
      <c r="A1571" s="3" t="s">
        <v>1654</v>
      </c>
      <c r="B1571" s="3" t="s">
        <v>51</v>
      </c>
      <c r="C1571" s="3">
        <v>3</v>
      </c>
      <c r="D1571" s="6">
        <v>44.2</v>
      </c>
      <c r="E1571" s="6">
        <v>132.6</v>
      </c>
      <c r="F1571" s="5">
        <v>45716</v>
      </c>
      <c r="G1571" s="5">
        <v>45720</v>
      </c>
      <c r="H1571" s="3" t="s">
        <v>26</v>
      </c>
      <c r="I1571" s="4" t="s">
        <v>45</v>
      </c>
      <c r="J1571" s="3">
        <v>5</v>
      </c>
      <c r="K1571" s="3" t="s">
        <v>38</v>
      </c>
      <c r="L1571" s="3">
        <v>4</v>
      </c>
      <c r="M1571" s="3">
        <v>9</v>
      </c>
      <c r="N1571" s="3" t="s">
        <v>28</v>
      </c>
    </row>
    <row r="1572" spans="1:14" x14ac:dyDescent="0.3">
      <c r="A1572" s="7" t="s">
        <v>1655</v>
      </c>
      <c r="B1572" s="7" t="s">
        <v>42</v>
      </c>
      <c r="C1572" s="7">
        <v>5</v>
      </c>
      <c r="D1572" s="10">
        <v>53.5</v>
      </c>
      <c r="E1572" s="10">
        <v>267.5</v>
      </c>
      <c r="F1572" s="9">
        <v>45716</v>
      </c>
      <c r="G1572" s="9">
        <v>45718</v>
      </c>
      <c r="H1572" s="7" t="s">
        <v>26</v>
      </c>
      <c r="I1572" s="8" t="s">
        <v>21</v>
      </c>
      <c r="J1572" s="7">
        <v>4</v>
      </c>
      <c r="K1572" s="7" t="s">
        <v>79</v>
      </c>
      <c r="L1572" s="7">
        <v>2</v>
      </c>
      <c r="M1572" s="7">
        <v>9</v>
      </c>
      <c r="N1572" s="7" t="s">
        <v>28</v>
      </c>
    </row>
    <row r="1573" spans="1:14" x14ac:dyDescent="0.3">
      <c r="A1573" s="3" t="s">
        <v>1656</v>
      </c>
      <c r="B1573" s="3" t="s">
        <v>44</v>
      </c>
      <c r="C1573" s="3">
        <v>2</v>
      </c>
      <c r="D1573" s="6">
        <v>72.2</v>
      </c>
      <c r="E1573" s="6">
        <v>144.4</v>
      </c>
      <c r="F1573" s="5">
        <v>45716</v>
      </c>
      <c r="G1573" s="5">
        <v>45717</v>
      </c>
      <c r="H1573" s="3" t="s">
        <v>26</v>
      </c>
      <c r="I1573" s="4" t="s">
        <v>21</v>
      </c>
      <c r="J1573" s="3">
        <v>5</v>
      </c>
      <c r="K1573" s="3" t="s">
        <v>194</v>
      </c>
      <c r="L1573" s="3">
        <v>1</v>
      </c>
      <c r="M1573" s="3">
        <v>9</v>
      </c>
      <c r="N1573" s="3" t="s">
        <v>28</v>
      </c>
    </row>
    <row r="1574" spans="1:14" x14ac:dyDescent="0.3">
      <c r="A1574" s="7" t="s">
        <v>1657</v>
      </c>
      <c r="B1574" s="7" t="s">
        <v>44</v>
      </c>
      <c r="C1574" s="7">
        <v>4</v>
      </c>
      <c r="D1574" s="10">
        <v>62.4</v>
      </c>
      <c r="E1574" s="10">
        <v>249.6</v>
      </c>
      <c r="F1574" s="9">
        <v>45716</v>
      </c>
      <c r="G1574" s="9">
        <v>45719</v>
      </c>
      <c r="H1574" s="7" t="s">
        <v>31</v>
      </c>
      <c r="I1574" s="8" t="s">
        <v>21</v>
      </c>
      <c r="J1574" s="7">
        <v>3</v>
      </c>
      <c r="K1574" s="7" t="s">
        <v>164</v>
      </c>
      <c r="L1574" s="7">
        <v>3</v>
      </c>
      <c r="M1574" s="7">
        <v>9</v>
      </c>
      <c r="N1574" s="7" t="s">
        <v>33</v>
      </c>
    </row>
    <row r="1575" spans="1:14" x14ac:dyDescent="0.3">
      <c r="A1575" s="3" t="s">
        <v>1658</v>
      </c>
      <c r="B1575" s="3" t="s">
        <v>59</v>
      </c>
      <c r="C1575" s="3">
        <v>5</v>
      </c>
      <c r="D1575" s="6">
        <v>24.7</v>
      </c>
      <c r="E1575" s="6">
        <v>123.5</v>
      </c>
      <c r="F1575" s="5">
        <v>45716</v>
      </c>
      <c r="G1575" s="5">
        <v>45717</v>
      </c>
      <c r="H1575" s="3" t="s">
        <v>31</v>
      </c>
      <c r="I1575" s="4" t="s">
        <v>21</v>
      </c>
      <c r="J1575" s="3">
        <v>4</v>
      </c>
      <c r="K1575" s="3" t="s">
        <v>60</v>
      </c>
      <c r="L1575" s="3">
        <v>1</v>
      </c>
      <c r="M1575" s="3">
        <v>9</v>
      </c>
      <c r="N1575" s="3" t="s">
        <v>33</v>
      </c>
    </row>
    <row r="1576" spans="1:14" x14ac:dyDescent="0.3">
      <c r="A1576" s="7" t="s">
        <v>1659</v>
      </c>
      <c r="B1576" s="7" t="s">
        <v>25</v>
      </c>
      <c r="C1576" s="7">
        <v>5</v>
      </c>
      <c r="D1576" s="10">
        <v>61.7</v>
      </c>
      <c r="E1576" s="10">
        <v>308.5</v>
      </c>
      <c r="F1576" s="9">
        <v>45716</v>
      </c>
      <c r="G1576" s="9">
        <v>45718</v>
      </c>
      <c r="H1576" s="7" t="s">
        <v>31</v>
      </c>
      <c r="I1576" s="8" t="s">
        <v>45</v>
      </c>
      <c r="J1576" s="7">
        <v>4</v>
      </c>
      <c r="K1576" s="7" t="s">
        <v>67</v>
      </c>
      <c r="L1576" s="7">
        <v>2</v>
      </c>
      <c r="M1576" s="7">
        <v>9</v>
      </c>
      <c r="N1576" s="7" t="s">
        <v>33</v>
      </c>
    </row>
    <row r="1577" spans="1:14" x14ac:dyDescent="0.3">
      <c r="A1577" s="3" t="s">
        <v>1660</v>
      </c>
      <c r="B1577" s="3" t="s">
        <v>49</v>
      </c>
      <c r="C1577" s="3">
        <v>5</v>
      </c>
      <c r="D1577" s="6">
        <v>18.2</v>
      </c>
      <c r="E1577" s="6">
        <v>91</v>
      </c>
      <c r="F1577" s="5">
        <v>45716</v>
      </c>
      <c r="G1577" s="5">
        <v>45718</v>
      </c>
      <c r="H1577" s="3" t="s">
        <v>31</v>
      </c>
      <c r="I1577" s="4" t="s">
        <v>56</v>
      </c>
      <c r="J1577" s="3">
        <v>4</v>
      </c>
      <c r="K1577" s="3" t="s">
        <v>67</v>
      </c>
      <c r="L1577" s="3">
        <v>2</v>
      </c>
      <c r="M1577" s="3">
        <v>9</v>
      </c>
      <c r="N1577" s="3" t="s">
        <v>33</v>
      </c>
    </row>
    <row r="1578" spans="1:14" x14ac:dyDescent="0.3">
      <c r="A1578" s="7" t="s">
        <v>1661</v>
      </c>
      <c r="B1578" s="7" t="s">
        <v>59</v>
      </c>
      <c r="C1578" s="7">
        <v>4</v>
      </c>
      <c r="D1578" s="10">
        <v>37.200000000000003</v>
      </c>
      <c r="E1578" s="10">
        <v>148.80000000000001</v>
      </c>
      <c r="F1578" s="9">
        <v>45716</v>
      </c>
      <c r="G1578" s="9">
        <v>45722</v>
      </c>
      <c r="H1578" s="7" t="s">
        <v>31</v>
      </c>
      <c r="I1578" s="8" t="s">
        <v>21</v>
      </c>
      <c r="J1578" s="7">
        <v>4</v>
      </c>
      <c r="K1578" s="7" t="s">
        <v>67</v>
      </c>
      <c r="L1578" s="7">
        <v>6</v>
      </c>
      <c r="M1578" s="7">
        <v>9</v>
      </c>
      <c r="N1578" s="7" t="s">
        <v>33</v>
      </c>
    </row>
    <row r="1579" spans="1:14" x14ac:dyDescent="0.3">
      <c r="A1579" s="3" t="s">
        <v>1662</v>
      </c>
      <c r="B1579" s="3" t="s">
        <v>51</v>
      </c>
      <c r="C1579" s="3">
        <v>3</v>
      </c>
      <c r="D1579" s="6">
        <v>53.5</v>
      </c>
      <c r="E1579" s="6">
        <v>160.5</v>
      </c>
      <c r="F1579" s="5">
        <v>45716</v>
      </c>
      <c r="G1579" s="5">
        <v>45718</v>
      </c>
      <c r="H1579" s="3" t="s">
        <v>31</v>
      </c>
      <c r="I1579" s="4" t="s">
        <v>40</v>
      </c>
      <c r="J1579" s="3">
        <v>5</v>
      </c>
      <c r="K1579" s="3" t="s">
        <v>77</v>
      </c>
      <c r="L1579" s="3">
        <v>2</v>
      </c>
      <c r="M1579" s="3">
        <v>9</v>
      </c>
      <c r="N1579" s="3" t="s">
        <v>33</v>
      </c>
    </row>
    <row r="1580" spans="1:14" x14ac:dyDescent="0.3">
      <c r="A1580" s="7" t="s">
        <v>1663</v>
      </c>
      <c r="B1580" s="7" t="s">
        <v>49</v>
      </c>
      <c r="C1580" s="7">
        <v>3</v>
      </c>
      <c r="D1580" s="10">
        <v>43.6</v>
      </c>
      <c r="E1580" s="10">
        <v>130.80000000000001</v>
      </c>
      <c r="F1580" s="9">
        <v>45716</v>
      </c>
      <c r="G1580" s="9">
        <v>45716</v>
      </c>
      <c r="H1580" s="7" t="s">
        <v>31</v>
      </c>
      <c r="I1580" s="8" t="s">
        <v>21</v>
      </c>
      <c r="J1580" s="7">
        <v>4</v>
      </c>
      <c r="K1580" s="7" t="s">
        <v>77</v>
      </c>
      <c r="L1580" s="7">
        <v>0</v>
      </c>
      <c r="M1580" s="7">
        <v>9</v>
      </c>
      <c r="N1580" s="7" t="s">
        <v>33</v>
      </c>
    </row>
    <row r="1581" spans="1:14" x14ac:dyDescent="0.3">
      <c r="A1581" s="3" t="s">
        <v>1664</v>
      </c>
      <c r="B1581" s="3" t="s">
        <v>25</v>
      </c>
      <c r="C1581" s="3">
        <v>10</v>
      </c>
      <c r="D1581" s="6">
        <v>135</v>
      </c>
      <c r="E1581" s="6">
        <v>1350</v>
      </c>
      <c r="F1581" s="5">
        <v>45716</v>
      </c>
      <c r="G1581" s="5">
        <v>45718</v>
      </c>
      <c r="H1581" s="3" t="s">
        <v>31</v>
      </c>
      <c r="I1581" s="4" t="s">
        <v>21</v>
      </c>
      <c r="J1581" s="3">
        <v>5</v>
      </c>
      <c r="K1581" s="3" t="s">
        <v>77</v>
      </c>
      <c r="L1581" s="3">
        <v>2</v>
      </c>
      <c r="M1581" s="3">
        <v>9</v>
      </c>
      <c r="N1581" s="3" t="s">
        <v>33</v>
      </c>
    </row>
    <row r="1582" spans="1:14" x14ac:dyDescent="0.3">
      <c r="A1582" s="7" t="s">
        <v>1665</v>
      </c>
      <c r="B1582" s="7" t="s">
        <v>49</v>
      </c>
      <c r="C1582" s="7">
        <v>5</v>
      </c>
      <c r="D1582" s="10">
        <v>38.5</v>
      </c>
      <c r="E1582" s="10">
        <v>192.5</v>
      </c>
      <c r="F1582" s="9">
        <v>45716</v>
      </c>
      <c r="G1582" s="9">
        <v>45716</v>
      </c>
      <c r="H1582" s="7" t="s">
        <v>26</v>
      </c>
      <c r="I1582" s="8" t="s">
        <v>75</v>
      </c>
      <c r="J1582" s="7">
        <v>5</v>
      </c>
      <c r="K1582" s="7" t="s">
        <v>79</v>
      </c>
      <c r="L1582" s="7">
        <v>0</v>
      </c>
      <c r="M1582" s="7">
        <v>9</v>
      </c>
      <c r="N1582" s="7" t="s">
        <v>28</v>
      </c>
    </row>
    <row r="1583" spans="1:14" x14ac:dyDescent="0.3">
      <c r="A1583" s="3" t="s">
        <v>1666</v>
      </c>
      <c r="B1583" s="3" t="s">
        <v>51</v>
      </c>
      <c r="C1583" s="3">
        <v>2</v>
      </c>
      <c r="D1583" s="6">
        <v>24</v>
      </c>
      <c r="E1583" s="6">
        <v>48</v>
      </c>
      <c r="F1583" s="5">
        <v>45716</v>
      </c>
      <c r="G1583" s="5">
        <v>45721</v>
      </c>
      <c r="H1583" s="3" t="s">
        <v>31</v>
      </c>
      <c r="I1583" s="4" t="s">
        <v>21</v>
      </c>
      <c r="J1583" s="3">
        <v>4</v>
      </c>
      <c r="K1583" s="3" t="s">
        <v>82</v>
      </c>
      <c r="L1583" s="3">
        <v>5</v>
      </c>
      <c r="M1583" s="3">
        <v>9</v>
      </c>
      <c r="N1583" s="3" t="s">
        <v>33</v>
      </c>
    </row>
    <row r="1584" spans="1:14" x14ac:dyDescent="0.3">
      <c r="A1584" s="7" t="s">
        <v>1667</v>
      </c>
      <c r="B1584" s="7" t="s">
        <v>37</v>
      </c>
      <c r="C1584" s="7">
        <v>3</v>
      </c>
      <c r="D1584" s="10">
        <v>28.2</v>
      </c>
      <c r="E1584" s="10">
        <v>84.6</v>
      </c>
      <c r="F1584" s="9">
        <v>45716</v>
      </c>
      <c r="G1584" s="9">
        <v>45718</v>
      </c>
      <c r="H1584" s="7" t="s">
        <v>26</v>
      </c>
      <c r="I1584" s="8" t="s">
        <v>21</v>
      </c>
      <c r="J1584" s="7">
        <v>1</v>
      </c>
      <c r="K1584" s="7" t="s">
        <v>114</v>
      </c>
      <c r="L1584" s="7">
        <v>2</v>
      </c>
      <c r="M1584" s="7">
        <v>9</v>
      </c>
      <c r="N1584" s="7" t="s">
        <v>28</v>
      </c>
    </row>
    <row r="1585" spans="1:14" x14ac:dyDescent="0.3">
      <c r="A1585" s="3" t="s">
        <v>1668</v>
      </c>
      <c r="B1585" s="3" t="s">
        <v>47</v>
      </c>
      <c r="C1585" s="3">
        <v>3</v>
      </c>
      <c r="D1585" s="6">
        <v>37.4</v>
      </c>
      <c r="E1585" s="6">
        <v>112.2</v>
      </c>
      <c r="F1585" s="5">
        <v>45716</v>
      </c>
      <c r="G1585" s="5">
        <v>45717</v>
      </c>
      <c r="H1585" s="3" t="s">
        <v>31</v>
      </c>
      <c r="I1585" s="4" t="s">
        <v>56</v>
      </c>
      <c r="J1585" s="3">
        <v>4</v>
      </c>
      <c r="K1585" s="3" t="s">
        <v>27</v>
      </c>
      <c r="L1585" s="3">
        <v>1</v>
      </c>
      <c r="M1585" s="3">
        <v>9</v>
      </c>
      <c r="N1585" s="3" t="s">
        <v>33</v>
      </c>
    </row>
    <row r="1586" spans="1:14" x14ac:dyDescent="0.3">
      <c r="A1586" s="7" t="s">
        <v>1669</v>
      </c>
      <c r="B1586" s="7" t="s">
        <v>44</v>
      </c>
      <c r="C1586" s="7">
        <v>3</v>
      </c>
      <c r="D1586" s="10">
        <v>53.5</v>
      </c>
      <c r="E1586" s="10">
        <v>160.5</v>
      </c>
      <c r="F1586" s="9">
        <v>45716</v>
      </c>
      <c r="G1586" s="9">
        <v>45719</v>
      </c>
      <c r="H1586" s="7"/>
      <c r="I1586" s="8" t="s">
        <v>75</v>
      </c>
      <c r="J1586" s="7">
        <v>2</v>
      </c>
      <c r="K1586" s="7" t="s">
        <v>27</v>
      </c>
      <c r="L1586" s="7">
        <v>3</v>
      </c>
      <c r="M1586" s="7">
        <v>9</v>
      </c>
      <c r="N1586" s="7" t="s">
        <v>23</v>
      </c>
    </row>
    <row r="1587" spans="1:14" x14ac:dyDescent="0.3">
      <c r="A1587" s="3" t="s">
        <v>1670</v>
      </c>
      <c r="B1587" s="3" t="s">
        <v>72</v>
      </c>
      <c r="C1587" s="3">
        <v>5</v>
      </c>
      <c r="D1587" s="6">
        <v>36.200000000000003</v>
      </c>
      <c r="E1587" s="6">
        <v>181</v>
      </c>
      <c r="F1587" s="5">
        <v>45716</v>
      </c>
      <c r="G1587" s="5">
        <v>45717</v>
      </c>
      <c r="H1587" s="3" t="s">
        <v>26</v>
      </c>
      <c r="I1587" s="4" t="s">
        <v>40</v>
      </c>
      <c r="J1587" s="3">
        <v>5</v>
      </c>
      <c r="K1587" s="3" t="s">
        <v>337</v>
      </c>
      <c r="L1587" s="3">
        <v>1</v>
      </c>
      <c r="M1587" s="3">
        <v>9</v>
      </c>
      <c r="N1587" s="3" t="s">
        <v>28</v>
      </c>
    </row>
    <row r="1588" spans="1:14" x14ac:dyDescent="0.3">
      <c r="A1588" s="7" t="s">
        <v>1671</v>
      </c>
      <c r="B1588" s="7" t="s">
        <v>20</v>
      </c>
      <c r="C1588" s="7">
        <v>8</v>
      </c>
      <c r="D1588" s="10">
        <v>31.9</v>
      </c>
      <c r="E1588" s="10">
        <v>255.2</v>
      </c>
      <c r="F1588" s="9">
        <v>45716</v>
      </c>
      <c r="G1588" s="9">
        <v>45717</v>
      </c>
      <c r="H1588" s="7" t="s">
        <v>31</v>
      </c>
      <c r="I1588" s="8" t="s">
        <v>75</v>
      </c>
      <c r="J1588" s="7">
        <v>4</v>
      </c>
      <c r="K1588" s="7" t="s">
        <v>38</v>
      </c>
      <c r="L1588" s="7">
        <v>1</v>
      </c>
      <c r="M1588" s="7">
        <v>9</v>
      </c>
      <c r="N1588" s="7" t="s">
        <v>33</v>
      </c>
    </row>
    <row r="1589" spans="1:14" x14ac:dyDescent="0.3">
      <c r="A1589" s="3" t="s">
        <v>1672</v>
      </c>
      <c r="B1589" s="3" t="s">
        <v>49</v>
      </c>
      <c r="C1589" s="3">
        <v>3</v>
      </c>
      <c r="D1589" s="6">
        <v>21.3</v>
      </c>
      <c r="E1589" s="6">
        <v>63.900000000000013</v>
      </c>
      <c r="F1589" s="5">
        <v>45716</v>
      </c>
      <c r="G1589" s="5">
        <v>45717</v>
      </c>
      <c r="H1589" s="3" t="s">
        <v>26</v>
      </c>
      <c r="I1589" s="4" t="s">
        <v>21</v>
      </c>
      <c r="J1589" s="3">
        <v>5</v>
      </c>
      <c r="K1589" s="3" t="s">
        <v>38</v>
      </c>
      <c r="L1589" s="3">
        <v>1</v>
      </c>
      <c r="M1589" s="3">
        <v>9</v>
      </c>
      <c r="N1589" s="3" t="s">
        <v>28</v>
      </c>
    </row>
    <row r="1590" spans="1:14" x14ac:dyDescent="0.3">
      <c r="A1590" s="7" t="s">
        <v>1673</v>
      </c>
      <c r="B1590" s="7" t="s">
        <v>49</v>
      </c>
      <c r="C1590" s="7">
        <v>1</v>
      </c>
      <c r="D1590" s="10">
        <v>36.299999999999997</v>
      </c>
      <c r="E1590" s="10">
        <v>36.299999999999997</v>
      </c>
      <c r="F1590" s="9">
        <v>45716</v>
      </c>
      <c r="G1590" s="9">
        <v>45718</v>
      </c>
      <c r="H1590" s="7" t="s">
        <v>94</v>
      </c>
      <c r="I1590" s="8" t="s">
        <v>75</v>
      </c>
      <c r="J1590" s="7">
        <v>4</v>
      </c>
      <c r="K1590" s="7" t="s">
        <v>38</v>
      </c>
      <c r="L1590" s="7">
        <v>2</v>
      </c>
      <c r="M1590" s="7">
        <v>9</v>
      </c>
      <c r="N1590" s="7" t="s">
        <v>95</v>
      </c>
    </row>
    <row r="1591" spans="1:14" x14ac:dyDescent="0.3">
      <c r="A1591" s="3" t="s">
        <v>1674</v>
      </c>
      <c r="B1591" s="3" t="s">
        <v>44</v>
      </c>
      <c r="C1591" s="3">
        <v>3</v>
      </c>
      <c r="D1591" s="6">
        <v>110.5</v>
      </c>
      <c r="E1591" s="6">
        <v>331.5</v>
      </c>
      <c r="F1591" s="5">
        <v>45716</v>
      </c>
      <c r="G1591" s="5">
        <v>45717</v>
      </c>
      <c r="H1591" s="3" t="s">
        <v>31</v>
      </c>
      <c r="I1591" s="4" t="s">
        <v>21</v>
      </c>
      <c r="J1591" s="3">
        <v>1</v>
      </c>
      <c r="K1591" s="3" t="s">
        <v>38</v>
      </c>
      <c r="L1591" s="3">
        <v>1</v>
      </c>
      <c r="M1591" s="3">
        <v>9</v>
      </c>
      <c r="N1591" s="3" t="s">
        <v>33</v>
      </c>
    </row>
    <row r="1592" spans="1:14" x14ac:dyDescent="0.3">
      <c r="A1592" s="7" t="s">
        <v>1675</v>
      </c>
      <c r="B1592" s="7" t="s">
        <v>59</v>
      </c>
      <c r="C1592" s="7">
        <v>7</v>
      </c>
      <c r="D1592" s="10">
        <v>32.6</v>
      </c>
      <c r="E1592" s="10">
        <v>228.2</v>
      </c>
      <c r="F1592" s="9">
        <v>45716</v>
      </c>
      <c r="G1592" s="9">
        <v>45718</v>
      </c>
      <c r="H1592" s="7" t="s">
        <v>31</v>
      </c>
      <c r="I1592" s="8" t="s">
        <v>21</v>
      </c>
      <c r="J1592" s="7">
        <v>3</v>
      </c>
      <c r="K1592" s="7" t="s">
        <v>38</v>
      </c>
      <c r="L1592" s="7">
        <v>2</v>
      </c>
      <c r="M1592" s="7">
        <v>9</v>
      </c>
      <c r="N1592" s="7" t="s">
        <v>33</v>
      </c>
    </row>
    <row r="1593" spans="1:14" x14ac:dyDescent="0.3">
      <c r="A1593" s="3" t="s">
        <v>1676</v>
      </c>
      <c r="B1593" s="3" t="s">
        <v>42</v>
      </c>
      <c r="C1593" s="3">
        <v>3</v>
      </c>
      <c r="D1593" s="6">
        <v>55.6</v>
      </c>
      <c r="E1593" s="6">
        <v>166.8</v>
      </c>
      <c r="F1593" s="5">
        <v>45717</v>
      </c>
      <c r="G1593" s="5">
        <v>45730</v>
      </c>
      <c r="H1593" s="3" t="s">
        <v>31</v>
      </c>
      <c r="I1593" s="4" t="s">
        <v>21</v>
      </c>
      <c r="J1593" s="3">
        <v>4</v>
      </c>
      <c r="K1593" s="3" t="s">
        <v>38</v>
      </c>
      <c r="L1593" s="3">
        <v>13</v>
      </c>
      <c r="M1593" s="3">
        <v>9</v>
      </c>
      <c r="N1593" s="3" t="s">
        <v>33</v>
      </c>
    </row>
    <row r="1594" spans="1:14" x14ac:dyDescent="0.3">
      <c r="A1594" s="7" t="s">
        <v>1677</v>
      </c>
      <c r="B1594" s="7" t="s">
        <v>25</v>
      </c>
      <c r="C1594" s="7">
        <v>4</v>
      </c>
      <c r="D1594" s="10">
        <v>38</v>
      </c>
      <c r="E1594" s="10">
        <v>152</v>
      </c>
      <c r="F1594" s="9">
        <v>45717</v>
      </c>
      <c r="G1594" s="9">
        <v>45718</v>
      </c>
      <c r="H1594" s="7" t="s">
        <v>31</v>
      </c>
      <c r="I1594" s="8" t="s">
        <v>56</v>
      </c>
      <c r="J1594" s="7">
        <v>5</v>
      </c>
      <c r="K1594" s="7" t="s">
        <v>57</v>
      </c>
      <c r="L1594" s="7">
        <v>1</v>
      </c>
      <c r="M1594" s="7">
        <v>9</v>
      </c>
      <c r="N1594" s="7" t="s">
        <v>33</v>
      </c>
    </row>
    <row r="1595" spans="1:14" x14ac:dyDescent="0.3">
      <c r="A1595" s="3" t="s">
        <v>1678</v>
      </c>
      <c r="B1595" s="3" t="s">
        <v>59</v>
      </c>
      <c r="C1595" s="3">
        <v>2</v>
      </c>
      <c r="D1595" s="6">
        <v>51.8</v>
      </c>
      <c r="E1595" s="6">
        <v>103.6</v>
      </c>
      <c r="F1595" s="5">
        <v>45717</v>
      </c>
      <c r="G1595" s="5">
        <v>45723</v>
      </c>
      <c r="H1595" s="3" t="s">
        <v>26</v>
      </c>
      <c r="I1595" s="4" t="s">
        <v>40</v>
      </c>
      <c r="J1595" s="3">
        <v>2</v>
      </c>
      <c r="K1595" s="3" t="s">
        <v>60</v>
      </c>
      <c r="L1595" s="3">
        <v>6</v>
      </c>
      <c r="M1595" s="3">
        <v>9</v>
      </c>
      <c r="N1595" s="3" t="s">
        <v>28</v>
      </c>
    </row>
    <row r="1596" spans="1:14" x14ac:dyDescent="0.3">
      <c r="A1596" s="7" t="s">
        <v>1679</v>
      </c>
      <c r="B1596" s="7" t="s">
        <v>72</v>
      </c>
      <c r="C1596" s="7">
        <v>8</v>
      </c>
      <c r="D1596" s="10">
        <v>28.7</v>
      </c>
      <c r="E1596" s="10">
        <v>229.6</v>
      </c>
      <c r="F1596" s="9">
        <v>45717</v>
      </c>
      <c r="G1596" s="9">
        <v>45722</v>
      </c>
      <c r="H1596" s="7" t="s">
        <v>31</v>
      </c>
      <c r="I1596" s="8" t="s">
        <v>21</v>
      </c>
      <c r="J1596" s="7">
        <v>4</v>
      </c>
      <c r="K1596" s="7" t="s">
        <v>60</v>
      </c>
      <c r="L1596" s="7">
        <v>5</v>
      </c>
      <c r="M1596" s="7">
        <v>9</v>
      </c>
      <c r="N1596" s="7" t="s">
        <v>33</v>
      </c>
    </row>
    <row r="1597" spans="1:14" x14ac:dyDescent="0.3">
      <c r="A1597" s="3" t="s">
        <v>1680</v>
      </c>
      <c r="B1597" s="3" t="s">
        <v>44</v>
      </c>
      <c r="C1597" s="3">
        <v>12</v>
      </c>
      <c r="D1597" s="6">
        <v>52.2</v>
      </c>
      <c r="E1597" s="6">
        <v>626.40000000000009</v>
      </c>
      <c r="F1597" s="5">
        <v>45717</v>
      </c>
      <c r="G1597" s="5">
        <v>45717</v>
      </c>
      <c r="H1597" s="3" t="s">
        <v>26</v>
      </c>
      <c r="I1597" s="4" t="s">
        <v>21</v>
      </c>
      <c r="J1597" s="3">
        <v>3</v>
      </c>
      <c r="K1597" s="3" t="s">
        <v>60</v>
      </c>
      <c r="L1597" s="3">
        <v>0</v>
      </c>
      <c r="M1597" s="3">
        <v>9</v>
      </c>
      <c r="N1597" s="3" t="s">
        <v>28</v>
      </c>
    </row>
    <row r="1598" spans="1:14" x14ac:dyDescent="0.3">
      <c r="A1598" s="7" t="s">
        <v>1681</v>
      </c>
      <c r="B1598" s="7" t="s">
        <v>25</v>
      </c>
      <c r="C1598" s="7">
        <v>2</v>
      </c>
      <c r="D1598" s="10">
        <v>68.2</v>
      </c>
      <c r="E1598" s="10">
        <v>136.4</v>
      </c>
      <c r="F1598" s="9">
        <v>45717</v>
      </c>
      <c r="G1598" s="9">
        <v>45718</v>
      </c>
      <c r="H1598" s="7"/>
      <c r="I1598" s="8" t="s">
        <v>45</v>
      </c>
      <c r="J1598" s="7">
        <v>4</v>
      </c>
      <c r="K1598" s="7" t="s">
        <v>64</v>
      </c>
      <c r="L1598" s="7">
        <v>1</v>
      </c>
      <c r="M1598" s="7">
        <v>9</v>
      </c>
      <c r="N1598" s="7" t="s">
        <v>23</v>
      </c>
    </row>
    <row r="1599" spans="1:14" x14ac:dyDescent="0.3">
      <c r="A1599" s="3" t="s">
        <v>1682</v>
      </c>
      <c r="B1599" s="3" t="s">
        <v>20</v>
      </c>
      <c r="C1599" s="3">
        <v>3</v>
      </c>
      <c r="D1599" s="6">
        <v>34</v>
      </c>
      <c r="E1599" s="6">
        <v>102</v>
      </c>
      <c r="F1599" s="5">
        <v>45717</v>
      </c>
      <c r="G1599" s="5">
        <v>45721</v>
      </c>
      <c r="H1599" s="3" t="s">
        <v>31</v>
      </c>
      <c r="I1599" s="4" t="s">
        <v>21</v>
      </c>
      <c r="J1599" s="3">
        <v>4</v>
      </c>
      <c r="K1599" s="3" t="s">
        <v>67</v>
      </c>
      <c r="L1599" s="3">
        <v>4</v>
      </c>
      <c r="M1599" s="3">
        <v>9</v>
      </c>
      <c r="N1599" s="3" t="s">
        <v>33</v>
      </c>
    </row>
    <row r="1600" spans="1:14" x14ac:dyDescent="0.3">
      <c r="A1600" s="7" t="s">
        <v>1683</v>
      </c>
      <c r="B1600" s="7" t="s">
        <v>49</v>
      </c>
      <c r="C1600" s="7">
        <v>3</v>
      </c>
      <c r="D1600" s="10">
        <v>19.100000000000001</v>
      </c>
      <c r="E1600" s="10">
        <v>57.3</v>
      </c>
      <c r="F1600" s="9">
        <v>45717</v>
      </c>
      <c r="G1600" s="9">
        <v>45718</v>
      </c>
      <c r="H1600" s="7" t="s">
        <v>31</v>
      </c>
      <c r="I1600" s="8" t="s">
        <v>75</v>
      </c>
      <c r="J1600" s="7">
        <v>4</v>
      </c>
      <c r="K1600" s="7" t="s">
        <v>67</v>
      </c>
      <c r="L1600" s="7">
        <v>1</v>
      </c>
      <c r="M1600" s="7">
        <v>9</v>
      </c>
      <c r="N1600" s="7" t="s">
        <v>33</v>
      </c>
    </row>
    <row r="1601" spans="1:14" x14ac:dyDescent="0.3">
      <c r="A1601" s="3" t="s">
        <v>1684</v>
      </c>
      <c r="B1601" s="3" t="s">
        <v>42</v>
      </c>
      <c r="C1601" s="3">
        <v>8</v>
      </c>
      <c r="D1601" s="6">
        <v>34</v>
      </c>
      <c r="E1601" s="6">
        <v>272</v>
      </c>
      <c r="F1601" s="5">
        <v>45717</v>
      </c>
      <c r="G1601" s="5">
        <v>45725</v>
      </c>
      <c r="H1601" s="3" t="s">
        <v>31</v>
      </c>
      <c r="I1601" s="4" t="s">
        <v>75</v>
      </c>
      <c r="J1601" s="3">
        <v>4</v>
      </c>
      <c r="K1601" s="3" t="s">
        <v>67</v>
      </c>
      <c r="L1601" s="3">
        <v>8</v>
      </c>
      <c r="M1601" s="3">
        <v>9</v>
      </c>
      <c r="N1601" s="3" t="s">
        <v>33</v>
      </c>
    </row>
    <row r="1602" spans="1:14" x14ac:dyDescent="0.3">
      <c r="A1602" s="7" t="s">
        <v>1685</v>
      </c>
      <c r="B1602" s="7" t="s">
        <v>74</v>
      </c>
      <c r="C1602" s="7">
        <v>2</v>
      </c>
      <c r="D1602" s="10">
        <v>109.1</v>
      </c>
      <c r="E1602" s="10">
        <v>218.2</v>
      </c>
      <c r="F1602" s="9">
        <v>45717</v>
      </c>
      <c r="G1602" s="9">
        <v>45719</v>
      </c>
      <c r="H1602" s="7" t="s">
        <v>26</v>
      </c>
      <c r="I1602" s="8" t="s">
        <v>21</v>
      </c>
      <c r="J1602" s="7">
        <v>5</v>
      </c>
      <c r="K1602" s="7" t="s">
        <v>67</v>
      </c>
      <c r="L1602" s="7">
        <v>2</v>
      </c>
      <c r="M1602" s="7">
        <v>9</v>
      </c>
      <c r="N1602" s="7" t="s">
        <v>28</v>
      </c>
    </row>
    <row r="1603" spans="1:14" x14ac:dyDescent="0.3">
      <c r="A1603" s="3" t="s">
        <v>1686</v>
      </c>
      <c r="B1603" s="3" t="s">
        <v>152</v>
      </c>
      <c r="C1603" s="3">
        <v>2</v>
      </c>
      <c r="D1603" s="6">
        <v>64.8</v>
      </c>
      <c r="E1603" s="6">
        <v>129.6</v>
      </c>
      <c r="F1603" s="5">
        <v>45717</v>
      </c>
      <c r="G1603" s="5">
        <v>45719</v>
      </c>
      <c r="H1603" s="3" t="s">
        <v>26</v>
      </c>
      <c r="I1603" s="4" t="s">
        <v>21</v>
      </c>
      <c r="J1603" s="3">
        <v>5</v>
      </c>
      <c r="K1603" s="3" t="s">
        <v>67</v>
      </c>
      <c r="L1603" s="3">
        <v>2</v>
      </c>
      <c r="M1603" s="3">
        <v>9</v>
      </c>
      <c r="N1603" s="3" t="s">
        <v>28</v>
      </c>
    </row>
    <row r="1604" spans="1:14" x14ac:dyDescent="0.3">
      <c r="A1604" s="7" t="s">
        <v>1687</v>
      </c>
      <c r="B1604" s="7" t="s">
        <v>59</v>
      </c>
      <c r="C1604" s="7">
        <v>2</v>
      </c>
      <c r="D1604" s="10">
        <v>21.1</v>
      </c>
      <c r="E1604" s="10">
        <v>42.2</v>
      </c>
      <c r="F1604" s="9">
        <v>45717</v>
      </c>
      <c r="G1604" s="9">
        <v>45717</v>
      </c>
      <c r="H1604" s="7" t="s">
        <v>31</v>
      </c>
      <c r="I1604" s="8" t="s">
        <v>40</v>
      </c>
      <c r="J1604" s="7">
        <v>4</v>
      </c>
      <c r="K1604" s="7" t="s">
        <v>82</v>
      </c>
      <c r="L1604" s="7">
        <v>0</v>
      </c>
      <c r="M1604" s="7">
        <v>9</v>
      </c>
      <c r="N1604" s="7" t="s">
        <v>33</v>
      </c>
    </row>
    <row r="1605" spans="1:14" x14ac:dyDescent="0.3">
      <c r="A1605" s="3" t="s">
        <v>1688</v>
      </c>
      <c r="B1605" s="3" t="s">
        <v>20</v>
      </c>
      <c r="C1605" s="3">
        <v>8</v>
      </c>
      <c r="D1605" s="6">
        <v>21.3</v>
      </c>
      <c r="E1605" s="6">
        <v>170.4</v>
      </c>
      <c r="F1605" s="5">
        <v>45717</v>
      </c>
      <c r="G1605" s="5">
        <v>45719</v>
      </c>
      <c r="H1605" s="3" t="s">
        <v>26</v>
      </c>
      <c r="I1605" s="4" t="s">
        <v>56</v>
      </c>
      <c r="J1605" s="3">
        <v>3</v>
      </c>
      <c r="K1605" s="3" t="s">
        <v>114</v>
      </c>
      <c r="L1605" s="3">
        <v>2</v>
      </c>
      <c r="M1605" s="3">
        <v>9</v>
      </c>
      <c r="N1605" s="3" t="s">
        <v>28</v>
      </c>
    </row>
    <row r="1606" spans="1:14" x14ac:dyDescent="0.3">
      <c r="A1606" s="7" t="s">
        <v>1689</v>
      </c>
      <c r="B1606" s="7" t="s">
        <v>51</v>
      </c>
      <c r="C1606" s="7">
        <v>3</v>
      </c>
      <c r="D1606" s="10">
        <v>24.3</v>
      </c>
      <c r="E1606" s="10">
        <v>72.900000000000006</v>
      </c>
      <c r="F1606" s="9">
        <v>45717</v>
      </c>
      <c r="G1606" s="9">
        <v>45718</v>
      </c>
      <c r="H1606" s="7" t="s">
        <v>26</v>
      </c>
      <c r="I1606" s="8" t="s">
        <v>40</v>
      </c>
      <c r="J1606" s="7">
        <v>4</v>
      </c>
      <c r="K1606" s="7" t="s">
        <v>116</v>
      </c>
      <c r="L1606" s="7">
        <v>1</v>
      </c>
      <c r="M1606" s="7">
        <v>9</v>
      </c>
      <c r="N1606" s="7" t="s">
        <v>28</v>
      </c>
    </row>
    <row r="1607" spans="1:14" x14ac:dyDescent="0.3">
      <c r="A1607" s="3" t="s">
        <v>1690</v>
      </c>
      <c r="B1607" s="3" t="s">
        <v>49</v>
      </c>
      <c r="C1607" s="3">
        <v>1</v>
      </c>
      <c r="D1607" s="6">
        <v>43.3</v>
      </c>
      <c r="E1607" s="6">
        <v>43.3</v>
      </c>
      <c r="F1607" s="5">
        <v>45717</v>
      </c>
      <c r="G1607" s="5">
        <v>45721</v>
      </c>
      <c r="H1607" s="3" t="s">
        <v>26</v>
      </c>
      <c r="I1607" s="4" t="s">
        <v>40</v>
      </c>
      <c r="J1607" s="3">
        <v>3</v>
      </c>
      <c r="K1607" s="3" t="s">
        <v>87</v>
      </c>
      <c r="L1607" s="3">
        <v>4</v>
      </c>
      <c r="M1607" s="3">
        <v>9</v>
      </c>
      <c r="N1607" s="3" t="s">
        <v>28</v>
      </c>
    </row>
    <row r="1608" spans="1:14" x14ac:dyDescent="0.3">
      <c r="A1608" s="7" t="s">
        <v>1691</v>
      </c>
      <c r="B1608" s="7" t="s">
        <v>51</v>
      </c>
      <c r="C1608" s="7">
        <v>3</v>
      </c>
      <c r="D1608" s="10">
        <v>41</v>
      </c>
      <c r="E1608" s="10">
        <v>123</v>
      </c>
      <c r="F1608" s="9">
        <v>45717</v>
      </c>
      <c r="G1608" s="9">
        <v>45718</v>
      </c>
      <c r="H1608" s="7" t="s">
        <v>31</v>
      </c>
      <c r="I1608" s="8" t="s">
        <v>56</v>
      </c>
      <c r="J1608" s="7">
        <v>2</v>
      </c>
      <c r="K1608" s="7" t="s">
        <v>121</v>
      </c>
      <c r="L1608" s="7">
        <v>1</v>
      </c>
      <c r="M1608" s="7">
        <v>9</v>
      </c>
      <c r="N1608" s="7" t="s">
        <v>33</v>
      </c>
    </row>
    <row r="1609" spans="1:14" x14ac:dyDescent="0.3">
      <c r="A1609" s="3" t="s">
        <v>1692</v>
      </c>
      <c r="B1609" s="3" t="s">
        <v>134</v>
      </c>
      <c r="C1609" s="3">
        <v>3</v>
      </c>
      <c r="D1609" s="6">
        <v>54.1</v>
      </c>
      <c r="E1609" s="6">
        <v>162.30000000000001</v>
      </c>
      <c r="F1609" s="5">
        <v>45717</v>
      </c>
      <c r="G1609" s="5">
        <v>45719</v>
      </c>
      <c r="H1609" s="3" t="s">
        <v>31</v>
      </c>
      <c r="I1609" s="4" t="s">
        <v>75</v>
      </c>
      <c r="J1609" s="3">
        <v>4</v>
      </c>
      <c r="K1609" s="3" t="s">
        <v>121</v>
      </c>
      <c r="L1609" s="3">
        <v>2</v>
      </c>
      <c r="M1609" s="3">
        <v>9</v>
      </c>
      <c r="N1609" s="3" t="s">
        <v>33</v>
      </c>
    </row>
    <row r="1610" spans="1:14" x14ac:dyDescent="0.3">
      <c r="A1610" s="7" t="s">
        <v>1693</v>
      </c>
      <c r="B1610" s="7" t="s">
        <v>72</v>
      </c>
      <c r="C1610" s="7">
        <v>2</v>
      </c>
      <c r="D1610" s="10">
        <v>39</v>
      </c>
      <c r="E1610" s="10">
        <v>78</v>
      </c>
      <c r="F1610" s="9">
        <v>45717</v>
      </c>
      <c r="G1610" s="9">
        <v>45718</v>
      </c>
      <c r="H1610" s="7" t="s">
        <v>26</v>
      </c>
      <c r="I1610" s="8" t="s">
        <v>40</v>
      </c>
      <c r="J1610" s="7">
        <v>5</v>
      </c>
      <c r="K1610" s="7" t="s">
        <v>27</v>
      </c>
      <c r="L1610" s="7">
        <v>1</v>
      </c>
      <c r="M1610" s="7">
        <v>9</v>
      </c>
      <c r="N1610" s="7" t="s">
        <v>28</v>
      </c>
    </row>
    <row r="1611" spans="1:14" x14ac:dyDescent="0.3">
      <c r="A1611" s="3" t="s">
        <v>1694</v>
      </c>
      <c r="B1611" s="3" t="s">
        <v>49</v>
      </c>
      <c r="C1611" s="3">
        <v>2</v>
      </c>
      <c r="D1611" s="6">
        <v>40.299999999999997</v>
      </c>
      <c r="E1611" s="6">
        <v>80.599999999999994</v>
      </c>
      <c r="F1611" s="5">
        <v>45717</v>
      </c>
      <c r="G1611" s="5">
        <v>45719</v>
      </c>
      <c r="H1611" s="3" t="s">
        <v>26</v>
      </c>
      <c r="I1611" s="4" t="s">
        <v>56</v>
      </c>
      <c r="J1611" s="3">
        <v>4</v>
      </c>
      <c r="K1611" s="3" t="s">
        <v>214</v>
      </c>
      <c r="L1611" s="3">
        <v>2</v>
      </c>
      <c r="M1611" s="3">
        <v>9</v>
      </c>
      <c r="N1611" s="3" t="s">
        <v>28</v>
      </c>
    </row>
    <row r="1612" spans="1:14" x14ac:dyDescent="0.3">
      <c r="A1612" s="7" t="s">
        <v>1695</v>
      </c>
      <c r="B1612" s="7" t="s">
        <v>49</v>
      </c>
      <c r="C1612" s="7">
        <v>3</v>
      </c>
      <c r="D1612" s="10">
        <v>24.1</v>
      </c>
      <c r="E1612" s="10">
        <v>72.300000000000011</v>
      </c>
      <c r="F1612" s="9">
        <v>45717</v>
      </c>
      <c r="G1612" s="9">
        <v>45718</v>
      </c>
      <c r="H1612" s="7" t="s">
        <v>26</v>
      </c>
      <c r="I1612" s="8" t="s">
        <v>21</v>
      </c>
      <c r="J1612" s="7">
        <v>5</v>
      </c>
      <c r="K1612" s="7" t="s">
        <v>22</v>
      </c>
      <c r="L1612" s="7">
        <v>1</v>
      </c>
      <c r="M1612" s="7">
        <v>9</v>
      </c>
      <c r="N1612" s="7" t="s">
        <v>28</v>
      </c>
    </row>
    <row r="1613" spans="1:14" x14ac:dyDescent="0.3">
      <c r="A1613" s="3" t="s">
        <v>1696</v>
      </c>
      <c r="B1613" s="3" t="s">
        <v>44</v>
      </c>
      <c r="C1613" s="3">
        <v>5</v>
      </c>
      <c r="D1613" s="6">
        <v>52.3</v>
      </c>
      <c r="E1613" s="6">
        <v>261.5</v>
      </c>
      <c r="F1613" s="5">
        <v>45717</v>
      </c>
      <c r="G1613" s="5">
        <v>45718</v>
      </c>
      <c r="H1613" s="3" t="s">
        <v>26</v>
      </c>
      <c r="I1613" s="4" t="s">
        <v>45</v>
      </c>
      <c r="J1613" s="3">
        <v>4</v>
      </c>
      <c r="K1613" s="3" t="s">
        <v>38</v>
      </c>
      <c r="L1613" s="3">
        <v>1</v>
      </c>
      <c r="M1613" s="3">
        <v>9</v>
      </c>
      <c r="N1613" s="3" t="s">
        <v>28</v>
      </c>
    </row>
    <row r="1614" spans="1:14" x14ac:dyDescent="0.3">
      <c r="A1614" s="7" t="s">
        <v>1697</v>
      </c>
      <c r="B1614" s="7" t="s">
        <v>74</v>
      </c>
      <c r="C1614" s="7">
        <v>4</v>
      </c>
      <c r="D1614" s="10">
        <v>68.8</v>
      </c>
      <c r="E1614" s="10">
        <v>275.2</v>
      </c>
      <c r="F1614" s="9">
        <v>45717</v>
      </c>
      <c r="G1614" s="9">
        <v>45721</v>
      </c>
      <c r="H1614" s="7" t="s">
        <v>31</v>
      </c>
      <c r="I1614" s="8" t="s">
        <v>75</v>
      </c>
      <c r="J1614" s="7">
        <v>5</v>
      </c>
      <c r="K1614" s="7" t="s">
        <v>38</v>
      </c>
      <c r="L1614" s="7">
        <v>4</v>
      </c>
      <c r="M1614" s="7">
        <v>9</v>
      </c>
      <c r="N1614" s="7" t="s">
        <v>33</v>
      </c>
    </row>
    <row r="1615" spans="1:14" x14ac:dyDescent="0.3">
      <c r="A1615" s="3" t="s">
        <v>1698</v>
      </c>
      <c r="B1615" s="3" t="s">
        <v>30</v>
      </c>
      <c r="C1615" s="3">
        <v>2</v>
      </c>
      <c r="D1615" s="6">
        <v>128.80000000000001</v>
      </c>
      <c r="E1615" s="6">
        <v>257.60000000000002</v>
      </c>
      <c r="F1615" s="5">
        <v>45718</v>
      </c>
      <c r="G1615" s="5">
        <v>45721</v>
      </c>
      <c r="H1615" s="3" t="s">
        <v>31</v>
      </c>
      <c r="I1615" s="4" t="s">
        <v>40</v>
      </c>
      <c r="J1615" s="3">
        <v>3</v>
      </c>
      <c r="K1615" s="3" t="s">
        <v>38</v>
      </c>
      <c r="L1615" s="3">
        <v>3</v>
      </c>
      <c r="M1615" s="3">
        <v>10</v>
      </c>
      <c r="N1615" s="3" t="s">
        <v>33</v>
      </c>
    </row>
    <row r="1616" spans="1:14" x14ac:dyDescent="0.3">
      <c r="A1616" s="7" t="s">
        <v>1699</v>
      </c>
      <c r="B1616" s="7" t="s">
        <v>129</v>
      </c>
      <c r="C1616" s="7">
        <v>5</v>
      </c>
      <c r="D1616" s="10">
        <v>48.2</v>
      </c>
      <c r="E1616" s="10">
        <v>241</v>
      </c>
      <c r="F1616" s="9">
        <v>45718</v>
      </c>
      <c r="G1616" s="9">
        <v>45720</v>
      </c>
      <c r="H1616" s="7" t="s">
        <v>31</v>
      </c>
      <c r="I1616" s="8" t="s">
        <v>56</v>
      </c>
      <c r="J1616" s="7">
        <v>4</v>
      </c>
      <c r="K1616" s="7" t="s">
        <v>38</v>
      </c>
      <c r="L1616" s="7">
        <v>2</v>
      </c>
      <c r="M1616" s="7">
        <v>10</v>
      </c>
      <c r="N1616" s="7" t="s">
        <v>33</v>
      </c>
    </row>
    <row r="1617" spans="1:14" x14ac:dyDescent="0.3">
      <c r="A1617" s="3" t="s">
        <v>1700</v>
      </c>
      <c r="B1617" s="3" t="s">
        <v>59</v>
      </c>
      <c r="C1617" s="3">
        <v>1</v>
      </c>
      <c r="D1617" s="6">
        <v>39.700000000000003</v>
      </c>
      <c r="E1617" s="6">
        <v>39.700000000000003</v>
      </c>
      <c r="F1617" s="5">
        <v>45718</v>
      </c>
      <c r="G1617" s="5">
        <v>45720</v>
      </c>
      <c r="H1617" s="3" t="s">
        <v>31</v>
      </c>
      <c r="I1617" s="4" t="s">
        <v>21</v>
      </c>
      <c r="J1617" s="3">
        <v>3</v>
      </c>
      <c r="K1617" s="3" t="s">
        <v>38</v>
      </c>
      <c r="L1617" s="3">
        <v>2</v>
      </c>
      <c r="M1617" s="3">
        <v>10</v>
      </c>
      <c r="N1617" s="3" t="s">
        <v>33</v>
      </c>
    </row>
    <row r="1618" spans="1:14" x14ac:dyDescent="0.3">
      <c r="A1618" s="7" t="s">
        <v>1701</v>
      </c>
      <c r="B1618" s="7" t="s">
        <v>51</v>
      </c>
      <c r="C1618" s="7">
        <v>1</v>
      </c>
      <c r="D1618" s="10">
        <v>59.7</v>
      </c>
      <c r="E1618" s="10">
        <v>59.7</v>
      </c>
      <c r="F1618" s="9">
        <v>45718</v>
      </c>
      <c r="G1618" s="9">
        <v>45721</v>
      </c>
      <c r="H1618" s="7" t="s">
        <v>31</v>
      </c>
      <c r="I1618" s="8" t="s">
        <v>75</v>
      </c>
      <c r="J1618" s="7">
        <v>4</v>
      </c>
      <c r="K1618" s="7" t="s">
        <v>38</v>
      </c>
      <c r="L1618" s="7">
        <v>3</v>
      </c>
      <c r="M1618" s="7">
        <v>10</v>
      </c>
      <c r="N1618" s="7" t="s">
        <v>33</v>
      </c>
    </row>
    <row r="1619" spans="1:14" x14ac:dyDescent="0.3">
      <c r="A1619" s="3" t="s">
        <v>1702</v>
      </c>
      <c r="B1619" s="3" t="s">
        <v>44</v>
      </c>
      <c r="C1619" s="3">
        <v>1</v>
      </c>
      <c r="D1619" s="6">
        <v>48.3</v>
      </c>
      <c r="E1619" s="6">
        <v>48.3</v>
      </c>
      <c r="F1619" s="5">
        <v>45718</v>
      </c>
      <c r="G1619" s="5">
        <v>45732</v>
      </c>
      <c r="H1619" s="3" t="s">
        <v>94</v>
      </c>
      <c r="I1619" s="4" t="s">
        <v>21</v>
      </c>
      <c r="J1619" s="3">
        <v>5</v>
      </c>
      <c r="K1619" s="3" t="s">
        <v>38</v>
      </c>
      <c r="L1619" s="3">
        <v>14</v>
      </c>
      <c r="M1619" s="3">
        <v>10</v>
      </c>
      <c r="N1619" s="3" t="s">
        <v>95</v>
      </c>
    </row>
    <row r="1620" spans="1:14" x14ac:dyDescent="0.3">
      <c r="A1620" s="7" t="s">
        <v>1703</v>
      </c>
      <c r="B1620" s="7" t="s">
        <v>49</v>
      </c>
      <c r="C1620" s="7">
        <v>3</v>
      </c>
      <c r="D1620" s="10">
        <v>45.5</v>
      </c>
      <c r="E1620" s="10">
        <v>136.5</v>
      </c>
      <c r="F1620" s="9">
        <v>45718</v>
      </c>
      <c r="G1620" s="9">
        <v>45720</v>
      </c>
      <c r="H1620" s="7" t="s">
        <v>26</v>
      </c>
      <c r="I1620" s="8" t="s">
        <v>45</v>
      </c>
      <c r="J1620" s="7">
        <v>3</v>
      </c>
      <c r="K1620" s="7" t="s">
        <v>38</v>
      </c>
      <c r="L1620" s="7">
        <v>2</v>
      </c>
      <c r="M1620" s="7">
        <v>10</v>
      </c>
      <c r="N1620" s="7" t="s">
        <v>28</v>
      </c>
    </row>
    <row r="1621" spans="1:14" x14ac:dyDescent="0.3">
      <c r="A1621" s="3" t="s">
        <v>1704</v>
      </c>
      <c r="B1621" s="3" t="s">
        <v>51</v>
      </c>
      <c r="C1621" s="3">
        <v>27</v>
      </c>
      <c r="D1621" s="6">
        <v>51</v>
      </c>
      <c r="E1621" s="6">
        <v>1377</v>
      </c>
      <c r="F1621" s="5">
        <v>45718</v>
      </c>
      <c r="G1621" s="5">
        <v>45718</v>
      </c>
      <c r="H1621" s="3" t="s">
        <v>31</v>
      </c>
      <c r="I1621" s="4" t="s">
        <v>45</v>
      </c>
      <c r="J1621" s="3">
        <v>4</v>
      </c>
      <c r="K1621" s="3" t="s">
        <v>38</v>
      </c>
      <c r="L1621" s="3">
        <v>0</v>
      </c>
      <c r="M1621" s="3">
        <v>10</v>
      </c>
      <c r="N1621" s="3" t="s">
        <v>33</v>
      </c>
    </row>
    <row r="1622" spans="1:14" x14ac:dyDescent="0.3">
      <c r="A1622" s="7" t="s">
        <v>1705</v>
      </c>
      <c r="B1622" s="7" t="s">
        <v>37</v>
      </c>
      <c r="C1622" s="7">
        <v>6</v>
      </c>
      <c r="D1622" s="10">
        <v>20.399999999999999</v>
      </c>
      <c r="E1622" s="10">
        <v>122.4</v>
      </c>
      <c r="F1622" s="9">
        <v>45718</v>
      </c>
      <c r="G1622" s="9">
        <v>45719</v>
      </c>
      <c r="H1622" s="7" t="s">
        <v>26</v>
      </c>
      <c r="I1622" s="8" t="s">
        <v>45</v>
      </c>
      <c r="J1622" s="7">
        <v>4</v>
      </c>
      <c r="K1622" s="7" t="s">
        <v>38</v>
      </c>
      <c r="L1622" s="7">
        <v>1</v>
      </c>
      <c r="M1622" s="7">
        <v>10</v>
      </c>
      <c r="N1622" s="7" t="s">
        <v>28</v>
      </c>
    </row>
    <row r="1623" spans="1:14" x14ac:dyDescent="0.3">
      <c r="A1623" s="3" t="s">
        <v>1706</v>
      </c>
      <c r="B1623" s="3" t="s">
        <v>59</v>
      </c>
      <c r="C1623" s="3">
        <v>2</v>
      </c>
      <c r="D1623" s="6">
        <v>30.4</v>
      </c>
      <c r="E1623" s="6">
        <v>60.8</v>
      </c>
      <c r="F1623" s="5">
        <v>45718</v>
      </c>
      <c r="G1623" s="5">
        <v>45720</v>
      </c>
      <c r="H1623" s="3" t="s">
        <v>26</v>
      </c>
      <c r="I1623" s="4" t="s">
        <v>45</v>
      </c>
      <c r="J1623" s="3">
        <v>4</v>
      </c>
      <c r="K1623" s="3" t="s">
        <v>38</v>
      </c>
      <c r="L1623" s="3">
        <v>2</v>
      </c>
      <c r="M1623" s="3">
        <v>10</v>
      </c>
      <c r="N1623" s="3" t="s">
        <v>28</v>
      </c>
    </row>
    <row r="1624" spans="1:14" x14ac:dyDescent="0.3">
      <c r="A1624" s="7" t="s">
        <v>1707</v>
      </c>
      <c r="B1624" s="7" t="s">
        <v>47</v>
      </c>
      <c r="C1624" s="7">
        <v>2</v>
      </c>
      <c r="D1624" s="10">
        <v>71.5</v>
      </c>
      <c r="E1624" s="10">
        <v>143</v>
      </c>
      <c r="F1624" s="9">
        <v>45718</v>
      </c>
      <c r="G1624" s="9">
        <v>45722</v>
      </c>
      <c r="H1624" s="7" t="s">
        <v>31</v>
      </c>
      <c r="I1624" s="8" t="s">
        <v>21</v>
      </c>
      <c r="J1624" s="7">
        <v>4</v>
      </c>
      <c r="K1624" s="7" t="s">
        <v>38</v>
      </c>
      <c r="L1624" s="7">
        <v>4</v>
      </c>
      <c r="M1624" s="7">
        <v>10</v>
      </c>
      <c r="N1624" s="7" t="s">
        <v>33</v>
      </c>
    </row>
    <row r="1625" spans="1:14" x14ac:dyDescent="0.3">
      <c r="A1625" s="3" t="s">
        <v>1708</v>
      </c>
      <c r="B1625" s="3" t="s">
        <v>49</v>
      </c>
      <c r="C1625" s="3">
        <v>6</v>
      </c>
      <c r="D1625" s="6">
        <v>18</v>
      </c>
      <c r="E1625" s="6">
        <v>108</v>
      </c>
      <c r="F1625" s="5">
        <v>45718</v>
      </c>
      <c r="G1625" s="5">
        <v>45719</v>
      </c>
      <c r="H1625" s="3" t="s">
        <v>94</v>
      </c>
      <c r="I1625" s="4" t="s">
        <v>40</v>
      </c>
      <c r="J1625" s="3">
        <v>5</v>
      </c>
      <c r="K1625" s="3" t="s">
        <v>60</v>
      </c>
      <c r="L1625" s="3">
        <v>1</v>
      </c>
      <c r="M1625" s="3">
        <v>10</v>
      </c>
      <c r="N1625" s="3" t="s">
        <v>95</v>
      </c>
    </row>
    <row r="1626" spans="1:14" x14ac:dyDescent="0.3">
      <c r="A1626" s="7" t="s">
        <v>1709</v>
      </c>
      <c r="B1626" s="7" t="s">
        <v>129</v>
      </c>
      <c r="C1626" s="7">
        <v>11</v>
      </c>
      <c r="D1626" s="10">
        <v>45.6</v>
      </c>
      <c r="E1626" s="10">
        <v>501.6</v>
      </c>
      <c r="F1626" s="9">
        <v>45718</v>
      </c>
      <c r="G1626" s="9">
        <v>45719</v>
      </c>
      <c r="H1626" s="7" t="s">
        <v>94</v>
      </c>
      <c r="I1626" s="8" t="s">
        <v>40</v>
      </c>
      <c r="J1626" s="7">
        <v>3</v>
      </c>
      <c r="K1626" s="7" t="s">
        <v>64</v>
      </c>
      <c r="L1626" s="7">
        <v>1</v>
      </c>
      <c r="M1626" s="7">
        <v>10</v>
      </c>
      <c r="N1626" s="7" t="s">
        <v>95</v>
      </c>
    </row>
    <row r="1627" spans="1:14" x14ac:dyDescent="0.3">
      <c r="A1627" s="3" t="s">
        <v>1710</v>
      </c>
      <c r="B1627" s="3" t="s">
        <v>51</v>
      </c>
      <c r="C1627" s="3">
        <v>1</v>
      </c>
      <c r="D1627" s="6">
        <v>31.8</v>
      </c>
      <c r="E1627" s="6">
        <v>31.8</v>
      </c>
      <c r="F1627" s="5">
        <v>45718</v>
      </c>
      <c r="G1627" s="5">
        <v>45722</v>
      </c>
      <c r="H1627" s="3" t="s">
        <v>31</v>
      </c>
      <c r="I1627" s="4" t="s">
        <v>21</v>
      </c>
      <c r="J1627" s="3">
        <v>5</v>
      </c>
      <c r="K1627" s="3" t="s">
        <v>64</v>
      </c>
      <c r="L1627" s="3">
        <v>4</v>
      </c>
      <c r="M1627" s="3">
        <v>10</v>
      </c>
      <c r="N1627" s="3" t="s">
        <v>33</v>
      </c>
    </row>
    <row r="1628" spans="1:14" x14ac:dyDescent="0.3">
      <c r="A1628" s="7" t="s">
        <v>1711</v>
      </c>
      <c r="B1628" s="7" t="s">
        <v>49</v>
      </c>
      <c r="C1628" s="7">
        <v>5</v>
      </c>
      <c r="D1628" s="10">
        <v>19.899999999999999</v>
      </c>
      <c r="E1628" s="10">
        <v>99.5</v>
      </c>
      <c r="F1628" s="9">
        <v>45718</v>
      </c>
      <c r="G1628" s="9">
        <v>45719</v>
      </c>
      <c r="H1628" s="7" t="s">
        <v>31</v>
      </c>
      <c r="I1628" s="8" t="s">
        <v>40</v>
      </c>
      <c r="J1628" s="7">
        <v>4</v>
      </c>
      <c r="K1628" s="7" t="s">
        <v>64</v>
      </c>
      <c r="L1628" s="7">
        <v>1</v>
      </c>
      <c r="M1628" s="7">
        <v>10</v>
      </c>
      <c r="N1628" s="7" t="s">
        <v>33</v>
      </c>
    </row>
    <row r="1629" spans="1:14" x14ac:dyDescent="0.3">
      <c r="A1629" s="3" t="s">
        <v>1712</v>
      </c>
      <c r="B1629" s="3" t="s">
        <v>74</v>
      </c>
      <c r="C1629" s="3">
        <v>9</v>
      </c>
      <c r="D1629" s="6">
        <v>52.1</v>
      </c>
      <c r="E1629" s="6">
        <v>468.9</v>
      </c>
      <c r="F1629" s="5">
        <v>45718</v>
      </c>
      <c r="G1629" s="5">
        <v>45720</v>
      </c>
      <c r="H1629" s="3" t="s">
        <v>26</v>
      </c>
      <c r="I1629" s="4" t="s">
        <v>21</v>
      </c>
      <c r="J1629" s="3">
        <v>4</v>
      </c>
      <c r="K1629" s="3" t="s">
        <v>67</v>
      </c>
      <c r="L1629" s="3">
        <v>2</v>
      </c>
      <c r="M1629" s="3">
        <v>10</v>
      </c>
      <c r="N1629" s="3" t="s">
        <v>28</v>
      </c>
    </row>
    <row r="1630" spans="1:14" x14ac:dyDescent="0.3">
      <c r="A1630" s="7" t="s">
        <v>1713</v>
      </c>
      <c r="B1630" s="7" t="s">
        <v>25</v>
      </c>
      <c r="C1630" s="7">
        <v>7</v>
      </c>
      <c r="D1630" s="10">
        <v>45.9</v>
      </c>
      <c r="E1630" s="10">
        <v>321.3</v>
      </c>
      <c r="F1630" s="9">
        <v>45718</v>
      </c>
      <c r="G1630" s="9">
        <v>45719</v>
      </c>
      <c r="H1630" s="7" t="s">
        <v>26</v>
      </c>
      <c r="I1630" s="8" t="s">
        <v>21</v>
      </c>
      <c r="J1630" s="7">
        <v>3</v>
      </c>
      <c r="K1630" s="7" t="s">
        <v>67</v>
      </c>
      <c r="L1630" s="7">
        <v>1</v>
      </c>
      <c r="M1630" s="7">
        <v>10</v>
      </c>
      <c r="N1630" s="7" t="s">
        <v>28</v>
      </c>
    </row>
    <row r="1631" spans="1:14" x14ac:dyDescent="0.3">
      <c r="A1631" s="3" t="s">
        <v>1714</v>
      </c>
      <c r="B1631" s="3" t="s">
        <v>25</v>
      </c>
      <c r="C1631" s="3">
        <v>10</v>
      </c>
      <c r="D1631" s="6">
        <v>115.9</v>
      </c>
      <c r="E1631" s="6">
        <v>1159</v>
      </c>
      <c r="F1631" s="5">
        <v>45718</v>
      </c>
      <c r="G1631" s="5">
        <v>45721</v>
      </c>
      <c r="H1631" s="3" t="s">
        <v>31</v>
      </c>
      <c r="I1631" s="4" t="s">
        <v>40</v>
      </c>
      <c r="J1631" s="3">
        <v>4</v>
      </c>
      <c r="K1631" s="3" t="s">
        <v>67</v>
      </c>
      <c r="L1631" s="3">
        <v>3</v>
      </c>
      <c r="M1631" s="3">
        <v>10</v>
      </c>
      <c r="N1631" s="3" t="s">
        <v>33</v>
      </c>
    </row>
    <row r="1632" spans="1:14" x14ac:dyDescent="0.3">
      <c r="A1632" s="7" t="s">
        <v>1715</v>
      </c>
      <c r="B1632" s="7" t="s">
        <v>44</v>
      </c>
      <c r="C1632" s="7">
        <v>9</v>
      </c>
      <c r="D1632" s="10">
        <v>86</v>
      </c>
      <c r="E1632" s="10">
        <v>774</v>
      </c>
      <c r="F1632" s="9">
        <v>45718</v>
      </c>
      <c r="G1632" s="9">
        <v>45723</v>
      </c>
      <c r="H1632" s="7" t="s">
        <v>31</v>
      </c>
      <c r="I1632" s="8" t="s">
        <v>21</v>
      </c>
      <c r="J1632" s="7">
        <v>3</v>
      </c>
      <c r="K1632" s="7" t="s">
        <v>67</v>
      </c>
      <c r="L1632" s="7">
        <v>5</v>
      </c>
      <c r="M1632" s="7">
        <v>10</v>
      </c>
      <c r="N1632" s="7" t="s">
        <v>33</v>
      </c>
    </row>
    <row r="1633" spans="1:14" x14ac:dyDescent="0.3">
      <c r="A1633" s="3" t="s">
        <v>1716</v>
      </c>
      <c r="B1633" s="3" t="s">
        <v>47</v>
      </c>
      <c r="C1633" s="3">
        <v>7</v>
      </c>
      <c r="D1633" s="6">
        <v>73.599999999999994</v>
      </c>
      <c r="E1633" s="6">
        <v>515.19999999999993</v>
      </c>
      <c r="F1633" s="5">
        <v>45718</v>
      </c>
      <c r="G1633" s="5">
        <v>45720</v>
      </c>
      <c r="H1633" s="3" t="s">
        <v>31</v>
      </c>
      <c r="I1633" s="4" t="s">
        <v>21</v>
      </c>
      <c r="J1633" s="3">
        <v>4</v>
      </c>
      <c r="K1633" s="3" t="s">
        <v>109</v>
      </c>
      <c r="L1633" s="3">
        <v>2</v>
      </c>
      <c r="M1633" s="3">
        <v>10</v>
      </c>
      <c r="N1633" s="3" t="s">
        <v>33</v>
      </c>
    </row>
    <row r="1634" spans="1:14" x14ac:dyDescent="0.3">
      <c r="A1634" s="7" t="s">
        <v>1717</v>
      </c>
      <c r="B1634" s="7" t="s">
        <v>59</v>
      </c>
      <c r="C1634" s="7">
        <v>3</v>
      </c>
      <c r="D1634" s="10">
        <v>26.7</v>
      </c>
      <c r="E1634" s="10">
        <v>80.099999999999994</v>
      </c>
      <c r="F1634" s="9">
        <v>45718</v>
      </c>
      <c r="G1634" s="9">
        <v>45722</v>
      </c>
      <c r="H1634" s="7" t="s">
        <v>31</v>
      </c>
      <c r="I1634" s="8" t="s">
        <v>21</v>
      </c>
      <c r="J1634" s="7">
        <v>4</v>
      </c>
      <c r="K1634" s="7" t="s">
        <v>82</v>
      </c>
      <c r="L1634" s="7">
        <v>4</v>
      </c>
      <c r="M1634" s="7">
        <v>10</v>
      </c>
      <c r="N1634" s="7" t="s">
        <v>33</v>
      </c>
    </row>
    <row r="1635" spans="1:14" x14ac:dyDescent="0.3">
      <c r="A1635" s="3" t="s">
        <v>1718</v>
      </c>
      <c r="B1635" s="3" t="s">
        <v>49</v>
      </c>
      <c r="C1635" s="3">
        <v>7</v>
      </c>
      <c r="D1635" s="6">
        <v>46.6</v>
      </c>
      <c r="E1635" s="6">
        <v>326.2</v>
      </c>
      <c r="F1635" s="5">
        <v>45718</v>
      </c>
      <c r="G1635" s="5">
        <v>45720</v>
      </c>
      <c r="H1635" s="3"/>
      <c r="I1635" s="4" t="s">
        <v>56</v>
      </c>
      <c r="J1635" s="3">
        <v>4</v>
      </c>
      <c r="K1635" s="3" t="s">
        <v>82</v>
      </c>
      <c r="L1635" s="3">
        <v>2</v>
      </c>
      <c r="M1635" s="3">
        <v>10</v>
      </c>
      <c r="N1635" s="3" t="s">
        <v>23</v>
      </c>
    </row>
    <row r="1636" spans="1:14" x14ac:dyDescent="0.3">
      <c r="A1636" s="7" t="s">
        <v>1719</v>
      </c>
      <c r="B1636" s="7" t="s">
        <v>35</v>
      </c>
      <c r="C1636" s="7">
        <v>3</v>
      </c>
      <c r="D1636" s="10">
        <v>84.6</v>
      </c>
      <c r="E1636" s="10">
        <v>253.8</v>
      </c>
      <c r="F1636" s="9">
        <v>45718</v>
      </c>
      <c r="G1636" s="9">
        <v>45720</v>
      </c>
      <c r="H1636" s="7" t="s">
        <v>26</v>
      </c>
      <c r="I1636" s="8" t="s">
        <v>75</v>
      </c>
      <c r="J1636" s="7">
        <v>4</v>
      </c>
      <c r="K1636" s="7" t="s">
        <v>82</v>
      </c>
      <c r="L1636" s="7">
        <v>2</v>
      </c>
      <c r="M1636" s="7">
        <v>10</v>
      </c>
      <c r="N1636" s="7" t="s">
        <v>28</v>
      </c>
    </row>
    <row r="1637" spans="1:14" x14ac:dyDescent="0.3">
      <c r="A1637" s="3" t="s">
        <v>1720</v>
      </c>
      <c r="B1637" s="3" t="s">
        <v>47</v>
      </c>
      <c r="C1637" s="3">
        <v>14</v>
      </c>
      <c r="D1637" s="6">
        <v>41.5</v>
      </c>
      <c r="E1637" s="6">
        <v>581</v>
      </c>
      <c r="F1637" s="5">
        <v>45718</v>
      </c>
      <c r="G1637" s="5">
        <v>45732</v>
      </c>
      <c r="H1637" s="3" t="s">
        <v>26</v>
      </c>
      <c r="I1637" s="4" t="s">
        <v>40</v>
      </c>
      <c r="J1637" s="3">
        <v>4</v>
      </c>
      <c r="K1637" s="3" t="s">
        <v>264</v>
      </c>
      <c r="L1637" s="3">
        <v>14</v>
      </c>
      <c r="M1637" s="3">
        <v>10</v>
      </c>
      <c r="N1637" s="3" t="s">
        <v>28</v>
      </c>
    </row>
    <row r="1638" spans="1:14" x14ac:dyDescent="0.3">
      <c r="A1638" s="7" t="s">
        <v>1721</v>
      </c>
      <c r="B1638" s="7" t="s">
        <v>49</v>
      </c>
      <c r="C1638" s="7">
        <v>1</v>
      </c>
      <c r="D1638" s="10">
        <v>32.799999999999997</v>
      </c>
      <c r="E1638" s="10">
        <v>32.799999999999997</v>
      </c>
      <c r="F1638" s="9">
        <v>45718</v>
      </c>
      <c r="G1638" s="9">
        <v>45721</v>
      </c>
      <c r="H1638" s="7" t="s">
        <v>26</v>
      </c>
      <c r="I1638" s="8" t="s">
        <v>21</v>
      </c>
      <c r="J1638" s="7">
        <v>5</v>
      </c>
      <c r="K1638" s="7" t="s">
        <v>274</v>
      </c>
      <c r="L1638" s="7">
        <v>3</v>
      </c>
      <c r="M1638" s="7">
        <v>10</v>
      </c>
      <c r="N1638" s="7" t="s">
        <v>28</v>
      </c>
    </row>
    <row r="1639" spans="1:14" x14ac:dyDescent="0.3">
      <c r="A1639" s="3" t="s">
        <v>1722</v>
      </c>
      <c r="B1639" s="3" t="s">
        <v>37</v>
      </c>
      <c r="C1639" s="3">
        <v>7</v>
      </c>
      <c r="D1639" s="6">
        <v>46.7</v>
      </c>
      <c r="E1639" s="6">
        <v>326.89999999999998</v>
      </c>
      <c r="F1639" s="5">
        <v>45718</v>
      </c>
      <c r="G1639" s="5">
        <v>45720</v>
      </c>
      <c r="H1639" s="3" t="s">
        <v>94</v>
      </c>
      <c r="I1639" s="4" t="s">
        <v>21</v>
      </c>
      <c r="J1639" s="3">
        <v>5</v>
      </c>
      <c r="K1639" s="3" t="s">
        <v>114</v>
      </c>
      <c r="L1639" s="3">
        <v>2</v>
      </c>
      <c r="M1639" s="3">
        <v>10</v>
      </c>
      <c r="N1639" s="3" t="s">
        <v>95</v>
      </c>
    </row>
    <row r="1640" spans="1:14" x14ac:dyDescent="0.3">
      <c r="A1640" s="7" t="s">
        <v>1723</v>
      </c>
      <c r="B1640" s="7" t="s">
        <v>129</v>
      </c>
      <c r="C1640" s="7">
        <v>7</v>
      </c>
      <c r="D1640" s="10">
        <v>21</v>
      </c>
      <c r="E1640" s="10">
        <v>147</v>
      </c>
      <c r="F1640" s="9">
        <v>45718</v>
      </c>
      <c r="G1640" s="9">
        <v>45721</v>
      </c>
      <c r="H1640" s="7" t="s">
        <v>26</v>
      </c>
      <c r="I1640" s="8" t="s">
        <v>45</v>
      </c>
      <c r="J1640" s="7">
        <v>3</v>
      </c>
      <c r="K1640" s="7" t="s">
        <v>121</v>
      </c>
      <c r="L1640" s="7">
        <v>3</v>
      </c>
      <c r="M1640" s="7">
        <v>10</v>
      </c>
      <c r="N1640" s="7" t="s">
        <v>28</v>
      </c>
    </row>
    <row r="1641" spans="1:14" x14ac:dyDescent="0.3">
      <c r="A1641" s="3" t="s">
        <v>1724</v>
      </c>
      <c r="B1641" s="3" t="s">
        <v>42</v>
      </c>
      <c r="C1641" s="3">
        <v>7</v>
      </c>
      <c r="D1641" s="6">
        <v>29.4</v>
      </c>
      <c r="E1641" s="6">
        <v>205.8</v>
      </c>
      <c r="F1641" s="5">
        <v>45718</v>
      </c>
      <c r="G1641" s="5">
        <v>45718</v>
      </c>
      <c r="H1641" s="3" t="s">
        <v>26</v>
      </c>
      <c r="I1641" s="4" t="s">
        <v>56</v>
      </c>
      <c r="J1641" s="3">
        <v>5</v>
      </c>
      <c r="K1641" s="3" t="s">
        <v>121</v>
      </c>
      <c r="L1641" s="3">
        <v>0</v>
      </c>
      <c r="M1641" s="3">
        <v>10</v>
      </c>
      <c r="N1641" s="3" t="s">
        <v>28</v>
      </c>
    </row>
    <row r="1642" spans="1:14" x14ac:dyDescent="0.3">
      <c r="A1642" s="7" t="s">
        <v>1725</v>
      </c>
      <c r="B1642" s="7" t="s">
        <v>129</v>
      </c>
      <c r="C1642" s="7">
        <v>2</v>
      </c>
      <c r="D1642" s="10">
        <v>32.299999999999997</v>
      </c>
      <c r="E1642" s="10">
        <v>64.599999999999994</v>
      </c>
      <c r="F1642" s="9">
        <v>45718</v>
      </c>
      <c r="G1642" s="9">
        <v>45719</v>
      </c>
      <c r="H1642" s="7" t="s">
        <v>26</v>
      </c>
      <c r="I1642" s="8" t="s">
        <v>21</v>
      </c>
      <c r="J1642" s="7">
        <v>5</v>
      </c>
      <c r="K1642" s="7" t="s">
        <v>121</v>
      </c>
      <c r="L1642" s="7">
        <v>1</v>
      </c>
      <c r="M1642" s="7">
        <v>10</v>
      </c>
      <c r="N1642" s="7" t="s">
        <v>28</v>
      </c>
    </row>
    <row r="1643" spans="1:14" x14ac:dyDescent="0.3">
      <c r="A1643" s="3" t="s">
        <v>1726</v>
      </c>
      <c r="B1643" s="3" t="s">
        <v>44</v>
      </c>
      <c r="C1643" s="3">
        <v>1</v>
      </c>
      <c r="D1643" s="6">
        <v>42.2</v>
      </c>
      <c r="E1643" s="6">
        <v>42.2</v>
      </c>
      <c r="F1643" s="5">
        <v>45719</v>
      </c>
      <c r="G1643" s="5">
        <v>45721</v>
      </c>
      <c r="H1643" s="3" t="s">
        <v>31</v>
      </c>
      <c r="I1643" s="4" t="s">
        <v>21</v>
      </c>
      <c r="J1643" s="3">
        <v>5</v>
      </c>
      <c r="K1643" s="3" t="s">
        <v>121</v>
      </c>
      <c r="L1643" s="3">
        <v>2</v>
      </c>
      <c r="M1643" s="3">
        <v>10</v>
      </c>
      <c r="N1643" s="3" t="s">
        <v>33</v>
      </c>
    </row>
    <row r="1644" spans="1:14" x14ac:dyDescent="0.3">
      <c r="A1644" s="7" t="s">
        <v>1727</v>
      </c>
      <c r="B1644" s="7" t="s">
        <v>44</v>
      </c>
      <c r="C1644" s="7">
        <v>1</v>
      </c>
      <c r="D1644" s="10">
        <v>53.7</v>
      </c>
      <c r="E1644" s="10">
        <v>53.7</v>
      </c>
      <c r="F1644" s="9">
        <v>45719</v>
      </c>
      <c r="G1644" s="9">
        <v>45721</v>
      </c>
      <c r="H1644" s="7" t="s">
        <v>26</v>
      </c>
      <c r="I1644" s="8" t="s">
        <v>40</v>
      </c>
      <c r="J1644" s="7">
        <v>3</v>
      </c>
      <c r="K1644" s="7" t="s">
        <v>27</v>
      </c>
      <c r="L1644" s="7">
        <v>2</v>
      </c>
      <c r="M1644" s="7">
        <v>10</v>
      </c>
      <c r="N1644" s="7" t="s">
        <v>28</v>
      </c>
    </row>
    <row r="1645" spans="1:14" x14ac:dyDescent="0.3">
      <c r="A1645" s="3" t="s">
        <v>1728</v>
      </c>
      <c r="B1645" s="3" t="s">
        <v>30</v>
      </c>
      <c r="C1645" s="3">
        <v>2</v>
      </c>
      <c r="D1645" s="6">
        <v>123.9</v>
      </c>
      <c r="E1645" s="6">
        <v>247.8</v>
      </c>
      <c r="F1645" s="5">
        <v>45719</v>
      </c>
      <c r="G1645" s="5">
        <v>45722</v>
      </c>
      <c r="H1645" s="3" t="s">
        <v>26</v>
      </c>
      <c r="I1645" s="4" t="s">
        <v>45</v>
      </c>
      <c r="J1645" s="3">
        <v>4</v>
      </c>
      <c r="K1645" s="3" t="s">
        <v>27</v>
      </c>
      <c r="L1645" s="3">
        <v>3</v>
      </c>
      <c r="M1645" s="3">
        <v>10</v>
      </c>
      <c r="N1645" s="3" t="s">
        <v>28</v>
      </c>
    </row>
    <row r="1646" spans="1:14" x14ac:dyDescent="0.3">
      <c r="A1646" s="7" t="s">
        <v>1729</v>
      </c>
      <c r="B1646" s="7" t="s">
        <v>37</v>
      </c>
      <c r="C1646" s="7">
        <v>3</v>
      </c>
      <c r="D1646" s="10">
        <v>35.9</v>
      </c>
      <c r="E1646" s="10">
        <v>107.7</v>
      </c>
      <c r="F1646" s="9">
        <v>45719</v>
      </c>
      <c r="G1646" s="9">
        <v>45721</v>
      </c>
      <c r="H1646" s="7" t="s">
        <v>26</v>
      </c>
      <c r="I1646" s="8" t="s">
        <v>45</v>
      </c>
      <c r="J1646" s="7">
        <v>4</v>
      </c>
      <c r="K1646" s="7" t="s">
        <v>153</v>
      </c>
      <c r="L1646" s="7">
        <v>2</v>
      </c>
      <c r="M1646" s="7">
        <v>10</v>
      </c>
      <c r="N1646" s="7" t="s">
        <v>28</v>
      </c>
    </row>
    <row r="1647" spans="1:14" x14ac:dyDescent="0.3">
      <c r="A1647" s="3" t="s">
        <v>1730</v>
      </c>
      <c r="B1647" s="3" t="s">
        <v>37</v>
      </c>
      <c r="C1647" s="3">
        <v>2</v>
      </c>
      <c r="D1647" s="6">
        <v>23.6</v>
      </c>
      <c r="E1647" s="6">
        <v>47.2</v>
      </c>
      <c r="F1647" s="5">
        <v>45719</v>
      </c>
      <c r="G1647" s="5">
        <v>45722</v>
      </c>
      <c r="H1647" s="3" t="s">
        <v>26</v>
      </c>
      <c r="I1647" s="4" t="s">
        <v>21</v>
      </c>
      <c r="J1647" s="3">
        <v>5</v>
      </c>
      <c r="K1647" s="3" t="s">
        <v>38</v>
      </c>
      <c r="L1647" s="3">
        <v>3</v>
      </c>
      <c r="M1647" s="3">
        <v>10</v>
      </c>
      <c r="N1647" s="3" t="s">
        <v>28</v>
      </c>
    </row>
    <row r="1648" spans="1:14" x14ac:dyDescent="0.3">
      <c r="A1648" s="7" t="s">
        <v>1731</v>
      </c>
      <c r="B1648" s="7" t="s">
        <v>129</v>
      </c>
      <c r="C1648" s="7">
        <v>35</v>
      </c>
      <c r="D1648" s="10">
        <v>45.7</v>
      </c>
      <c r="E1648" s="10">
        <v>1599.5</v>
      </c>
      <c r="F1648" s="9">
        <v>45719</v>
      </c>
      <c r="G1648" s="9">
        <v>45720</v>
      </c>
      <c r="H1648" s="7" t="s">
        <v>26</v>
      </c>
      <c r="I1648" s="8" t="s">
        <v>21</v>
      </c>
      <c r="J1648" s="7">
        <v>3</v>
      </c>
      <c r="K1648" s="7" t="s">
        <v>38</v>
      </c>
      <c r="L1648" s="7">
        <v>1</v>
      </c>
      <c r="M1648" s="7">
        <v>10</v>
      </c>
      <c r="N1648" s="7" t="s">
        <v>28</v>
      </c>
    </row>
    <row r="1649" spans="1:14" x14ac:dyDescent="0.3">
      <c r="A1649" s="3" t="s">
        <v>1732</v>
      </c>
      <c r="B1649" s="3" t="s">
        <v>44</v>
      </c>
      <c r="C1649" s="3">
        <v>11</v>
      </c>
      <c r="D1649" s="6">
        <v>118.3</v>
      </c>
      <c r="E1649" s="6">
        <v>1301.3</v>
      </c>
      <c r="F1649" s="5">
        <v>45719</v>
      </c>
      <c r="G1649" s="5">
        <v>45721</v>
      </c>
      <c r="H1649" s="3" t="s">
        <v>26</v>
      </c>
      <c r="I1649" s="4" t="s">
        <v>75</v>
      </c>
      <c r="J1649" s="3">
        <v>5</v>
      </c>
      <c r="K1649" s="3" t="s">
        <v>38</v>
      </c>
      <c r="L1649" s="3">
        <v>2</v>
      </c>
      <c r="M1649" s="3">
        <v>10</v>
      </c>
      <c r="N1649" s="3" t="s">
        <v>28</v>
      </c>
    </row>
    <row r="1650" spans="1:14" x14ac:dyDescent="0.3">
      <c r="A1650" s="7" t="s">
        <v>1733</v>
      </c>
      <c r="B1650" s="7" t="s">
        <v>177</v>
      </c>
      <c r="C1650" s="7">
        <v>1</v>
      </c>
      <c r="D1650" s="10">
        <v>36</v>
      </c>
      <c r="E1650" s="10">
        <v>36</v>
      </c>
      <c r="F1650" s="9">
        <v>45719</v>
      </c>
      <c r="G1650" s="9">
        <v>45720</v>
      </c>
      <c r="H1650" s="7" t="s">
        <v>31</v>
      </c>
      <c r="I1650" s="8" t="s">
        <v>21</v>
      </c>
      <c r="J1650" s="7">
        <v>3</v>
      </c>
      <c r="K1650" s="7" t="s">
        <v>38</v>
      </c>
      <c r="L1650" s="7">
        <v>1</v>
      </c>
      <c r="M1650" s="7">
        <v>10</v>
      </c>
      <c r="N1650" s="7" t="s">
        <v>33</v>
      </c>
    </row>
    <row r="1651" spans="1:14" x14ac:dyDescent="0.3">
      <c r="A1651" s="3" t="s">
        <v>1734</v>
      </c>
      <c r="B1651" s="3" t="s">
        <v>49</v>
      </c>
      <c r="C1651" s="3">
        <v>2</v>
      </c>
      <c r="D1651" s="6">
        <v>37.1</v>
      </c>
      <c r="E1651" s="6">
        <v>74.2</v>
      </c>
      <c r="F1651" s="5">
        <v>45719</v>
      </c>
      <c r="G1651" s="5">
        <v>45722</v>
      </c>
      <c r="H1651" s="3" t="s">
        <v>31</v>
      </c>
      <c r="I1651" s="4" t="s">
        <v>45</v>
      </c>
      <c r="J1651" s="3">
        <v>4</v>
      </c>
      <c r="K1651" s="3" t="s">
        <v>38</v>
      </c>
      <c r="L1651" s="3">
        <v>3</v>
      </c>
      <c r="M1651" s="3">
        <v>10</v>
      </c>
      <c r="N1651" s="3" t="s">
        <v>33</v>
      </c>
    </row>
    <row r="1652" spans="1:14" x14ac:dyDescent="0.3">
      <c r="A1652" s="7" t="s">
        <v>1735</v>
      </c>
      <c r="B1652" s="7" t="s">
        <v>152</v>
      </c>
      <c r="C1652" s="7">
        <v>3</v>
      </c>
      <c r="D1652" s="10">
        <v>45.1</v>
      </c>
      <c r="E1652" s="10">
        <v>135.30000000000001</v>
      </c>
      <c r="F1652" s="9">
        <v>45719</v>
      </c>
      <c r="G1652" s="9">
        <v>45721</v>
      </c>
      <c r="H1652" s="7" t="s">
        <v>31</v>
      </c>
      <c r="I1652" s="8" t="s">
        <v>40</v>
      </c>
      <c r="J1652" s="7">
        <v>5</v>
      </c>
      <c r="K1652" s="7" t="s">
        <v>38</v>
      </c>
      <c r="L1652" s="7">
        <v>2</v>
      </c>
      <c r="M1652" s="7">
        <v>10</v>
      </c>
      <c r="N1652" s="7" t="s">
        <v>33</v>
      </c>
    </row>
    <row r="1653" spans="1:14" x14ac:dyDescent="0.3">
      <c r="A1653" s="3" t="s">
        <v>1736</v>
      </c>
      <c r="B1653" s="3" t="s">
        <v>42</v>
      </c>
      <c r="C1653" s="3">
        <v>16</v>
      </c>
      <c r="D1653" s="6">
        <v>37.9</v>
      </c>
      <c r="E1653" s="6">
        <v>606.4</v>
      </c>
      <c r="F1653" s="5">
        <v>45719</v>
      </c>
      <c r="G1653" s="5">
        <v>45720</v>
      </c>
      <c r="H1653" s="3" t="s">
        <v>31</v>
      </c>
      <c r="I1653" s="4" t="s">
        <v>56</v>
      </c>
      <c r="J1653" s="3">
        <v>5</v>
      </c>
      <c r="K1653" s="3" t="s">
        <v>38</v>
      </c>
      <c r="L1653" s="3">
        <v>1</v>
      </c>
      <c r="M1653" s="3">
        <v>10</v>
      </c>
      <c r="N1653" s="3" t="s">
        <v>33</v>
      </c>
    </row>
    <row r="1654" spans="1:14" x14ac:dyDescent="0.3">
      <c r="A1654" s="7" t="s">
        <v>1737</v>
      </c>
      <c r="B1654" s="7" t="s">
        <v>30</v>
      </c>
      <c r="C1654" s="7">
        <v>2</v>
      </c>
      <c r="D1654" s="10">
        <v>121.6</v>
      </c>
      <c r="E1654" s="10">
        <v>243.2</v>
      </c>
      <c r="F1654" s="9">
        <v>45719</v>
      </c>
      <c r="G1654" s="9">
        <v>45722</v>
      </c>
      <c r="H1654" s="7" t="s">
        <v>26</v>
      </c>
      <c r="I1654" s="8" t="s">
        <v>56</v>
      </c>
      <c r="J1654" s="7">
        <v>5</v>
      </c>
      <c r="K1654" s="7" t="s">
        <v>38</v>
      </c>
      <c r="L1654" s="7">
        <v>3</v>
      </c>
      <c r="M1654" s="7">
        <v>10</v>
      </c>
      <c r="N1654" s="7" t="s">
        <v>28</v>
      </c>
    </row>
    <row r="1655" spans="1:14" x14ac:dyDescent="0.3">
      <c r="A1655" s="3" t="s">
        <v>1738</v>
      </c>
      <c r="B1655" s="3" t="s">
        <v>42</v>
      </c>
      <c r="C1655" s="3">
        <v>7</v>
      </c>
      <c r="D1655" s="6">
        <v>38.200000000000003</v>
      </c>
      <c r="E1655" s="6">
        <v>267.39999999999998</v>
      </c>
      <c r="F1655" s="5">
        <v>45719</v>
      </c>
      <c r="G1655" s="5">
        <v>45722</v>
      </c>
      <c r="H1655" s="3" t="s">
        <v>31</v>
      </c>
      <c r="I1655" s="4" t="s">
        <v>21</v>
      </c>
      <c r="J1655" s="3">
        <v>4</v>
      </c>
      <c r="K1655" s="3" t="s">
        <v>38</v>
      </c>
      <c r="L1655" s="3">
        <v>3</v>
      </c>
      <c r="M1655" s="3">
        <v>10</v>
      </c>
      <c r="N1655" s="3" t="s">
        <v>33</v>
      </c>
    </row>
    <row r="1656" spans="1:14" x14ac:dyDescent="0.3">
      <c r="A1656" s="7" t="s">
        <v>1739</v>
      </c>
      <c r="B1656" s="7" t="s">
        <v>141</v>
      </c>
      <c r="C1656" s="7">
        <v>2</v>
      </c>
      <c r="D1656" s="10">
        <v>37.200000000000003</v>
      </c>
      <c r="E1656" s="10">
        <v>74.400000000000006</v>
      </c>
      <c r="F1656" s="9">
        <v>45719</v>
      </c>
      <c r="G1656" s="9">
        <v>45722</v>
      </c>
      <c r="H1656" s="7" t="s">
        <v>26</v>
      </c>
      <c r="I1656" s="8" t="s">
        <v>75</v>
      </c>
      <c r="J1656" s="7">
        <v>4</v>
      </c>
      <c r="K1656" s="7" t="s">
        <v>38</v>
      </c>
      <c r="L1656" s="7">
        <v>3</v>
      </c>
      <c r="M1656" s="7">
        <v>10</v>
      </c>
      <c r="N1656" s="7" t="s">
        <v>28</v>
      </c>
    </row>
    <row r="1657" spans="1:14" x14ac:dyDescent="0.3">
      <c r="A1657" s="3" t="s">
        <v>1740</v>
      </c>
      <c r="B1657" s="3" t="s">
        <v>30</v>
      </c>
      <c r="C1657" s="3">
        <v>4</v>
      </c>
      <c r="D1657" s="6">
        <v>115.7</v>
      </c>
      <c r="E1657" s="6">
        <v>462.8</v>
      </c>
      <c r="F1657" s="5">
        <v>45719</v>
      </c>
      <c r="G1657" s="5">
        <v>45722</v>
      </c>
      <c r="H1657" s="3" t="s">
        <v>31</v>
      </c>
      <c r="I1657" s="4" t="s">
        <v>40</v>
      </c>
      <c r="J1657" s="3">
        <v>4</v>
      </c>
      <c r="K1657" s="3" t="s">
        <v>38</v>
      </c>
      <c r="L1657" s="3">
        <v>3</v>
      </c>
      <c r="M1657" s="3">
        <v>10</v>
      </c>
      <c r="N1657" s="3" t="s">
        <v>33</v>
      </c>
    </row>
    <row r="1658" spans="1:14" x14ac:dyDescent="0.3">
      <c r="A1658" s="7" t="s">
        <v>1741</v>
      </c>
      <c r="B1658" s="7" t="s">
        <v>30</v>
      </c>
      <c r="C1658" s="7">
        <v>6</v>
      </c>
      <c r="D1658" s="10">
        <v>99.4</v>
      </c>
      <c r="E1658" s="10">
        <v>596.40000000000009</v>
      </c>
      <c r="F1658" s="9">
        <v>45719</v>
      </c>
      <c r="G1658" s="9">
        <v>45722</v>
      </c>
      <c r="H1658" s="7" t="s">
        <v>26</v>
      </c>
      <c r="I1658" s="8" t="s">
        <v>21</v>
      </c>
      <c r="J1658" s="7">
        <v>5</v>
      </c>
      <c r="K1658" s="7" t="s">
        <v>38</v>
      </c>
      <c r="L1658" s="7">
        <v>3</v>
      </c>
      <c r="M1658" s="7">
        <v>10</v>
      </c>
      <c r="N1658" s="7" t="s">
        <v>28</v>
      </c>
    </row>
    <row r="1659" spans="1:14" x14ac:dyDescent="0.3">
      <c r="A1659" s="3" t="s">
        <v>1742</v>
      </c>
      <c r="B1659" s="3" t="s">
        <v>72</v>
      </c>
      <c r="C1659" s="3">
        <v>1</v>
      </c>
      <c r="D1659" s="6">
        <v>38.700000000000003</v>
      </c>
      <c r="E1659" s="6">
        <v>38.700000000000003</v>
      </c>
      <c r="F1659" s="5">
        <v>45719</v>
      </c>
      <c r="G1659" s="5">
        <v>45720</v>
      </c>
      <c r="H1659" s="3" t="s">
        <v>31</v>
      </c>
      <c r="I1659" s="4" t="s">
        <v>45</v>
      </c>
      <c r="J1659" s="3">
        <v>4</v>
      </c>
      <c r="K1659" s="3" t="s">
        <v>194</v>
      </c>
      <c r="L1659" s="3">
        <v>1</v>
      </c>
      <c r="M1659" s="3">
        <v>10</v>
      </c>
      <c r="N1659" s="3" t="s">
        <v>33</v>
      </c>
    </row>
    <row r="1660" spans="1:14" x14ac:dyDescent="0.3">
      <c r="A1660" s="7" t="s">
        <v>1743</v>
      </c>
      <c r="B1660" s="7" t="s">
        <v>37</v>
      </c>
      <c r="C1660" s="7">
        <v>2</v>
      </c>
      <c r="D1660" s="10">
        <v>35.5</v>
      </c>
      <c r="E1660" s="10">
        <v>71</v>
      </c>
      <c r="F1660" s="9">
        <v>45719</v>
      </c>
      <c r="G1660" s="9">
        <v>45722</v>
      </c>
      <c r="H1660" s="7" t="s">
        <v>26</v>
      </c>
      <c r="I1660" s="8" t="s">
        <v>21</v>
      </c>
      <c r="J1660" s="7">
        <v>5</v>
      </c>
      <c r="K1660" s="7" t="s">
        <v>194</v>
      </c>
      <c r="L1660" s="7">
        <v>3</v>
      </c>
      <c r="M1660" s="7">
        <v>10</v>
      </c>
      <c r="N1660" s="7" t="s">
        <v>28</v>
      </c>
    </row>
    <row r="1661" spans="1:14" x14ac:dyDescent="0.3">
      <c r="A1661" s="3" t="s">
        <v>1744</v>
      </c>
      <c r="B1661" s="3" t="s">
        <v>30</v>
      </c>
      <c r="C1661" s="3">
        <v>4</v>
      </c>
      <c r="D1661" s="6">
        <v>93.3</v>
      </c>
      <c r="E1661" s="6">
        <v>373.2</v>
      </c>
      <c r="F1661" s="5">
        <v>45719</v>
      </c>
      <c r="G1661" s="5">
        <v>45722</v>
      </c>
      <c r="H1661" s="3" t="s">
        <v>31</v>
      </c>
      <c r="I1661" s="4" t="s">
        <v>21</v>
      </c>
      <c r="J1661" s="3">
        <v>5</v>
      </c>
      <c r="K1661" s="3" t="s">
        <v>60</v>
      </c>
      <c r="L1661" s="3">
        <v>3</v>
      </c>
      <c r="M1661" s="3">
        <v>10</v>
      </c>
      <c r="N1661" s="3" t="s">
        <v>33</v>
      </c>
    </row>
    <row r="1662" spans="1:14" x14ac:dyDescent="0.3">
      <c r="A1662" s="7" t="s">
        <v>1745</v>
      </c>
      <c r="B1662" s="7" t="s">
        <v>134</v>
      </c>
      <c r="C1662" s="7">
        <v>1</v>
      </c>
      <c r="D1662" s="10">
        <v>31.4</v>
      </c>
      <c r="E1662" s="10">
        <v>31.4</v>
      </c>
      <c r="F1662" s="9">
        <v>45719</v>
      </c>
      <c r="G1662" s="9">
        <v>45724</v>
      </c>
      <c r="H1662" s="7" t="s">
        <v>31</v>
      </c>
      <c r="I1662" s="8" t="s">
        <v>45</v>
      </c>
      <c r="J1662" s="7">
        <v>5</v>
      </c>
      <c r="K1662" s="7" t="s">
        <v>60</v>
      </c>
      <c r="L1662" s="7">
        <v>5</v>
      </c>
      <c r="M1662" s="7">
        <v>10</v>
      </c>
      <c r="N1662" s="7" t="s">
        <v>33</v>
      </c>
    </row>
    <row r="1663" spans="1:14" x14ac:dyDescent="0.3">
      <c r="A1663" s="3" t="s">
        <v>1746</v>
      </c>
      <c r="B1663" s="3" t="s">
        <v>25</v>
      </c>
      <c r="C1663" s="3">
        <v>1</v>
      </c>
      <c r="D1663" s="6">
        <v>85.9</v>
      </c>
      <c r="E1663" s="6">
        <v>85.9</v>
      </c>
      <c r="F1663" s="5">
        <v>45719</v>
      </c>
      <c r="G1663" s="5">
        <v>45722</v>
      </c>
      <c r="H1663" s="3" t="s">
        <v>26</v>
      </c>
      <c r="I1663" s="4" t="s">
        <v>40</v>
      </c>
      <c r="J1663" s="3">
        <v>4</v>
      </c>
      <c r="K1663" s="3" t="s">
        <v>60</v>
      </c>
      <c r="L1663" s="3">
        <v>3</v>
      </c>
      <c r="M1663" s="3">
        <v>10</v>
      </c>
      <c r="N1663" s="3" t="s">
        <v>28</v>
      </c>
    </row>
    <row r="1664" spans="1:14" x14ac:dyDescent="0.3">
      <c r="A1664" s="7" t="s">
        <v>1747</v>
      </c>
      <c r="B1664" s="7" t="s">
        <v>44</v>
      </c>
      <c r="C1664" s="7">
        <v>8</v>
      </c>
      <c r="D1664" s="10">
        <v>41.7</v>
      </c>
      <c r="E1664" s="10">
        <v>333.6</v>
      </c>
      <c r="F1664" s="9">
        <v>45719</v>
      </c>
      <c r="G1664" s="9">
        <v>45727</v>
      </c>
      <c r="H1664" s="7" t="s">
        <v>26</v>
      </c>
      <c r="I1664" s="8" t="s">
        <v>21</v>
      </c>
      <c r="J1664" s="7">
        <v>5</v>
      </c>
      <c r="K1664" s="7" t="s">
        <v>64</v>
      </c>
      <c r="L1664" s="7">
        <v>8</v>
      </c>
      <c r="M1664" s="7">
        <v>10</v>
      </c>
      <c r="N1664" s="7" t="s">
        <v>28</v>
      </c>
    </row>
    <row r="1665" spans="1:14" x14ac:dyDescent="0.3">
      <c r="A1665" s="3" t="s">
        <v>1748</v>
      </c>
      <c r="B1665" s="3" t="s">
        <v>49</v>
      </c>
      <c r="C1665" s="3">
        <v>4</v>
      </c>
      <c r="D1665" s="6">
        <v>31.5</v>
      </c>
      <c r="E1665" s="6">
        <v>126</v>
      </c>
      <c r="F1665" s="5">
        <v>45719</v>
      </c>
      <c r="G1665" s="5">
        <v>45720</v>
      </c>
      <c r="H1665" s="3" t="s">
        <v>31</v>
      </c>
      <c r="I1665" s="4" t="s">
        <v>21</v>
      </c>
      <c r="J1665" s="3">
        <v>4</v>
      </c>
      <c r="K1665" s="3" t="s">
        <v>64</v>
      </c>
      <c r="L1665" s="3">
        <v>1</v>
      </c>
      <c r="M1665" s="3">
        <v>10</v>
      </c>
      <c r="N1665" s="3" t="s">
        <v>33</v>
      </c>
    </row>
    <row r="1666" spans="1:14" x14ac:dyDescent="0.3">
      <c r="A1666" s="7" t="s">
        <v>1749</v>
      </c>
      <c r="B1666" s="7" t="s">
        <v>49</v>
      </c>
      <c r="C1666" s="7">
        <v>2</v>
      </c>
      <c r="D1666" s="10">
        <v>36.299999999999997</v>
      </c>
      <c r="E1666" s="10">
        <v>72.599999999999994</v>
      </c>
      <c r="F1666" s="9">
        <v>45719</v>
      </c>
      <c r="G1666" s="9">
        <v>45720</v>
      </c>
      <c r="H1666" s="7" t="s">
        <v>31</v>
      </c>
      <c r="I1666" s="8" t="s">
        <v>21</v>
      </c>
      <c r="J1666" s="7">
        <v>2</v>
      </c>
      <c r="K1666" s="7" t="s">
        <v>67</v>
      </c>
      <c r="L1666" s="7">
        <v>1</v>
      </c>
      <c r="M1666" s="7">
        <v>10</v>
      </c>
      <c r="N1666" s="7" t="s">
        <v>33</v>
      </c>
    </row>
    <row r="1667" spans="1:14" x14ac:dyDescent="0.3">
      <c r="A1667" s="3" t="s">
        <v>1750</v>
      </c>
      <c r="B1667" s="3" t="s">
        <v>49</v>
      </c>
      <c r="C1667" s="3">
        <v>3</v>
      </c>
      <c r="D1667" s="6">
        <v>33.4</v>
      </c>
      <c r="E1667" s="6">
        <v>100.2</v>
      </c>
      <c r="F1667" s="5">
        <v>45719</v>
      </c>
      <c r="G1667" s="5">
        <v>45720</v>
      </c>
      <c r="H1667" s="3" t="s">
        <v>31</v>
      </c>
      <c r="I1667" s="4" t="s">
        <v>56</v>
      </c>
      <c r="J1667" s="3">
        <v>4</v>
      </c>
      <c r="K1667" s="3" t="s">
        <v>109</v>
      </c>
      <c r="L1667" s="3">
        <v>1</v>
      </c>
      <c r="M1667" s="3">
        <v>10</v>
      </c>
      <c r="N1667" s="3" t="s">
        <v>33</v>
      </c>
    </row>
    <row r="1668" spans="1:14" x14ac:dyDescent="0.3">
      <c r="A1668" s="7" t="s">
        <v>1751</v>
      </c>
      <c r="B1668" s="7" t="s">
        <v>30</v>
      </c>
      <c r="C1668" s="7">
        <v>3</v>
      </c>
      <c r="D1668" s="10">
        <v>65.2</v>
      </c>
      <c r="E1668" s="10">
        <v>195.6</v>
      </c>
      <c r="F1668" s="9">
        <v>45719</v>
      </c>
      <c r="G1668" s="9">
        <v>45720</v>
      </c>
      <c r="H1668" s="7" t="s">
        <v>31</v>
      </c>
      <c r="I1668" s="8" t="s">
        <v>45</v>
      </c>
      <c r="J1668" s="7">
        <v>5</v>
      </c>
      <c r="K1668" s="7" t="s">
        <v>207</v>
      </c>
      <c r="L1668" s="7">
        <v>1</v>
      </c>
      <c r="M1668" s="7">
        <v>10</v>
      </c>
      <c r="N1668" s="7" t="s">
        <v>33</v>
      </c>
    </row>
    <row r="1669" spans="1:14" x14ac:dyDescent="0.3">
      <c r="A1669" s="3" t="s">
        <v>1752</v>
      </c>
      <c r="B1669" s="3" t="s">
        <v>49</v>
      </c>
      <c r="C1669" s="3">
        <v>9</v>
      </c>
      <c r="D1669" s="6">
        <v>65.5</v>
      </c>
      <c r="E1669" s="6">
        <v>589.5</v>
      </c>
      <c r="F1669" s="5">
        <v>45719</v>
      </c>
      <c r="G1669" s="5">
        <v>45722</v>
      </c>
      <c r="H1669" s="3" t="s">
        <v>31</v>
      </c>
      <c r="I1669" s="4" t="s">
        <v>21</v>
      </c>
      <c r="J1669" s="3">
        <v>5</v>
      </c>
      <c r="K1669" s="3" t="s">
        <v>77</v>
      </c>
      <c r="L1669" s="3">
        <v>3</v>
      </c>
      <c r="M1669" s="3">
        <v>10</v>
      </c>
      <c r="N1669" s="3" t="s">
        <v>33</v>
      </c>
    </row>
    <row r="1670" spans="1:14" x14ac:dyDescent="0.3">
      <c r="A1670" s="7" t="s">
        <v>1753</v>
      </c>
      <c r="B1670" s="7" t="s">
        <v>44</v>
      </c>
      <c r="C1670" s="7">
        <v>3</v>
      </c>
      <c r="D1670" s="10">
        <v>52.8</v>
      </c>
      <c r="E1670" s="10">
        <v>158.4</v>
      </c>
      <c r="F1670" s="9">
        <v>45719</v>
      </c>
      <c r="G1670" s="9">
        <v>45722</v>
      </c>
      <c r="H1670" s="7" t="s">
        <v>26</v>
      </c>
      <c r="I1670" s="8" t="s">
        <v>45</v>
      </c>
      <c r="J1670" s="7">
        <v>4</v>
      </c>
      <c r="K1670" s="7" t="s">
        <v>77</v>
      </c>
      <c r="L1670" s="7">
        <v>3</v>
      </c>
      <c r="M1670" s="7">
        <v>10</v>
      </c>
      <c r="N1670" s="7" t="s">
        <v>28</v>
      </c>
    </row>
    <row r="1671" spans="1:14" x14ac:dyDescent="0.3">
      <c r="A1671" s="3" t="s">
        <v>1754</v>
      </c>
      <c r="B1671" s="3" t="s">
        <v>51</v>
      </c>
      <c r="C1671" s="3">
        <v>5</v>
      </c>
      <c r="D1671" s="6">
        <v>24</v>
      </c>
      <c r="E1671" s="6">
        <v>120</v>
      </c>
      <c r="F1671" s="5">
        <v>45719</v>
      </c>
      <c r="G1671" s="5">
        <v>45723</v>
      </c>
      <c r="H1671" s="3" t="s">
        <v>26</v>
      </c>
      <c r="I1671" s="4" t="s">
        <v>21</v>
      </c>
      <c r="J1671" s="3">
        <v>3</v>
      </c>
      <c r="K1671" s="3" t="s">
        <v>82</v>
      </c>
      <c r="L1671" s="3">
        <v>4</v>
      </c>
      <c r="M1671" s="3">
        <v>10</v>
      </c>
      <c r="N1671" s="3" t="s">
        <v>28</v>
      </c>
    </row>
    <row r="1672" spans="1:14" x14ac:dyDescent="0.3">
      <c r="A1672" s="7" t="s">
        <v>1755</v>
      </c>
      <c r="B1672" s="7" t="s">
        <v>35</v>
      </c>
      <c r="C1672" s="7">
        <v>3</v>
      </c>
      <c r="D1672" s="10">
        <v>51.2</v>
      </c>
      <c r="E1672" s="10">
        <v>153.6</v>
      </c>
      <c r="F1672" s="9">
        <v>45719</v>
      </c>
      <c r="G1672" s="9">
        <v>45720</v>
      </c>
      <c r="H1672" s="7" t="s">
        <v>31</v>
      </c>
      <c r="I1672" s="8" t="s">
        <v>21</v>
      </c>
      <c r="J1672" s="7">
        <v>4</v>
      </c>
      <c r="K1672" s="7" t="s">
        <v>315</v>
      </c>
      <c r="L1672" s="7">
        <v>1</v>
      </c>
      <c r="M1672" s="7">
        <v>10</v>
      </c>
      <c r="N1672" s="7" t="s">
        <v>33</v>
      </c>
    </row>
    <row r="1673" spans="1:14" x14ac:dyDescent="0.3">
      <c r="A1673" s="3" t="s">
        <v>1756</v>
      </c>
      <c r="B1673" s="3" t="s">
        <v>42</v>
      </c>
      <c r="C1673" s="3">
        <v>3</v>
      </c>
      <c r="D1673" s="6">
        <v>28.3</v>
      </c>
      <c r="E1673" s="6">
        <v>84.9</v>
      </c>
      <c r="F1673" s="5">
        <v>45719</v>
      </c>
      <c r="G1673" s="5">
        <v>45721</v>
      </c>
      <c r="H1673" s="3" t="s">
        <v>26</v>
      </c>
      <c r="I1673" s="4" t="s">
        <v>75</v>
      </c>
      <c r="J1673" s="3">
        <v>4</v>
      </c>
      <c r="K1673" s="3" t="s">
        <v>116</v>
      </c>
      <c r="L1673" s="3">
        <v>2</v>
      </c>
      <c r="M1673" s="3">
        <v>10</v>
      </c>
      <c r="N1673" s="3" t="s">
        <v>28</v>
      </c>
    </row>
    <row r="1674" spans="1:14" x14ac:dyDescent="0.3">
      <c r="A1674" s="7" t="s">
        <v>1757</v>
      </c>
      <c r="B1674" s="7" t="s">
        <v>44</v>
      </c>
      <c r="C1674" s="7">
        <v>3</v>
      </c>
      <c r="D1674" s="10">
        <v>42.3</v>
      </c>
      <c r="E1674" s="10">
        <v>126.9</v>
      </c>
      <c r="F1674" s="9">
        <v>45719</v>
      </c>
      <c r="G1674" s="9">
        <v>45719</v>
      </c>
      <c r="H1674" s="7" t="s">
        <v>31</v>
      </c>
      <c r="I1674" s="8" t="s">
        <v>45</v>
      </c>
      <c r="J1674" s="7">
        <v>3</v>
      </c>
      <c r="K1674" s="7" t="s">
        <v>116</v>
      </c>
      <c r="L1674" s="7">
        <v>0</v>
      </c>
      <c r="M1674" s="7">
        <v>10</v>
      </c>
      <c r="N1674" s="7" t="s">
        <v>33</v>
      </c>
    </row>
    <row r="1675" spans="1:14" x14ac:dyDescent="0.3">
      <c r="A1675" s="3" t="s">
        <v>1758</v>
      </c>
      <c r="B1675" s="3" t="s">
        <v>30</v>
      </c>
      <c r="C1675" s="3">
        <v>8</v>
      </c>
      <c r="D1675" s="6">
        <v>163.30000000000001</v>
      </c>
      <c r="E1675" s="6">
        <v>1306.4000000000001</v>
      </c>
      <c r="F1675" s="5">
        <v>45720</v>
      </c>
      <c r="G1675" s="5">
        <v>45721</v>
      </c>
      <c r="H1675" s="3" t="s">
        <v>31</v>
      </c>
      <c r="I1675" s="4" t="s">
        <v>40</v>
      </c>
      <c r="J1675" s="3">
        <v>4</v>
      </c>
      <c r="K1675" s="3" t="s">
        <v>87</v>
      </c>
      <c r="L1675" s="3">
        <v>1</v>
      </c>
      <c r="M1675" s="3">
        <v>10</v>
      </c>
      <c r="N1675" s="3" t="s">
        <v>33</v>
      </c>
    </row>
    <row r="1676" spans="1:14" x14ac:dyDescent="0.3">
      <c r="A1676" s="7" t="s">
        <v>1759</v>
      </c>
      <c r="B1676" s="7" t="s">
        <v>44</v>
      </c>
      <c r="C1676" s="7">
        <v>7</v>
      </c>
      <c r="D1676" s="10">
        <v>47.3</v>
      </c>
      <c r="E1676" s="10">
        <v>331.1</v>
      </c>
      <c r="F1676" s="9">
        <v>45720</v>
      </c>
      <c r="G1676" s="9">
        <v>45723</v>
      </c>
      <c r="H1676" s="7" t="s">
        <v>31</v>
      </c>
      <c r="I1676" s="8" t="s">
        <v>75</v>
      </c>
      <c r="J1676" s="7">
        <v>3</v>
      </c>
      <c r="K1676" s="7" t="s">
        <v>121</v>
      </c>
      <c r="L1676" s="7">
        <v>3</v>
      </c>
      <c r="M1676" s="7">
        <v>10</v>
      </c>
      <c r="N1676" s="7" t="s">
        <v>33</v>
      </c>
    </row>
    <row r="1677" spans="1:14" x14ac:dyDescent="0.3">
      <c r="A1677" s="3" t="s">
        <v>1760</v>
      </c>
      <c r="B1677" s="3" t="s">
        <v>49</v>
      </c>
      <c r="C1677" s="3">
        <v>16</v>
      </c>
      <c r="D1677" s="6">
        <v>27.3</v>
      </c>
      <c r="E1677" s="6">
        <v>436.8</v>
      </c>
      <c r="F1677" s="5">
        <v>45720</v>
      </c>
      <c r="G1677" s="5">
        <v>45721</v>
      </c>
      <c r="H1677" s="3" t="s">
        <v>31</v>
      </c>
      <c r="I1677" s="4" t="s">
        <v>45</v>
      </c>
      <c r="J1677" s="3">
        <v>4</v>
      </c>
      <c r="K1677" s="3" t="s">
        <v>121</v>
      </c>
      <c r="L1677" s="3">
        <v>1</v>
      </c>
      <c r="M1677" s="3">
        <v>10</v>
      </c>
      <c r="N1677" s="3" t="s">
        <v>33</v>
      </c>
    </row>
    <row r="1678" spans="1:14" x14ac:dyDescent="0.3">
      <c r="A1678" s="7" t="s">
        <v>1761</v>
      </c>
      <c r="B1678" s="7" t="s">
        <v>59</v>
      </c>
      <c r="C1678" s="7">
        <v>6</v>
      </c>
      <c r="D1678" s="10">
        <v>34.9</v>
      </c>
      <c r="E1678" s="10">
        <v>209.4</v>
      </c>
      <c r="F1678" s="9">
        <v>45720</v>
      </c>
      <c r="G1678" s="9">
        <v>45731</v>
      </c>
      <c r="H1678" s="7" t="s">
        <v>31</v>
      </c>
      <c r="I1678" s="8" t="s">
        <v>21</v>
      </c>
      <c r="J1678" s="7">
        <v>4</v>
      </c>
      <c r="K1678" s="7" t="s">
        <v>121</v>
      </c>
      <c r="L1678" s="7">
        <v>11</v>
      </c>
      <c r="M1678" s="7">
        <v>10</v>
      </c>
      <c r="N1678" s="7" t="s">
        <v>33</v>
      </c>
    </row>
    <row r="1679" spans="1:14" x14ac:dyDescent="0.3">
      <c r="A1679" s="3" t="s">
        <v>1762</v>
      </c>
      <c r="B1679" s="3" t="s">
        <v>44</v>
      </c>
      <c r="C1679" s="3">
        <v>2</v>
      </c>
      <c r="D1679" s="6">
        <v>53.9</v>
      </c>
      <c r="E1679" s="6">
        <v>107.8</v>
      </c>
      <c r="F1679" s="5">
        <v>45720</v>
      </c>
      <c r="G1679" s="5">
        <v>45723</v>
      </c>
      <c r="H1679" s="3" t="s">
        <v>94</v>
      </c>
      <c r="I1679" s="4" t="s">
        <v>21</v>
      </c>
      <c r="J1679" s="3">
        <v>2</v>
      </c>
      <c r="K1679" s="3" t="s">
        <v>27</v>
      </c>
      <c r="L1679" s="3">
        <v>3</v>
      </c>
      <c r="M1679" s="3">
        <v>10</v>
      </c>
      <c r="N1679" s="3" t="s">
        <v>95</v>
      </c>
    </row>
    <row r="1680" spans="1:14" x14ac:dyDescent="0.3">
      <c r="A1680" s="7" t="s">
        <v>1763</v>
      </c>
      <c r="B1680" s="7" t="s">
        <v>30</v>
      </c>
      <c r="C1680" s="7">
        <v>2</v>
      </c>
      <c r="D1680" s="10">
        <v>87.2</v>
      </c>
      <c r="E1680" s="10">
        <v>174.4</v>
      </c>
      <c r="F1680" s="9">
        <v>45720</v>
      </c>
      <c r="G1680" s="9">
        <v>45721</v>
      </c>
      <c r="H1680" s="7" t="s">
        <v>31</v>
      </c>
      <c r="I1680" s="8" t="s">
        <v>21</v>
      </c>
      <c r="J1680" s="7">
        <v>3</v>
      </c>
      <c r="K1680" s="7" t="s">
        <v>27</v>
      </c>
      <c r="L1680" s="7">
        <v>1</v>
      </c>
      <c r="M1680" s="7">
        <v>10</v>
      </c>
      <c r="N1680" s="7" t="s">
        <v>33</v>
      </c>
    </row>
    <row r="1681" spans="1:14" x14ac:dyDescent="0.3">
      <c r="A1681" s="3" t="s">
        <v>1764</v>
      </c>
      <c r="B1681" s="3" t="s">
        <v>129</v>
      </c>
      <c r="C1681" s="3">
        <v>1</v>
      </c>
      <c r="D1681" s="6">
        <v>58.8</v>
      </c>
      <c r="E1681" s="6">
        <v>58.8</v>
      </c>
      <c r="F1681" s="5">
        <v>45720</v>
      </c>
      <c r="G1681" s="5">
        <v>45722</v>
      </c>
      <c r="H1681" s="3" t="s">
        <v>31</v>
      </c>
      <c r="I1681" s="4" t="s">
        <v>45</v>
      </c>
      <c r="J1681" s="3">
        <v>4</v>
      </c>
      <c r="K1681" s="3" t="s">
        <v>119</v>
      </c>
      <c r="L1681" s="3">
        <v>2</v>
      </c>
      <c r="M1681" s="3">
        <v>10</v>
      </c>
      <c r="N1681" s="3" t="s">
        <v>33</v>
      </c>
    </row>
    <row r="1682" spans="1:14" x14ac:dyDescent="0.3">
      <c r="A1682" s="7" t="s">
        <v>1765</v>
      </c>
      <c r="B1682" s="7" t="s">
        <v>30</v>
      </c>
      <c r="C1682" s="7">
        <v>7</v>
      </c>
      <c r="D1682" s="10">
        <v>125.5</v>
      </c>
      <c r="E1682" s="10">
        <v>878.5</v>
      </c>
      <c r="F1682" s="9">
        <v>45720</v>
      </c>
      <c r="G1682" s="9">
        <v>45721</v>
      </c>
      <c r="H1682" s="7" t="s">
        <v>26</v>
      </c>
      <c r="I1682" s="8" t="s">
        <v>45</v>
      </c>
      <c r="J1682" s="7">
        <v>2</v>
      </c>
      <c r="K1682" s="7" t="s">
        <v>153</v>
      </c>
      <c r="L1682" s="7">
        <v>1</v>
      </c>
      <c r="M1682" s="7">
        <v>10</v>
      </c>
      <c r="N1682" s="7" t="s">
        <v>28</v>
      </c>
    </row>
    <row r="1683" spans="1:14" x14ac:dyDescent="0.3">
      <c r="A1683" s="3" t="s">
        <v>1766</v>
      </c>
      <c r="B1683" s="3" t="s">
        <v>25</v>
      </c>
      <c r="C1683" s="3">
        <v>4</v>
      </c>
      <c r="D1683" s="6">
        <v>124.6</v>
      </c>
      <c r="E1683" s="6">
        <v>498.4</v>
      </c>
      <c r="F1683" s="5">
        <v>45720</v>
      </c>
      <c r="G1683" s="5">
        <v>45722</v>
      </c>
      <c r="H1683" s="3" t="s">
        <v>31</v>
      </c>
      <c r="I1683" s="4" t="s">
        <v>21</v>
      </c>
      <c r="J1683" s="3">
        <v>3</v>
      </c>
      <c r="K1683" s="3" t="s">
        <v>153</v>
      </c>
      <c r="L1683" s="3">
        <v>2</v>
      </c>
      <c r="M1683" s="3">
        <v>10</v>
      </c>
      <c r="N1683" s="3" t="s">
        <v>33</v>
      </c>
    </row>
    <row r="1684" spans="1:14" x14ac:dyDescent="0.3">
      <c r="A1684" s="7" t="s">
        <v>1767</v>
      </c>
      <c r="B1684" s="7" t="s">
        <v>25</v>
      </c>
      <c r="C1684" s="7">
        <v>7</v>
      </c>
      <c r="D1684" s="10">
        <v>39.9</v>
      </c>
      <c r="E1684" s="10">
        <v>279.3</v>
      </c>
      <c r="F1684" s="9">
        <v>45720</v>
      </c>
      <c r="G1684" s="9">
        <v>45721</v>
      </c>
      <c r="H1684" s="7" t="s">
        <v>26</v>
      </c>
      <c r="I1684" s="8" t="s">
        <v>45</v>
      </c>
      <c r="J1684" s="7">
        <v>3</v>
      </c>
      <c r="K1684" s="7" t="s">
        <v>38</v>
      </c>
      <c r="L1684" s="7">
        <v>1</v>
      </c>
      <c r="M1684" s="7">
        <v>10</v>
      </c>
      <c r="N1684" s="7" t="s">
        <v>28</v>
      </c>
    </row>
    <row r="1685" spans="1:14" x14ac:dyDescent="0.3">
      <c r="A1685" s="3" t="s">
        <v>1768</v>
      </c>
      <c r="B1685" s="3" t="s">
        <v>44</v>
      </c>
      <c r="C1685" s="3">
        <v>1</v>
      </c>
      <c r="D1685" s="6">
        <v>94.6</v>
      </c>
      <c r="E1685" s="6">
        <v>94.6</v>
      </c>
      <c r="F1685" s="5">
        <v>45720</v>
      </c>
      <c r="G1685" s="5">
        <v>45734</v>
      </c>
      <c r="H1685" s="3" t="s">
        <v>31</v>
      </c>
      <c r="I1685" s="4" t="s">
        <v>21</v>
      </c>
      <c r="J1685" s="3">
        <v>3</v>
      </c>
      <c r="K1685" s="3" t="s">
        <v>38</v>
      </c>
      <c r="L1685" s="3">
        <v>14</v>
      </c>
      <c r="M1685" s="3">
        <v>10</v>
      </c>
      <c r="N1685" s="3" t="s">
        <v>33</v>
      </c>
    </row>
    <row r="1686" spans="1:14" x14ac:dyDescent="0.3">
      <c r="A1686" s="7" t="s">
        <v>1769</v>
      </c>
      <c r="B1686" s="7" t="s">
        <v>30</v>
      </c>
      <c r="C1686" s="7">
        <v>2</v>
      </c>
      <c r="D1686" s="10">
        <v>149.6</v>
      </c>
      <c r="E1686" s="10">
        <v>299.2</v>
      </c>
      <c r="F1686" s="9">
        <v>45720</v>
      </c>
      <c r="G1686" s="9">
        <v>45721</v>
      </c>
      <c r="H1686" s="7" t="s">
        <v>31</v>
      </c>
      <c r="I1686" s="8" t="s">
        <v>21</v>
      </c>
      <c r="J1686" s="7">
        <v>4</v>
      </c>
      <c r="K1686" s="7" t="s">
        <v>38</v>
      </c>
      <c r="L1686" s="7">
        <v>1</v>
      </c>
      <c r="M1686" s="7">
        <v>10</v>
      </c>
      <c r="N1686" s="7" t="s">
        <v>33</v>
      </c>
    </row>
    <row r="1687" spans="1:14" x14ac:dyDescent="0.3">
      <c r="A1687" s="3" t="s">
        <v>1770</v>
      </c>
      <c r="B1687" s="3" t="s">
        <v>49</v>
      </c>
      <c r="C1687" s="3">
        <v>1</v>
      </c>
      <c r="D1687" s="6">
        <v>52.2</v>
      </c>
      <c r="E1687" s="6">
        <v>52.2</v>
      </c>
      <c r="F1687" s="5">
        <v>45720</v>
      </c>
      <c r="G1687" s="5">
        <v>45721</v>
      </c>
      <c r="H1687" s="3"/>
      <c r="I1687" s="4" t="s">
        <v>40</v>
      </c>
      <c r="J1687" s="3">
        <v>4</v>
      </c>
      <c r="K1687" s="3" t="s">
        <v>38</v>
      </c>
      <c r="L1687" s="3">
        <v>1</v>
      </c>
      <c r="M1687" s="3">
        <v>10</v>
      </c>
      <c r="N1687" s="3" t="s">
        <v>23</v>
      </c>
    </row>
    <row r="1688" spans="1:14" x14ac:dyDescent="0.3">
      <c r="A1688" s="7" t="s">
        <v>1771</v>
      </c>
      <c r="B1688" s="7" t="s">
        <v>44</v>
      </c>
      <c r="C1688" s="7">
        <v>2</v>
      </c>
      <c r="D1688" s="10">
        <v>96.5</v>
      </c>
      <c r="E1688" s="10">
        <v>193</v>
      </c>
      <c r="F1688" s="9">
        <v>45720</v>
      </c>
      <c r="G1688" s="9">
        <v>45721</v>
      </c>
      <c r="H1688" s="7" t="s">
        <v>31</v>
      </c>
      <c r="I1688" s="8" t="s">
        <v>40</v>
      </c>
      <c r="J1688" s="7">
        <v>3</v>
      </c>
      <c r="K1688" s="7" t="s">
        <v>38</v>
      </c>
      <c r="L1688" s="7">
        <v>1</v>
      </c>
      <c r="M1688" s="7">
        <v>10</v>
      </c>
      <c r="N1688" s="7" t="s">
        <v>33</v>
      </c>
    </row>
    <row r="1689" spans="1:14" x14ac:dyDescent="0.3">
      <c r="A1689" s="3" t="s">
        <v>1772</v>
      </c>
      <c r="B1689" s="3" t="s">
        <v>49</v>
      </c>
      <c r="C1689" s="3">
        <v>2</v>
      </c>
      <c r="D1689" s="6">
        <v>79.8</v>
      </c>
      <c r="E1689" s="6">
        <v>159.6</v>
      </c>
      <c r="F1689" s="5">
        <v>45720</v>
      </c>
      <c r="G1689" s="5">
        <v>45722</v>
      </c>
      <c r="H1689" s="3" t="s">
        <v>31</v>
      </c>
      <c r="I1689" s="4" t="s">
        <v>21</v>
      </c>
      <c r="J1689" s="3">
        <v>3</v>
      </c>
      <c r="K1689" s="3" t="s">
        <v>38</v>
      </c>
      <c r="L1689" s="3">
        <v>2</v>
      </c>
      <c r="M1689" s="3">
        <v>10</v>
      </c>
      <c r="N1689" s="3" t="s">
        <v>33</v>
      </c>
    </row>
    <row r="1690" spans="1:14" x14ac:dyDescent="0.3">
      <c r="A1690" s="7" t="s">
        <v>1773</v>
      </c>
      <c r="B1690" s="7" t="s">
        <v>49</v>
      </c>
      <c r="C1690" s="7">
        <v>3</v>
      </c>
      <c r="D1690" s="10">
        <v>35.6</v>
      </c>
      <c r="E1690" s="10">
        <v>106.8</v>
      </c>
      <c r="F1690" s="9">
        <v>45720</v>
      </c>
      <c r="G1690" s="9">
        <v>45721</v>
      </c>
      <c r="H1690" s="7" t="s">
        <v>31</v>
      </c>
      <c r="I1690" s="8" t="s">
        <v>45</v>
      </c>
      <c r="J1690" s="7">
        <v>4</v>
      </c>
      <c r="K1690" s="7" t="s">
        <v>38</v>
      </c>
      <c r="L1690" s="7">
        <v>1</v>
      </c>
      <c r="M1690" s="7">
        <v>10</v>
      </c>
      <c r="N1690" s="7" t="s">
        <v>33</v>
      </c>
    </row>
    <row r="1691" spans="1:14" x14ac:dyDescent="0.3">
      <c r="A1691" s="3" t="s">
        <v>1774</v>
      </c>
      <c r="B1691" s="3" t="s">
        <v>134</v>
      </c>
      <c r="C1691" s="3">
        <v>1</v>
      </c>
      <c r="D1691" s="6">
        <v>50.2</v>
      </c>
      <c r="E1691" s="6">
        <v>50.2</v>
      </c>
      <c r="F1691" s="5">
        <v>45720</v>
      </c>
      <c r="G1691" s="5">
        <v>45721</v>
      </c>
      <c r="H1691" s="3" t="s">
        <v>31</v>
      </c>
      <c r="I1691" s="4" t="s">
        <v>40</v>
      </c>
      <c r="J1691" s="3">
        <v>5</v>
      </c>
      <c r="K1691" s="3" t="s">
        <v>38</v>
      </c>
      <c r="L1691" s="3">
        <v>1</v>
      </c>
      <c r="M1691" s="3">
        <v>10</v>
      </c>
      <c r="N1691" s="3" t="s">
        <v>33</v>
      </c>
    </row>
    <row r="1692" spans="1:14" x14ac:dyDescent="0.3">
      <c r="A1692" s="7" t="s">
        <v>1775</v>
      </c>
      <c r="B1692" s="7" t="s">
        <v>25</v>
      </c>
      <c r="C1692" s="7">
        <v>3</v>
      </c>
      <c r="D1692" s="10">
        <v>55.3</v>
      </c>
      <c r="E1692" s="10">
        <v>165.9</v>
      </c>
      <c r="F1692" s="9">
        <v>45720</v>
      </c>
      <c r="G1692" s="9">
        <v>45723</v>
      </c>
      <c r="H1692" s="7" t="s">
        <v>31</v>
      </c>
      <c r="I1692" s="8" t="s">
        <v>21</v>
      </c>
      <c r="J1692" s="7">
        <v>2</v>
      </c>
      <c r="K1692" s="7" t="s">
        <v>91</v>
      </c>
      <c r="L1692" s="7">
        <v>3</v>
      </c>
      <c r="M1692" s="7">
        <v>10</v>
      </c>
      <c r="N1692" s="7" t="s">
        <v>33</v>
      </c>
    </row>
    <row r="1693" spans="1:14" x14ac:dyDescent="0.3">
      <c r="A1693" s="3" t="s">
        <v>1776</v>
      </c>
      <c r="B1693" s="3" t="s">
        <v>44</v>
      </c>
      <c r="C1693" s="3">
        <v>7</v>
      </c>
      <c r="D1693" s="6">
        <v>104.5</v>
      </c>
      <c r="E1693" s="6">
        <v>731.5</v>
      </c>
      <c r="F1693" s="5">
        <v>45720</v>
      </c>
      <c r="G1693" s="5">
        <v>45724</v>
      </c>
      <c r="H1693" s="3" t="s">
        <v>31</v>
      </c>
      <c r="I1693" s="4" t="s">
        <v>40</v>
      </c>
      <c r="J1693" s="3">
        <v>4</v>
      </c>
      <c r="K1693" s="3" t="s">
        <v>64</v>
      </c>
      <c r="L1693" s="3">
        <v>4</v>
      </c>
      <c r="M1693" s="3">
        <v>10</v>
      </c>
      <c r="N1693" s="3" t="s">
        <v>33</v>
      </c>
    </row>
    <row r="1694" spans="1:14" x14ac:dyDescent="0.3">
      <c r="A1694" s="7" t="s">
        <v>1777</v>
      </c>
      <c r="B1694" s="7" t="s">
        <v>44</v>
      </c>
      <c r="C1694" s="7">
        <v>4</v>
      </c>
      <c r="D1694" s="10">
        <v>66.5</v>
      </c>
      <c r="E1694" s="10">
        <v>266</v>
      </c>
      <c r="F1694" s="9">
        <v>45720</v>
      </c>
      <c r="G1694" s="9">
        <v>45722</v>
      </c>
      <c r="H1694" s="7" t="s">
        <v>26</v>
      </c>
      <c r="I1694" s="8" t="s">
        <v>40</v>
      </c>
      <c r="J1694" s="7">
        <v>4</v>
      </c>
      <c r="K1694" s="7" t="s">
        <v>64</v>
      </c>
      <c r="L1694" s="7">
        <v>2</v>
      </c>
      <c r="M1694" s="7">
        <v>10</v>
      </c>
      <c r="N1694" s="7" t="s">
        <v>28</v>
      </c>
    </row>
    <row r="1695" spans="1:14" x14ac:dyDescent="0.3">
      <c r="A1695" s="3" t="s">
        <v>1778</v>
      </c>
      <c r="B1695" s="3" t="s">
        <v>59</v>
      </c>
      <c r="C1695" s="3">
        <v>8</v>
      </c>
      <c r="D1695" s="6">
        <v>38.299999999999997</v>
      </c>
      <c r="E1695" s="6">
        <v>306.39999999999998</v>
      </c>
      <c r="F1695" s="5">
        <v>45720</v>
      </c>
      <c r="G1695" s="5">
        <v>45721</v>
      </c>
      <c r="H1695" s="3" t="s">
        <v>31</v>
      </c>
      <c r="I1695" s="4" t="s">
        <v>21</v>
      </c>
      <c r="J1695" s="3">
        <v>4</v>
      </c>
      <c r="K1695" s="3" t="s">
        <v>64</v>
      </c>
      <c r="L1695" s="3">
        <v>1</v>
      </c>
      <c r="M1695" s="3">
        <v>10</v>
      </c>
      <c r="N1695" s="3" t="s">
        <v>33</v>
      </c>
    </row>
    <row r="1696" spans="1:14" x14ac:dyDescent="0.3">
      <c r="A1696" s="7" t="s">
        <v>1779</v>
      </c>
      <c r="B1696" s="7" t="s">
        <v>44</v>
      </c>
      <c r="C1696" s="7">
        <v>3</v>
      </c>
      <c r="D1696" s="10">
        <v>63.8</v>
      </c>
      <c r="E1696" s="10">
        <v>191.4</v>
      </c>
      <c r="F1696" s="9">
        <v>45720</v>
      </c>
      <c r="G1696" s="9">
        <v>45723</v>
      </c>
      <c r="H1696" s="7" t="s">
        <v>31</v>
      </c>
      <c r="I1696" s="8" t="s">
        <v>40</v>
      </c>
      <c r="J1696" s="7">
        <v>4</v>
      </c>
      <c r="K1696" s="7" t="s">
        <v>67</v>
      </c>
      <c r="L1696" s="7">
        <v>3</v>
      </c>
      <c r="M1696" s="7">
        <v>10</v>
      </c>
      <c r="N1696" s="7" t="s">
        <v>33</v>
      </c>
    </row>
    <row r="1697" spans="1:14" x14ac:dyDescent="0.3">
      <c r="A1697" s="3" t="s">
        <v>1780</v>
      </c>
      <c r="B1697" s="3" t="s">
        <v>129</v>
      </c>
      <c r="C1697" s="3">
        <v>1</v>
      </c>
      <c r="D1697" s="6">
        <v>21.4</v>
      </c>
      <c r="E1697" s="6">
        <v>21.4</v>
      </c>
      <c r="F1697" s="5">
        <v>45720</v>
      </c>
      <c r="G1697" s="5">
        <v>45720</v>
      </c>
      <c r="H1697" s="3" t="s">
        <v>26</v>
      </c>
      <c r="I1697" s="4" t="s">
        <v>75</v>
      </c>
      <c r="J1697" s="3">
        <v>4</v>
      </c>
      <c r="K1697" s="3" t="s">
        <v>67</v>
      </c>
      <c r="L1697" s="3">
        <v>0</v>
      </c>
      <c r="M1697" s="3">
        <v>10</v>
      </c>
      <c r="N1697" s="3" t="s">
        <v>28</v>
      </c>
    </row>
    <row r="1698" spans="1:14" x14ac:dyDescent="0.3">
      <c r="A1698" s="7" t="s">
        <v>1781</v>
      </c>
      <c r="B1698" s="7" t="s">
        <v>49</v>
      </c>
      <c r="C1698" s="7">
        <v>4</v>
      </c>
      <c r="D1698" s="10">
        <v>44.1</v>
      </c>
      <c r="E1698" s="10">
        <v>176.4</v>
      </c>
      <c r="F1698" s="9">
        <v>45720</v>
      </c>
      <c r="G1698" s="9">
        <v>45722</v>
      </c>
      <c r="H1698" s="7" t="s">
        <v>31</v>
      </c>
      <c r="I1698" s="8" t="s">
        <v>45</v>
      </c>
      <c r="J1698" s="7">
        <v>4</v>
      </c>
      <c r="K1698" s="7" t="s">
        <v>67</v>
      </c>
      <c r="L1698" s="7">
        <v>2</v>
      </c>
      <c r="M1698" s="7">
        <v>10</v>
      </c>
      <c r="N1698" s="7" t="s">
        <v>33</v>
      </c>
    </row>
    <row r="1699" spans="1:14" x14ac:dyDescent="0.3">
      <c r="A1699" s="3" t="s">
        <v>1782</v>
      </c>
      <c r="B1699" s="3" t="s">
        <v>42</v>
      </c>
      <c r="C1699" s="3">
        <v>8</v>
      </c>
      <c r="D1699" s="6">
        <v>57.6</v>
      </c>
      <c r="E1699" s="6">
        <v>460.8</v>
      </c>
      <c r="F1699" s="5">
        <v>45720</v>
      </c>
      <c r="G1699" s="5">
        <v>45722</v>
      </c>
      <c r="H1699" s="3" t="s">
        <v>26</v>
      </c>
      <c r="I1699" s="4" t="s">
        <v>40</v>
      </c>
      <c r="J1699" s="3">
        <v>5</v>
      </c>
      <c r="K1699" s="3" t="s">
        <v>67</v>
      </c>
      <c r="L1699" s="3">
        <v>2</v>
      </c>
      <c r="M1699" s="3">
        <v>10</v>
      </c>
      <c r="N1699" s="3" t="s">
        <v>28</v>
      </c>
    </row>
    <row r="1700" spans="1:14" x14ac:dyDescent="0.3">
      <c r="A1700" s="7" t="s">
        <v>1783</v>
      </c>
      <c r="B1700" s="7" t="s">
        <v>51</v>
      </c>
      <c r="C1700" s="7">
        <v>2</v>
      </c>
      <c r="D1700" s="10">
        <v>20.3</v>
      </c>
      <c r="E1700" s="10">
        <v>40.6</v>
      </c>
      <c r="F1700" s="9">
        <v>45720</v>
      </c>
      <c r="G1700" s="9">
        <v>45726</v>
      </c>
      <c r="H1700" s="7" t="s">
        <v>31</v>
      </c>
      <c r="I1700" s="8" t="s">
        <v>56</v>
      </c>
      <c r="J1700" s="7">
        <v>4</v>
      </c>
      <c r="K1700" s="7" t="s">
        <v>67</v>
      </c>
      <c r="L1700" s="7">
        <v>6</v>
      </c>
      <c r="M1700" s="7">
        <v>10</v>
      </c>
      <c r="N1700" s="7" t="s">
        <v>33</v>
      </c>
    </row>
    <row r="1701" spans="1:14" x14ac:dyDescent="0.3">
      <c r="A1701" s="3" t="s">
        <v>1784</v>
      </c>
      <c r="B1701" s="3" t="s">
        <v>49</v>
      </c>
      <c r="C1701" s="3">
        <v>1</v>
      </c>
      <c r="D1701" s="6">
        <v>22.9</v>
      </c>
      <c r="E1701" s="6">
        <v>22.9</v>
      </c>
      <c r="F1701" s="5">
        <v>45720</v>
      </c>
      <c r="G1701" s="5">
        <v>45722</v>
      </c>
      <c r="H1701" s="3" t="s">
        <v>31</v>
      </c>
      <c r="I1701" s="4" t="s">
        <v>45</v>
      </c>
      <c r="J1701" s="3">
        <v>5</v>
      </c>
      <c r="K1701" s="3" t="s">
        <v>67</v>
      </c>
      <c r="L1701" s="3">
        <v>2</v>
      </c>
      <c r="M1701" s="3">
        <v>10</v>
      </c>
      <c r="N1701" s="3" t="s">
        <v>33</v>
      </c>
    </row>
    <row r="1702" spans="1:14" x14ac:dyDescent="0.3">
      <c r="A1702" s="7" t="s">
        <v>1785</v>
      </c>
      <c r="B1702" s="7" t="s">
        <v>44</v>
      </c>
      <c r="C1702" s="7">
        <v>4</v>
      </c>
      <c r="D1702" s="10">
        <v>105.9</v>
      </c>
      <c r="E1702" s="10">
        <v>423.6</v>
      </c>
      <c r="F1702" s="9">
        <v>45720</v>
      </c>
      <c r="G1702" s="9">
        <v>45721</v>
      </c>
      <c r="H1702" s="7" t="s">
        <v>31</v>
      </c>
      <c r="I1702" s="8" t="s">
        <v>40</v>
      </c>
      <c r="J1702" s="7">
        <v>5</v>
      </c>
      <c r="K1702" s="7" t="s">
        <v>109</v>
      </c>
      <c r="L1702" s="7">
        <v>1</v>
      </c>
      <c r="M1702" s="7">
        <v>10</v>
      </c>
      <c r="N1702" s="7" t="s">
        <v>33</v>
      </c>
    </row>
    <row r="1703" spans="1:14" x14ac:dyDescent="0.3">
      <c r="A1703" s="3" t="s">
        <v>1786</v>
      </c>
      <c r="B1703" s="3" t="s">
        <v>25</v>
      </c>
      <c r="C1703" s="3">
        <v>9</v>
      </c>
      <c r="D1703" s="6">
        <v>37.4</v>
      </c>
      <c r="E1703" s="6">
        <v>336.6</v>
      </c>
      <c r="F1703" s="5">
        <v>45720</v>
      </c>
      <c r="G1703" s="5">
        <v>45724</v>
      </c>
      <c r="H1703" s="3" t="s">
        <v>26</v>
      </c>
      <c r="I1703" s="4" t="s">
        <v>40</v>
      </c>
      <c r="J1703" s="3">
        <v>4</v>
      </c>
      <c r="K1703" s="3" t="s">
        <v>82</v>
      </c>
      <c r="L1703" s="3">
        <v>4</v>
      </c>
      <c r="M1703" s="3">
        <v>10</v>
      </c>
      <c r="N1703" s="3" t="s">
        <v>28</v>
      </c>
    </row>
    <row r="1704" spans="1:14" x14ac:dyDescent="0.3">
      <c r="A1704" s="7" t="s">
        <v>1787</v>
      </c>
      <c r="B1704" s="7" t="s">
        <v>152</v>
      </c>
      <c r="C1704" s="7">
        <v>2</v>
      </c>
      <c r="D1704" s="10">
        <v>79</v>
      </c>
      <c r="E1704" s="10">
        <v>158</v>
      </c>
      <c r="F1704" s="9">
        <v>45720</v>
      </c>
      <c r="G1704" s="9">
        <v>45721</v>
      </c>
      <c r="H1704" s="7" t="s">
        <v>26</v>
      </c>
      <c r="I1704" s="8" t="s">
        <v>45</v>
      </c>
      <c r="J1704" s="7">
        <v>4</v>
      </c>
      <c r="K1704" s="7" t="s">
        <v>249</v>
      </c>
      <c r="L1704" s="7">
        <v>1</v>
      </c>
      <c r="M1704" s="7">
        <v>10</v>
      </c>
      <c r="N1704" s="7" t="s">
        <v>28</v>
      </c>
    </row>
    <row r="1705" spans="1:14" x14ac:dyDescent="0.3">
      <c r="A1705" s="3" t="s">
        <v>1788</v>
      </c>
      <c r="B1705" s="3" t="s">
        <v>20</v>
      </c>
      <c r="C1705" s="3">
        <v>3</v>
      </c>
      <c r="D1705" s="6">
        <v>19.3</v>
      </c>
      <c r="E1705" s="6">
        <v>57.900000000000013</v>
      </c>
      <c r="F1705" s="5">
        <v>45720</v>
      </c>
      <c r="G1705" s="5">
        <v>45721</v>
      </c>
      <c r="H1705" s="3" t="s">
        <v>31</v>
      </c>
      <c r="I1705" s="4" t="s">
        <v>75</v>
      </c>
      <c r="J1705" s="3">
        <v>4</v>
      </c>
      <c r="K1705" s="3" t="s">
        <v>121</v>
      </c>
      <c r="L1705" s="3">
        <v>1</v>
      </c>
      <c r="M1705" s="3">
        <v>10</v>
      </c>
      <c r="N1705" s="3" t="s">
        <v>33</v>
      </c>
    </row>
    <row r="1706" spans="1:14" x14ac:dyDescent="0.3">
      <c r="A1706" s="7" t="s">
        <v>1789</v>
      </c>
      <c r="B1706" s="7" t="s">
        <v>20</v>
      </c>
      <c r="C1706" s="7">
        <v>1</v>
      </c>
      <c r="D1706" s="10">
        <v>24</v>
      </c>
      <c r="E1706" s="10">
        <v>24</v>
      </c>
      <c r="F1706" s="9">
        <v>45720</v>
      </c>
      <c r="G1706" s="9">
        <v>45721</v>
      </c>
      <c r="H1706" s="7" t="s">
        <v>31</v>
      </c>
      <c r="I1706" s="8" t="s">
        <v>40</v>
      </c>
      <c r="J1706" s="7">
        <v>4</v>
      </c>
      <c r="K1706" s="7" t="s">
        <v>27</v>
      </c>
      <c r="L1706" s="7">
        <v>1</v>
      </c>
      <c r="M1706" s="7">
        <v>10</v>
      </c>
      <c r="N1706" s="7" t="s">
        <v>33</v>
      </c>
    </row>
    <row r="1707" spans="1:14" x14ac:dyDescent="0.3">
      <c r="A1707" s="3" t="s">
        <v>1790</v>
      </c>
      <c r="B1707" s="3" t="s">
        <v>44</v>
      </c>
      <c r="C1707" s="3">
        <v>5</v>
      </c>
      <c r="D1707" s="6">
        <v>71.3</v>
      </c>
      <c r="E1707" s="6">
        <v>356.5</v>
      </c>
      <c r="F1707" s="5">
        <v>45720</v>
      </c>
      <c r="G1707" s="5">
        <v>45723</v>
      </c>
      <c r="H1707" s="3" t="s">
        <v>31</v>
      </c>
      <c r="I1707" s="4" t="s">
        <v>45</v>
      </c>
      <c r="J1707" s="3">
        <v>4</v>
      </c>
      <c r="K1707" s="3" t="s">
        <v>32</v>
      </c>
      <c r="L1707" s="3">
        <v>3</v>
      </c>
      <c r="M1707" s="3">
        <v>10</v>
      </c>
      <c r="N1707" s="3" t="s">
        <v>33</v>
      </c>
    </row>
    <row r="1708" spans="1:14" x14ac:dyDescent="0.3">
      <c r="A1708" s="7" t="s">
        <v>1791</v>
      </c>
      <c r="B1708" s="7" t="s">
        <v>42</v>
      </c>
      <c r="C1708" s="7">
        <v>2</v>
      </c>
      <c r="D1708" s="10">
        <v>166.2</v>
      </c>
      <c r="E1708" s="10">
        <v>332.4</v>
      </c>
      <c r="F1708" s="9">
        <v>45720</v>
      </c>
      <c r="G1708" s="9">
        <v>45721</v>
      </c>
      <c r="H1708" s="7" t="s">
        <v>26</v>
      </c>
      <c r="I1708" s="8" t="s">
        <v>21</v>
      </c>
      <c r="J1708" s="7">
        <v>5</v>
      </c>
      <c r="K1708" s="7" t="s">
        <v>207</v>
      </c>
      <c r="L1708" s="7">
        <v>1</v>
      </c>
      <c r="M1708" s="7">
        <v>10</v>
      </c>
      <c r="N1708" s="7" t="s">
        <v>28</v>
      </c>
    </row>
    <row r="1709" spans="1:14" x14ac:dyDescent="0.3">
      <c r="A1709" s="3" t="s">
        <v>1792</v>
      </c>
      <c r="B1709" s="3" t="s">
        <v>44</v>
      </c>
      <c r="C1709" s="3">
        <v>1</v>
      </c>
      <c r="D1709" s="6">
        <v>81</v>
      </c>
      <c r="E1709" s="6">
        <v>81</v>
      </c>
      <c r="F1709" s="5">
        <v>45720</v>
      </c>
      <c r="G1709" s="5">
        <v>45721</v>
      </c>
      <c r="H1709" s="3" t="s">
        <v>31</v>
      </c>
      <c r="I1709" s="4" t="s">
        <v>45</v>
      </c>
      <c r="J1709" s="3">
        <v>3</v>
      </c>
      <c r="K1709" s="3" t="s">
        <v>38</v>
      </c>
      <c r="L1709" s="3">
        <v>1</v>
      </c>
      <c r="M1709" s="3">
        <v>10</v>
      </c>
      <c r="N1709" s="3" t="s">
        <v>33</v>
      </c>
    </row>
    <row r="1710" spans="1:14" x14ac:dyDescent="0.3">
      <c r="A1710" s="7" t="s">
        <v>1793</v>
      </c>
      <c r="B1710" s="7" t="s">
        <v>59</v>
      </c>
      <c r="C1710" s="7">
        <v>6</v>
      </c>
      <c r="D1710" s="10">
        <v>38.5</v>
      </c>
      <c r="E1710" s="10">
        <v>231</v>
      </c>
      <c r="F1710" s="9">
        <v>45720</v>
      </c>
      <c r="G1710" s="9">
        <v>45724</v>
      </c>
      <c r="H1710" s="7" t="s">
        <v>31</v>
      </c>
      <c r="I1710" s="8" t="s">
        <v>21</v>
      </c>
      <c r="J1710" s="7">
        <v>4</v>
      </c>
      <c r="K1710" s="7" t="s">
        <v>38</v>
      </c>
      <c r="L1710" s="7">
        <v>4</v>
      </c>
      <c r="M1710" s="7">
        <v>10</v>
      </c>
      <c r="N1710" s="7" t="s">
        <v>33</v>
      </c>
    </row>
    <row r="1711" spans="1:14" x14ac:dyDescent="0.3">
      <c r="A1711" s="3" t="s">
        <v>1794</v>
      </c>
      <c r="B1711" s="3" t="s">
        <v>44</v>
      </c>
      <c r="C1711" s="3">
        <v>1</v>
      </c>
      <c r="D1711" s="6">
        <v>86.1</v>
      </c>
      <c r="E1711" s="6">
        <v>86.1</v>
      </c>
      <c r="F1711" s="5">
        <v>45720</v>
      </c>
      <c r="G1711" s="5">
        <v>45722</v>
      </c>
      <c r="H1711" s="3" t="s">
        <v>31</v>
      </c>
      <c r="I1711" s="4" t="s">
        <v>56</v>
      </c>
      <c r="J1711" s="3">
        <v>4</v>
      </c>
      <c r="K1711" s="3" t="s">
        <v>38</v>
      </c>
      <c r="L1711" s="3">
        <v>2</v>
      </c>
      <c r="M1711" s="3">
        <v>10</v>
      </c>
      <c r="N1711" s="3" t="s">
        <v>33</v>
      </c>
    </row>
    <row r="1712" spans="1:14" x14ac:dyDescent="0.3">
      <c r="A1712" s="7" t="s">
        <v>1795</v>
      </c>
      <c r="B1712" s="7" t="s">
        <v>30</v>
      </c>
      <c r="C1712" s="7">
        <v>5</v>
      </c>
      <c r="D1712" s="10">
        <v>51</v>
      </c>
      <c r="E1712" s="10">
        <v>255</v>
      </c>
      <c r="F1712" s="9">
        <v>45720</v>
      </c>
      <c r="G1712" s="9">
        <v>45721</v>
      </c>
      <c r="H1712" s="7" t="s">
        <v>26</v>
      </c>
      <c r="I1712" s="8" t="s">
        <v>21</v>
      </c>
      <c r="J1712" s="7">
        <v>3</v>
      </c>
      <c r="K1712" s="7" t="s">
        <v>38</v>
      </c>
      <c r="L1712" s="7">
        <v>1</v>
      </c>
      <c r="M1712" s="7">
        <v>10</v>
      </c>
      <c r="N1712" s="7" t="s">
        <v>28</v>
      </c>
    </row>
    <row r="1713" spans="1:14" x14ac:dyDescent="0.3">
      <c r="A1713" s="3" t="s">
        <v>1796</v>
      </c>
      <c r="B1713" s="3" t="s">
        <v>35</v>
      </c>
      <c r="C1713" s="3">
        <v>5</v>
      </c>
      <c r="D1713" s="6">
        <v>115.4</v>
      </c>
      <c r="E1713" s="6">
        <v>577</v>
      </c>
      <c r="F1713" s="5">
        <v>45720</v>
      </c>
      <c r="G1713" s="5">
        <v>45721</v>
      </c>
      <c r="H1713" s="3" t="s">
        <v>26</v>
      </c>
      <c r="I1713" s="4" t="s">
        <v>21</v>
      </c>
      <c r="J1713" s="3">
        <v>4</v>
      </c>
      <c r="K1713" s="3" t="s">
        <v>38</v>
      </c>
      <c r="L1713" s="3">
        <v>1</v>
      </c>
      <c r="M1713" s="3">
        <v>10</v>
      </c>
      <c r="N1713" s="3" t="s">
        <v>28</v>
      </c>
    </row>
    <row r="1714" spans="1:14" x14ac:dyDescent="0.3">
      <c r="A1714" s="7" t="s">
        <v>1797</v>
      </c>
      <c r="B1714" s="7" t="s">
        <v>44</v>
      </c>
      <c r="C1714" s="7">
        <v>4</v>
      </c>
      <c r="D1714" s="10">
        <v>176.5</v>
      </c>
      <c r="E1714" s="10">
        <v>706</v>
      </c>
      <c r="F1714" s="9">
        <v>45720</v>
      </c>
      <c r="G1714" s="9">
        <v>45721</v>
      </c>
      <c r="H1714" s="7" t="s">
        <v>31</v>
      </c>
      <c r="I1714" s="8" t="s">
        <v>45</v>
      </c>
      <c r="J1714" s="7">
        <v>5</v>
      </c>
      <c r="K1714" s="7" t="s">
        <v>38</v>
      </c>
      <c r="L1714" s="7">
        <v>1</v>
      </c>
      <c r="M1714" s="7">
        <v>10</v>
      </c>
      <c r="N1714" s="7" t="s">
        <v>33</v>
      </c>
    </row>
    <row r="1715" spans="1:14" x14ac:dyDescent="0.3">
      <c r="A1715" s="3" t="s">
        <v>1798</v>
      </c>
      <c r="B1715" s="3" t="s">
        <v>47</v>
      </c>
      <c r="C1715" s="3">
        <v>3</v>
      </c>
      <c r="D1715" s="6">
        <v>48.9</v>
      </c>
      <c r="E1715" s="6">
        <v>146.69999999999999</v>
      </c>
      <c r="F1715" s="5">
        <v>45720</v>
      </c>
      <c r="G1715" s="5">
        <v>45721</v>
      </c>
      <c r="H1715" s="3" t="s">
        <v>26</v>
      </c>
      <c r="I1715" s="4" t="s">
        <v>75</v>
      </c>
      <c r="J1715" s="3">
        <v>4</v>
      </c>
      <c r="K1715" s="3" t="s">
        <v>38</v>
      </c>
      <c r="L1715" s="3">
        <v>1</v>
      </c>
      <c r="M1715" s="3">
        <v>10</v>
      </c>
      <c r="N1715" s="3" t="s">
        <v>28</v>
      </c>
    </row>
    <row r="1716" spans="1:14" x14ac:dyDescent="0.3">
      <c r="A1716" s="7" t="s">
        <v>1799</v>
      </c>
      <c r="B1716" s="7" t="s">
        <v>49</v>
      </c>
      <c r="C1716" s="7">
        <v>3</v>
      </c>
      <c r="D1716" s="10">
        <v>18.100000000000001</v>
      </c>
      <c r="E1716" s="10">
        <v>54.3</v>
      </c>
      <c r="F1716" s="9">
        <v>45720</v>
      </c>
      <c r="G1716" s="9">
        <v>45727</v>
      </c>
      <c r="H1716" s="7" t="s">
        <v>31</v>
      </c>
      <c r="I1716" s="8" t="s">
        <v>40</v>
      </c>
      <c r="J1716" s="7">
        <v>5</v>
      </c>
      <c r="K1716" s="7" t="s">
        <v>264</v>
      </c>
      <c r="L1716" s="7">
        <v>7</v>
      </c>
      <c r="M1716" s="7">
        <v>10</v>
      </c>
      <c r="N1716" s="7" t="s">
        <v>33</v>
      </c>
    </row>
    <row r="1717" spans="1:14" x14ac:dyDescent="0.3">
      <c r="A1717" s="3" t="s">
        <v>1800</v>
      </c>
      <c r="B1717" s="3" t="s">
        <v>30</v>
      </c>
      <c r="C1717" s="3">
        <v>2</v>
      </c>
      <c r="D1717" s="6">
        <v>118.5</v>
      </c>
      <c r="E1717" s="6">
        <v>237</v>
      </c>
      <c r="F1717" s="5">
        <v>45720</v>
      </c>
      <c r="G1717" s="5">
        <v>45723</v>
      </c>
      <c r="H1717" s="3" t="s">
        <v>26</v>
      </c>
      <c r="I1717" s="4" t="s">
        <v>40</v>
      </c>
      <c r="J1717" s="3">
        <v>5</v>
      </c>
      <c r="K1717" s="3" t="s">
        <v>104</v>
      </c>
      <c r="L1717" s="3">
        <v>3</v>
      </c>
      <c r="M1717" s="3">
        <v>10</v>
      </c>
      <c r="N1717" s="3" t="s">
        <v>28</v>
      </c>
    </row>
    <row r="1718" spans="1:14" x14ac:dyDescent="0.3">
      <c r="A1718" s="7" t="s">
        <v>1801</v>
      </c>
      <c r="B1718" s="7" t="s">
        <v>129</v>
      </c>
      <c r="C1718" s="7">
        <v>7</v>
      </c>
      <c r="D1718" s="10">
        <v>59.1</v>
      </c>
      <c r="E1718" s="10">
        <v>413.7</v>
      </c>
      <c r="F1718" s="9">
        <v>45720</v>
      </c>
      <c r="G1718" s="9">
        <v>45721</v>
      </c>
      <c r="H1718" s="7" t="s">
        <v>31</v>
      </c>
      <c r="I1718" s="8" t="s">
        <v>56</v>
      </c>
      <c r="J1718" s="7">
        <v>4</v>
      </c>
      <c r="K1718" s="7" t="s">
        <v>194</v>
      </c>
      <c r="L1718" s="7">
        <v>1</v>
      </c>
      <c r="M1718" s="7">
        <v>10</v>
      </c>
      <c r="N1718" s="7" t="s">
        <v>33</v>
      </c>
    </row>
    <row r="1719" spans="1:14" x14ac:dyDescent="0.3">
      <c r="A1719" s="3" t="s">
        <v>1802</v>
      </c>
      <c r="B1719" s="3" t="s">
        <v>37</v>
      </c>
      <c r="C1719" s="3">
        <v>1</v>
      </c>
      <c r="D1719" s="6">
        <v>21.2</v>
      </c>
      <c r="E1719" s="6">
        <v>21.2</v>
      </c>
      <c r="F1719" s="5">
        <v>45720</v>
      </c>
      <c r="G1719" s="5">
        <v>45721</v>
      </c>
      <c r="H1719" s="3" t="s">
        <v>31</v>
      </c>
      <c r="I1719" s="4" t="s">
        <v>21</v>
      </c>
      <c r="J1719" s="3">
        <v>3</v>
      </c>
      <c r="K1719" s="3" t="s">
        <v>60</v>
      </c>
      <c r="L1719" s="3">
        <v>1</v>
      </c>
      <c r="M1719" s="3">
        <v>10</v>
      </c>
      <c r="N1719" s="3" t="s">
        <v>33</v>
      </c>
    </row>
    <row r="1720" spans="1:14" x14ac:dyDescent="0.3">
      <c r="A1720" s="7" t="s">
        <v>1803</v>
      </c>
      <c r="B1720" s="7" t="s">
        <v>44</v>
      </c>
      <c r="C1720" s="7">
        <v>2</v>
      </c>
      <c r="D1720" s="10">
        <v>68.8</v>
      </c>
      <c r="E1720" s="10">
        <v>137.6</v>
      </c>
      <c r="F1720" s="9">
        <v>45720</v>
      </c>
      <c r="G1720" s="9">
        <v>45725</v>
      </c>
      <c r="H1720" s="7" t="s">
        <v>31</v>
      </c>
      <c r="I1720" s="8" t="s">
        <v>56</v>
      </c>
      <c r="J1720" s="7">
        <v>5</v>
      </c>
      <c r="K1720" s="7" t="s">
        <v>60</v>
      </c>
      <c r="L1720" s="7">
        <v>5</v>
      </c>
      <c r="M1720" s="7">
        <v>10</v>
      </c>
      <c r="N1720" s="7" t="s">
        <v>33</v>
      </c>
    </row>
    <row r="1721" spans="1:14" x14ac:dyDescent="0.3">
      <c r="A1721" s="3" t="s">
        <v>1804</v>
      </c>
      <c r="B1721" s="3" t="s">
        <v>44</v>
      </c>
      <c r="C1721" s="3">
        <v>2</v>
      </c>
      <c r="D1721" s="6">
        <v>65.400000000000006</v>
      </c>
      <c r="E1721" s="6">
        <v>130.80000000000001</v>
      </c>
      <c r="F1721" s="5">
        <v>45720</v>
      </c>
      <c r="G1721" s="5">
        <v>45724</v>
      </c>
      <c r="H1721" s="3" t="s">
        <v>31</v>
      </c>
      <c r="I1721" s="4" t="s">
        <v>21</v>
      </c>
      <c r="J1721" s="3">
        <v>4</v>
      </c>
      <c r="K1721" s="3" t="s">
        <v>60</v>
      </c>
      <c r="L1721" s="3">
        <v>4</v>
      </c>
      <c r="M1721" s="3">
        <v>10</v>
      </c>
      <c r="N1721" s="3" t="s">
        <v>33</v>
      </c>
    </row>
    <row r="1722" spans="1:14" x14ac:dyDescent="0.3">
      <c r="A1722" s="7" t="s">
        <v>1805</v>
      </c>
      <c r="B1722" s="7" t="s">
        <v>74</v>
      </c>
      <c r="C1722" s="7">
        <v>5</v>
      </c>
      <c r="D1722" s="10">
        <v>66.3</v>
      </c>
      <c r="E1722" s="10">
        <v>331.5</v>
      </c>
      <c r="F1722" s="9">
        <v>45721</v>
      </c>
      <c r="G1722" s="9">
        <v>45724</v>
      </c>
      <c r="H1722" s="7" t="s">
        <v>31</v>
      </c>
      <c r="I1722" s="8" t="s">
        <v>75</v>
      </c>
      <c r="J1722" s="7">
        <v>4</v>
      </c>
      <c r="K1722" s="7" t="s">
        <v>60</v>
      </c>
      <c r="L1722" s="7">
        <v>3</v>
      </c>
      <c r="M1722" s="7">
        <v>10</v>
      </c>
      <c r="N1722" s="7" t="s">
        <v>33</v>
      </c>
    </row>
    <row r="1723" spans="1:14" x14ac:dyDescent="0.3">
      <c r="A1723" s="3" t="s">
        <v>1806</v>
      </c>
      <c r="B1723" s="3" t="s">
        <v>44</v>
      </c>
      <c r="C1723" s="3">
        <v>3</v>
      </c>
      <c r="D1723" s="6">
        <v>97.5</v>
      </c>
      <c r="E1723" s="6">
        <v>292.5</v>
      </c>
      <c r="F1723" s="5">
        <v>45721</v>
      </c>
      <c r="G1723" s="5">
        <v>45721</v>
      </c>
      <c r="H1723" s="3" t="s">
        <v>26</v>
      </c>
      <c r="I1723" s="4" t="s">
        <v>56</v>
      </c>
      <c r="J1723" s="3">
        <v>4</v>
      </c>
      <c r="K1723" s="3" t="s">
        <v>67</v>
      </c>
      <c r="L1723" s="3">
        <v>0</v>
      </c>
      <c r="M1723" s="3">
        <v>10</v>
      </c>
      <c r="N1723" s="3" t="s">
        <v>28</v>
      </c>
    </row>
    <row r="1724" spans="1:14" x14ac:dyDescent="0.3">
      <c r="A1724" s="7" t="s">
        <v>1807</v>
      </c>
      <c r="B1724" s="7" t="s">
        <v>25</v>
      </c>
      <c r="C1724" s="7">
        <v>2</v>
      </c>
      <c r="D1724" s="10">
        <v>44</v>
      </c>
      <c r="E1724" s="10">
        <v>88</v>
      </c>
      <c r="F1724" s="9">
        <v>45721</v>
      </c>
      <c r="G1724" s="9">
        <v>45724</v>
      </c>
      <c r="H1724" s="7" t="s">
        <v>31</v>
      </c>
      <c r="I1724" s="8" t="s">
        <v>40</v>
      </c>
      <c r="J1724" s="7">
        <v>5</v>
      </c>
      <c r="K1724" s="7" t="s">
        <v>67</v>
      </c>
      <c r="L1724" s="7">
        <v>3</v>
      </c>
      <c r="M1724" s="7">
        <v>10</v>
      </c>
      <c r="N1724" s="7" t="s">
        <v>33</v>
      </c>
    </row>
    <row r="1725" spans="1:14" x14ac:dyDescent="0.3">
      <c r="A1725" s="3" t="s">
        <v>1808</v>
      </c>
      <c r="B1725" s="3" t="s">
        <v>20</v>
      </c>
      <c r="C1725" s="3">
        <v>1</v>
      </c>
      <c r="D1725" s="6">
        <v>21.9</v>
      </c>
      <c r="E1725" s="6">
        <v>21.9</v>
      </c>
      <c r="F1725" s="5">
        <v>45721</v>
      </c>
      <c r="G1725" s="5">
        <v>45722</v>
      </c>
      <c r="H1725" s="3" t="s">
        <v>26</v>
      </c>
      <c r="I1725" s="4" t="s">
        <v>21</v>
      </c>
      <c r="J1725" s="3">
        <v>4</v>
      </c>
      <c r="K1725" s="3" t="s">
        <v>67</v>
      </c>
      <c r="L1725" s="3">
        <v>1</v>
      </c>
      <c r="M1725" s="3">
        <v>10</v>
      </c>
      <c r="N1725" s="3" t="s">
        <v>28</v>
      </c>
    </row>
    <row r="1726" spans="1:14" x14ac:dyDescent="0.3">
      <c r="A1726" s="7" t="s">
        <v>1809</v>
      </c>
      <c r="B1726" s="7" t="s">
        <v>37</v>
      </c>
      <c r="C1726" s="7">
        <v>7</v>
      </c>
      <c r="D1726" s="10">
        <v>21.5</v>
      </c>
      <c r="E1726" s="10">
        <v>150.5</v>
      </c>
      <c r="F1726" s="9">
        <v>45721</v>
      </c>
      <c r="G1726" s="9">
        <v>45723</v>
      </c>
      <c r="H1726" s="7" t="s">
        <v>31</v>
      </c>
      <c r="I1726" s="8" t="s">
        <v>40</v>
      </c>
      <c r="J1726" s="7">
        <v>5</v>
      </c>
      <c r="K1726" s="7" t="s">
        <v>77</v>
      </c>
      <c r="L1726" s="7">
        <v>2</v>
      </c>
      <c r="M1726" s="7">
        <v>10</v>
      </c>
      <c r="N1726" s="7" t="s">
        <v>33</v>
      </c>
    </row>
    <row r="1727" spans="1:14" x14ac:dyDescent="0.3">
      <c r="A1727" s="3" t="s">
        <v>1810</v>
      </c>
      <c r="B1727" s="3" t="s">
        <v>74</v>
      </c>
      <c r="C1727" s="3">
        <v>6</v>
      </c>
      <c r="D1727" s="6">
        <v>133</v>
      </c>
      <c r="E1727" s="6">
        <v>798</v>
      </c>
      <c r="F1727" s="5">
        <v>45721</v>
      </c>
      <c r="G1727" s="5">
        <v>45722</v>
      </c>
      <c r="H1727" s="3" t="s">
        <v>94</v>
      </c>
      <c r="I1727" s="4" t="s">
        <v>21</v>
      </c>
      <c r="J1727" s="3">
        <v>5</v>
      </c>
      <c r="K1727" s="3" t="s">
        <v>79</v>
      </c>
      <c r="L1727" s="3">
        <v>1</v>
      </c>
      <c r="M1727" s="3">
        <v>10</v>
      </c>
      <c r="N1727" s="3" t="s">
        <v>95</v>
      </c>
    </row>
    <row r="1728" spans="1:14" x14ac:dyDescent="0.3">
      <c r="A1728" s="7" t="s">
        <v>1811</v>
      </c>
      <c r="B1728" s="7" t="s">
        <v>49</v>
      </c>
      <c r="C1728" s="7">
        <v>2</v>
      </c>
      <c r="D1728" s="10">
        <v>47.7</v>
      </c>
      <c r="E1728" s="10">
        <v>95.4</v>
      </c>
      <c r="F1728" s="9">
        <v>45721</v>
      </c>
      <c r="G1728" s="9">
        <v>45725</v>
      </c>
      <c r="H1728" s="7" t="s">
        <v>26</v>
      </c>
      <c r="I1728" s="8" t="s">
        <v>21</v>
      </c>
      <c r="J1728" s="7">
        <v>5</v>
      </c>
      <c r="K1728" s="7" t="s">
        <v>79</v>
      </c>
      <c r="L1728" s="7">
        <v>4</v>
      </c>
      <c r="M1728" s="7">
        <v>10</v>
      </c>
      <c r="N1728" s="7" t="s">
        <v>28</v>
      </c>
    </row>
    <row r="1729" spans="1:14" x14ac:dyDescent="0.3">
      <c r="A1729" s="3" t="s">
        <v>1812</v>
      </c>
      <c r="B1729" s="3" t="s">
        <v>134</v>
      </c>
      <c r="C1729" s="3">
        <v>3</v>
      </c>
      <c r="D1729" s="6">
        <v>58.1</v>
      </c>
      <c r="E1729" s="6">
        <v>174.3</v>
      </c>
      <c r="F1729" s="5">
        <v>45721</v>
      </c>
      <c r="G1729" s="5">
        <v>45722</v>
      </c>
      <c r="H1729" s="3" t="s">
        <v>31</v>
      </c>
      <c r="I1729" s="4" t="s">
        <v>21</v>
      </c>
      <c r="J1729" s="3">
        <v>4</v>
      </c>
      <c r="K1729" s="3" t="s">
        <v>82</v>
      </c>
      <c r="L1729" s="3">
        <v>1</v>
      </c>
      <c r="M1729" s="3">
        <v>10</v>
      </c>
      <c r="N1729" s="3" t="s">
        <v>33</v>
      </c>
    </row>
    <row r="1730" spans="1:14" x14ac:dyDescent="0.3">
      <c r="A1730" s="7" t="s">
        <v>1813</v>
      </c>
      <c r="B1730" s="7" t="s">
        <v>74</v>
      </c>
      <c r="C1730" s="7">
        <v>4</v>
      </c>
      <c r="D1730" s="10">
        <v>66.599999999999994</v>
      </c>
      <c r="E1730" s="10">
        <v>266.39999999999998</v>
      </c>
      <c r="F1730" s="9">
        <v>45721</v>
      </c>
      <c r="G1730" s="9">
        <v>45722</v>
      </c>
      <c r="H1730" s="7"/>
      <c r="I1730" s="8" t="s">
        <v>21</v>
      </c>
      <c r="J1730" s="7">
        <v>4</v>
      </c>
      <c r="K1730" s="7" t="s">
        <v>82</v>
      </c>
      <c r="L1730" s="7">
        <v>1</v>
      </c>
      <c r="M1730" s="7">
        <v>10</v>
      </c>
      <c r="N1730" s="7" t="s">
        <v>23</v>
      </c>
    </row>
    <row r="1731" spans="1:14" x14ac:dyDescent="0.3">
      <c r="A1731" s="3" t="s">
        <v>1814</v>
      </c>
      <c r="B1731" s="3" t="s">
        <v>51</v>
      </c>
      <c r="C1731" s="3">
        <v>1</v>
      </c>
      <c r="D1731" s="6">
        <v>24.1</v>
      </c>
      <c r="E1731" s="6">
        <v>24.1</v>
      </c>
      <c r="F1731" s="5">
        <v>45721</v>
      </c>
      <c r="G1731" s="5">
        <v>45724</v>
      </c>
      <c r="H1731" s="3" t="s">
        <v>26</v>
      </c>
      <c r="I1731" s="4" t="s">
        <v>45</v>
      </c>
      <c r="J1731" s="3">
        <v>3</v>
      </c>
      <c r="K1731" s="3" t="s">
        <v>116</v>
      </c>
      <c r="L1731" s="3">
        <v>3</v>
      </c>
      <c r="M1731" s="3">
        <v>10</v>
      </c>
      <c r="N1731" s="3" t="s">
        <v>28</v>
      </c>
    </row>
    <row r="1732" spans="1:14" x14ac:dyDescent="0.3">
      <c r="A1732" s="7" t="s">
        <v>1815</v>
      </c>
      <c r="B1732" s="7" t="s">
        <v>59</v>
      </c>
      <c r="C1732" s="7">
        <v>5</v>
      </c>
      <c r="D1732" s="10">
        <v>51.5</v>
      </c>
      <c r="E1732" s="10">
        <v>257.5</v>
      </c>
      <c r="F1732" s="9">
        <v>45721</v>
      </c>
      <c r="G1732" s="9">
        <v>45726</v>
      </c>
      <c r="H1732" s="7" t="s">
        <v>31</v>
      </c>
      <c r="I1732" s="8" t="s">
        <v>21</v>
      </c>
      <c r="J1732" s="7">
        <v>4</v>
      </c>
      <c r="K1732" s="7" t="s">
        <v>87</v>
      </c>
      <c r="L1732" s="7">
        <v>5</v>
      </c>
      <c r="M1732" s="7">
        <v>10</v>
      </c>
      <c r="N1732" s="7" t="s">
        <v>33</v>
      </c>
    </row>
    <row r="1733" spans="1:14" x14ac:dyDescent="0.3">
      <c r="A1733" s="3" t="s">
        <v>1816</v>
      </c>
      <c r="B1733" s="3" t="s">
        <v>20</v>
      </c>
      <c r="C1733" s="3">
        <v>11</v>
      </c>
      <c r="D1733" s="6">
        <v>25.8</v>
      </c>
      <c r="E1733" s="6">
        <v>283.8</v>
      </c>
      <c r="F1733" s="5">
        <v>45721</v>
      </c>
      <c r="G1733" s="5">
        <v>45725</v>
      </c>
      <c r="H1733" s="3" t="s">
        <v>31</v>
      </c>
      <c r="I1733" s="4" t="s">
        <v>56</v>
      </c>
      <c r="J1733" s="3">
        <v>2</v>
      </c>
      <c r="K1733" s="3" t="s">
        <v>121</v>
      </c>
      <c r="L1733" s="3">
        <v>4</v>
      </c>
      <c r="M1733" s="3">
        <v>10</v>
      </c>
      <c r="N1733" s="3" t="s">
        <v>33</v>
      </c>
    </row>
    <row r="1734" spans="1:14" x14ac:dyDescent="0.3">
      <c r="A1734" s="7" t="s">
        <v>1817</v>
      </c>
      <c r="B1734" s="7" t="s">
        <v>51</v>
      </c>
      <c r="C1734" s="7">
        <v>4</v>
      </c>
      <c r="D1734" s="10">
        <v>47.7</v>
      </c>
      <c r="E1734" s="10">
        <v>190.8</v>
      </c>
      <c r="F1734" s="9">
        <v>45721</v>
      </c>
      <c r="G1734" s="9">
        <v>45721</v>
      </c>
      <c r="H1734" s="7" t="s">
        <v>31</v>
      </c>
      <c r="I1734" s="8" t="s">
        <v>21</v>
      </c>
      <c r="J1734" s="7">
        <v>3</v>
      </c>
      <c r="K1734" s="7" t="s">
        <v>121</v>
      </c>
      <c r="L1734" s="7">
        <v>0</v>
      </c>
      <c r="M1734" s="7">
        <v>10</v>
      </c>
      <c r="N1734" s="7" t="s">
        <v>33</v>
      </c>
    </row>
    <row r="1735" spans="1:14" x14ac:dyDescent="0.3">
      <c r="A1735" s="3" t="s">
        <v>1818</v>
      </c>
      <c r="B1735" s="3" t="s">
        <v>47</v>
      </c>
      <c r="C1735" s="3">
        <v>5</v>
      </c>
      <c r="D1735" s="6">
        <v>73.599999999999994</v>
      </c>
      <c r="E1735" s="6">
        <v>368</v>
      </c>
      <c r="F1735" s="5">
        <v>45721</v>
      </c>
      <c r="G1735" s="5">
        <v>45725</v>
      </c>
      <c r="H1735" s="3" t="s">
        <v>26</v>
      </c>
      <c r="I1735" s="4" t="s">
        <v>40</v>
      </c>
      <c r="J1735" s="3">
        <v>4</v>
      </c>
      <c r="K1735" s="3" t="s">
        <v>121</v>
      </c>
      <c r="L1735" s="3">
        <v>4</v>
      </c>
      <c r="M1735" s="3">
        <v>10</v>
      </c>
      <c r="N1735" s="3" t="s">
        <v>28</v>
      </c>
    </row>
    <row r="1736" spans="1:14" x14ac:dyDescent="0.3">
      <c r="A1736" s="7" t="s">
        <v>1819</v>
      </c>
      <c r="B1736" s="7" t="s">
        <v>42</v>
      </c>
      <c r="C1736" s="7">
        <v>7</v>
      </c>
      <c r="D1736" s="10">
        <v>91.2</v>
      </c>
      <c r="E1736" s="10">
        <v>638.4</v>
      </c>
      <c r="F1736" s="9">
        <v>45721</v>
      </c>
      <c r="G1736" s="9">
        <v>45722</v>
      </c>
      <c r="H1736" s="7" t="s">
        <v>26</v>
      </c>
      <c r="I1736" s="8" t="s">
        <v>40</v>
      </c>
      <c r="J1736" s="7">
        <v>5</v>
      </c>
      <c r="K1736" s="7" t="s">
        <v>121</v>
      </c>
      <c r="L1736" s="7">
        <v>1</v>
      </c>
      <c r="M1736" s="7">
        <v>10</v>
      </c>
      <c r="N1736" s="7" t="s">
        <v>28</v>
      </c>
    </row>
    <row r="1737" spans="1:14" x14ac:dyDescent="0.3">
      <c r="A1737" s="3" t="s">
        <v>1820</v>
      </c>
      <c r="B1737" s="3" t="s">
        <v>25</v>
      </c>
      <c r="C1737" s="3">
        <v>8</v>
      </c>
      <c r="D1737" s="6">
        <v>36.200000000000003</v>
      </c>
      <c r="E1737" s="6">
        <v>289.60000000000002</v>
      </c>
      <c r="F1737" s="5">
        <v>45721</v>
      </c>
      <c r="G1737" s="5">
        <v>45721</v>
      </c>
      <c r="H1737" s="3" t="s">
        <v>26</v>
      </c>
      <c r="I1737" s="4" t="s">
        <v>45</v>
      </c>
      <c r="J1737" s="3">
        <v>5</v>
      </c>
      <c r="K1737" s="3" t="s">
        <v>27</v>
      </c>
      <c r="L1737" s="3">
        <v>0</v>
      </c>
      <c r="M1737" s="3">
        <v>10</v>
      </c>
      <c r="N1737" s="3" t="s">
        <v>28</v>
      </c>
    </row>
    <row r="1738" spans="1:14" x14ac:dyDescent="0.3">
      <c r="A1738" s="7" t="s">
        <v>1821</v>
      </c>
      <c r="B1738" s="7" t="s">
        <v>51</v>
      </c>
      <c r="C1738" s="7">
        <v>8</v>
      </c>
      <c r="D1738" s="10">
        <v>98</v>
      </c>
      <c r="E1738" s="10">
        <v>784</v>
      </c>
      <c r="F1738" s="9">
        <v>45721</v>
      </c>
      <c r="G1738" s="9">
        <v>45725</v>
      </c>
      <c r="H1738" s="7" t="s">
        <v>31</v>
      </c>
      <c r="I1738" s="8" t="s">
        <v>45</v>
      </c>
      <c r="J1738" s="7">
        <v>4</v>
      </c>
      <c r="K1738" s="7" t="s">
        <v>32</v>
      </c>
      <c r="L1738" s="7">
        <v>4</v>
      </c>
      <c r="M1738" s="7">
        <v>10</v>
      </c>
      <c r="N1738" s="7" t="s">
        <v>33</v>
      </c>
    </row>
    <row r="1739" spans="1:14" x14ac:dyDescent="0.3">
      <c r="A1739" s="3" t="s">
        <v>1822</v>
      </c>
      <c r="B1739" s="3" t="s">
        <v>25</v>
      </c>
      <c r="C1739" s="3">
        <v>8</v>
      </c>
      <c r="D1739" s="6">
        <v>43.6</v>
      </c>
      <c r="E1739" s="6">
        <v>348.8</v>
      </c>
      <c r="F1739" s="5">
        <v>45721</v>
      </c>
      <c r="G1739" s="5">
        <v>45722</v>
      </c>
      <c r="H1739" s="3" t="s">
        <v>31</v>
      </c>
      <c r="I1739" s="4" t="s">
        <v>45</v>
      </c>
      <c r="J1739" s="3">
        <v>4</v>
      </c>
      <c r="K1739" s="3" t="s">
        <v>153</v>
      </c>
      <c r="L1739" s="3">
        <v>1</v>
      </c>
      <c r="M1739" s="3">
        <v>10</v>
      </c>
      <c r="N1739" s="3" t="s">
        <v>33</v>
      </c>
    </row>
    <row r="1740" spans="1:14" x14ac:dyDescent="0.3">
      <c r="A1740" s="7" t="s">
        <v>1823</v>
      </c>
      <c r="B1740" s="7" t="s">
        <v>49</v>
      </c>
      <c r="C1740" s="7">
        <v>10</v>
      </c>
      <c r="D1740" s="10">
        <v>37.799999999999997</v>
      </c>
      <c r="E1740" s="10">
        <v>378</v>
      </c>
      <c r="F1740" s="9">
        <v>45721</v>
      </c>
      <c r="G1740" s="9">
        <v>45721</v>
      </c>
      <c r="H1740" s="7" t="s">
        <v>94</v>
      </c>
      <c r="I1740" s="8" t="s">
        <v>21</v>
      </c>
      <c r="J1740" s="7">
        <v>4</v>
      </c>
      <c r="K1740" s="7" t="s">
        <v>207</v>
      </c>
      <c r="L1740" s="7">
        <v>0</v>
      </c>
      <c r="M1740" s="7">
        <v>10</v>
      </c>
      <c r="N1740" s="7" t="s">
        <v>95</v>
      </c>
    </row>
    <row r="1741" spans="1:14" x14ac:dyDescent="0.3">
      <c r="A1741" s="3" t="s">
        <v>1824</v>
      </c>
      <c r="B1741" s="3" t="s">
        <v>141</v>
      </c>
      <c r="C1741" s="3">
        <v>5</v>
      </c>
      <c r="D1741" s="6">
        <v>63.7</v>
      </c>
      <c r="E1741" s="6">
        <v>318.5</v>
      </c>
      <c r="F1741" s="5">
        <v>45721</v>
      </c>
      <c r="G1741" s="5">
        <v>45724</v>
      </c>
      <c r="H1741" s="3" t="s">
        <v>31</v>
      </c>
      <c r="I1741" s="4" t="s">
        <v>45</v>
      </c>
      <c r="J1741" s="3">
        <v>3</v>
      </c>
      <c r="K1741" s="3" t="s">
        <v>38</v>
      </c>
      <c r="L1741" s="3">
        <v>3</v>
      </c>
      <c r="M1741" s="3">
        <v>10</v>
      </c>
      <c r="N1741" s="3" t="s">
        <v>33</v>
      </c>
    </row>
    <row r="1742" spans="1:14" x14ac:dyDescent="0.3">
      <c r="A1742" s="7" t="s">
        <v>1825</v>
      </c>
      <c r="B1742" s="7" t="s">
        <v>42</v>
      </c>
      <c r="C1742" s="7">
        <v>9</v>
      </c>
      <c r="D1742" s="10">
        <v>62.9</v>
      </c>
      <c r="E1742" s="10">
        <v>566.1</v>
      </c>
      <c r="F1742" s="9">
        <v>45721</v>
      </c>
      <c r="G1742" s="9">
        <v>45726</v>
      </c>
      <c r="H1742" s="7" t="s">
        <v>26</v>
      </c>
      <c r="I1742" s="8" t="s">
        <v>56</v>
      </c>
      <c r="J1742" s="7">
        <v>5</v>
      </c>
      <c r="K1742" s="7" t="s">
        <v>38</v>
      </c>
      <c r="L1742" s="7">
        <v>5</v>
      </c>
      <c r="M1742" s="7">
        <v>10</v>
      </c>
      <c r="N1742" s="7" t="s">
        <v>28</v>
      </c>
    </row>
    <row r="1743" spans="1:14" x14ac:dyDescent="0.3">
      <c r="A1743" s="3" t="s">
        <v>1826</v>
      </c>
      <c r="B1743" s="3" t="s">
        <v>44</v>
      </c>
      <c r="C1743" s="3">
        <v>7</v>
      </c>
      <c r="D1743" s="6">
        <v>61.7</v>
      </c>
      <c r="E1743" s="6">
        <v>431.9</v>
      </c>
      <c r="F1743" s="5">
        <v>45721</v>
      </c>
      <c r="G1743" s="5">
        <v>45724</v>
      </c>
      <c r="H1743" s="3" t="s">
        <v>31</v>
      </c>
      <c r="I1743" s="4" t="s">
        <v>45</v>
      </c>
      <c r="J1743" s="3">
        <v>5</v>
      </c>
      <c r="K1743" s="3" t="s">
        <v>38</v>
      </c>
      <c r="L1743" s="3">
        <v>3</v>
      </c>
      <c r="M1743" s="3">
        <v>10</v>
      </c>
      <c r="N1743" s="3" t="s">
        <v>33</v>
      </c>
    </row>
    <row r="1744" spans="1:14" x14ac:dyDescent="0.3">
      <c r="A1744" s="7" t="s">
        <v>1827</v>
      </c>
      <c r="B1744" s="7" t="s">
        <v>152</v>
      </c>
      <c r="C1744" s="7">
        <v>14</v>
      </c>
      <c r="D1744" s="10">
        <v>36.5</v>
      </c>
      <c r="E1744" s="10">
        <v>511</v>
      </c>
      <c r="F1744" s="9">
        <v>45721</v>
      </c>
      <c r="G1744" s="9">
        <v>45722</v>
      </c>
      <c r="H1744" s="7" t="s">
        <v>26</v>
      </c>
      <c r="I1744" s="8" t="s">
        <v>21</v>
      </c>
      <c r="J1744" s="7">
        <v>5</v>
      </c>
      <c r="K1744" s="7" t="s">
        <v>38</v>
      </c>
      <c r="L1744" s="7">
        <v>1</v>
      </c>
      <c r="M1744" s="7">
        <v>10</v>
      </c>
      <c r="N1744" s="7" t="s">
        <v>28</v>
      </c>
    </row>
    <row r="1745" spans="1:14" x14ac:dyDescent="0.3">
      <c r="A1745" s="3" t="s">
        <v>1828</v>
      </c>
      <c r="B1745" s="3" t="s">
        <v>72</v>
      </c>
      <c r="C1745" s="3">
        <v>3</v>
      </c>
      <c r="D1745" s="6">
        <v>98.6</v>
      </c>
      <c r="E1745" s="6">
        <v>295.8</v>
      </c>
      <c r="F1745" s="5">
        <v>45721</v>
      </c>
      <c r="G1745" s="5">
        <v>45724</v>
      </c>
      <c r="H1745" s="3" t="s">
        <v>94</v>
      </c>
      <c r="I1745" s="4" t="s">
        <v>21</v>
      </c>
      <c r="J1745" s="3">
        <v>2</v>
      </c>
      <c r="K1745" s="3" t="s">
        <v>38</v>
      </c>
      <c r="L1745" s="3">
        <v>3</v>
      </c>
      <c r="M1745" s="3">
        <v>10</v>
      </c>
      <c r="N1745" s="3" t="s">
        <v>95</v>
      </c>
    </row>
    <row r="1746" spans="1:14" x14ac:dyDescent="0.3">
      <c r="A1746" s="7" t="s">
        <v>1829</v>
      </c>
      <c r="B1746" s="7" t="s">
        <v>49</v>
      </c>
      <c r="C1746" s="7">
        <v>2</v>
      </c>
      <c r="D1746" s="10">
        <v>19.2</v>
      </c>
      <c r="E1746" s="10">
        <v>38.4</v>
      </c>
      <c r="F1746" s="9">
        <v>45721</v>
      </c>
      <c r="G1746" s="9">
        <v>45731</v>
      </c>
      <c r="H1746" s="7" t="s">
        <v>26</v>
      </c>
      <c r="I1746" s="8" t="s">
        <v>21</v>
      </c>
      <c r="J1746" s="7">
        <v>4</v>
      </c>
      <c r="K1746" s="7" t="s">
        <v>38</v>
      </c>
      <c r="L1746" s="7">
        <v>10</v>
      </c>
      <c r="M1746" s="7">
        <v>10</v>
      </c>
      <c r="N1746" s="7" t="s">
        <v>28</v>
      </c>
    </row>
    <row r="1747" spans="1:14" x14ac:dyDescent="0.3">
      <c r="A1747" s="3" t="s">
        <v>1830</v>
      </c>
      <c r="B1747" s="3" t="s">
        <v>35</v>
      </c>
      <c r="C1747" s="3">
        <v>6</v>
      </c>
      <c r="D1747" s="6">
        <v>55.6</v>
      </c>
      <c r="E1747" s="6">
        <v>333.6</v>
      </c>
      <c r="F1747" s="5">
        <v>45721</v>
      </c>
      <c r="G1747" s="5">
        <v>45725</v>
      </c>
      <c r="H1747" s="3" t="s">
        <v>31</v>
      </c>
      <c r="I1747" s="4" t="s">
        <v>21</v>
      </c>
      <c r="J1747" s="3">
        <v>5</v>
      </c>
      <c r="K1747" s="3" t="s">
        <v>38</v>
      </c>
      <c r="L1747" s="3">
        <v>4</v>
      </c>
      <c r="M1747" s="3">
        <v>10</v>
      </c>
      <c r="N1747" s="3" t="s">
        <v>33</v>
      </c>
    </row>
    <row r="1748" spans="1:14" x14ac:dyDescent="0.3">
      <c r="A1748" s="7" t="s">
        <v>1831</v>
      </c>
      <c r="B1748" s="7" t="s">
        <v>42</v>
      </c>
      <c r="C1748" s="7">
        <v>6</v>
      </c>
      <c r="D1748" s="10">
        <v>56.4</v>
      </c>
      <c r="E1748" s="10">
        <v>338.4</v>
      </c>
      <c r="F1748" s="9">
        <v>45721</v>
      </c>
      <c r="G1748" s="9">
        <v>45722</v>
      </c>
      <c r="H1748" s="7" t="s">
        <v>31</v>
      </c>
      <c r="I1748" s="8" t="s">
        <v>40</v>
      </c>
      <c r="J1748" s="7">
        <v>4</v>
      </c>
      <c r="K1748" s="7" t="s">
        <v>38</v>
      </c>
      <c r="L1748" s="7">
        <v>1</v>
      </c>
      <c r="M1748" s="7">
        <v>10</v>
      </c>
      <c r="N1748" s="7" t="s">
        <v>33</v>
      </c>
    </row>
    <row r="1749" spans="1:14" x14ac:dyDescent="0.3">
      <c r="A1749" s="3" t="s">
        <v>1832</v>
      </c>
      <c r="B1749" s="3" t="s">
        <v>37</v>
      </c>
      <c r="C1749" s="3">
        <v>8</v>
      </c>
      <c r="D1749" s="6">
        <v>43.1</v>
      </c>
      <c r="E1749" s="6">
        <v>344.8</v>
      </c>
      <c r="F1749" s="5">
        <v>45721</v>
      </c>
      <c r="G1749" s="5">
        <v>45725</v>
      </c>
      <c r="H1749" s="3" t="s">
        <v>31</v>
      </c>
      <c r="I1749" s="4" t="s">
        <v>75</v>
      </c>
      <c r="J1749" s="3">
        <v>4</v>
      </c>
      <c r="K1749" s="3" t="s">
        <v>38</v>
      </c>
      <c r="L1749" s="3">
        <v>4</v>
      </c>
      <c r="M1749" s="3">
        <v>10</v>
      </c>
      <c r="N1749" s="3" t="s">
        <v>33</v>
      </c>
    </row>
    <row r="1750" spans="1:14" x14ac:dyDescent="0.3">
      <c r="A1750" s="7" t="s">
        <v>1833</v>
      </c>
      <c r="B1750" s="7" t="s">
        <v>25</v>
      </c>
      <c r="C1750" s="7">
        <v>2</v>
      </c>
      <c r="D1750" s="10">
        <v>77.3</v>
      </c>
      <c r="E1750" s="10">
        <v>154.6</v>
      </c>
      <c r="F1750" s="9">
        <v>45721</v>
      </c>
      <c r="G1750" s="9">
        <v>45723</v>
      </c>
      <c r="H1750" s="7" t="s">
        <v>26</v>
      </c>
      <c r="I1750" s="8" t="s">
        <v>21</v>
      </c>
      <c r="J1750" s="7">
        <v>4</v>
      </c>
      <c r="K1750" s="7" t="s">
        <v>60</v>
      </c>
      <c r="L1750" s="7">
        <v>2</v>
      </c>
      <c r="M1750" s="7">
        <v>10</v>
      </c>
      <c r="N1750" s="7" t="s">
        <v>28</v>
      </c>
    </row>
    <row r="1751" spans="1:14" x14ac:dyDescent="0.3">
      <c r="A1751" s="3" t="s">
        <v>1834</v>
      </c>
      <c r="B1751" s="3" t="s">
        <v>51</v>
      </c>
      <c r="C1751" s="3">
        <v>8</v>
      </c>
      <c r="D1751" s="6">
        <v>38.299999999999997</v>
      </c>
      <c r="E1751" s="6">
        <v>306.39999999999998</v>
      </c>
      <c r="F1751" s="5">
        <v>45721</v>
      </c>
      <c r="G1751" s="5">
        <v>45722</v>
      </c>
      <c r="H1751" s="3" t="s">
        <v>26</v>
      </c>
      <c r="I1751" s="4" t="s">
        <v>21</v>
      </c>
      <c r="J1751" s="3">
        <v>4</v>
      </c>
      <c r="K1751" s="3" t="s">
        <v>64</v>
      </c>
      <c r="L1751" s="3">
        <v>1</v>
      </c>
      <c r="M1751" s="3">
        <v>10</v>
      </c>
      <c r="N1751" s="3" t="s">
        <v>28</v>
      </c>
    </row>
    <row r="1752" spans="1:14" x14ac:dyDescent="0.3">
      <c r="A1752" s="7" t="s">
        <v>1835</v>
      </c>
      <c r="B1752" s="7" t="s">
        <v>20</v>
      </c>
      <c r="C1752" s="7">
        <v>7</v>
      </c>
      <c r="D1752" s="10">
        <v>16.8</v>
      </c>
      <c r="E1752" s="10">
        <v>117.6</v>
      </c>
      <c r="F1752" s="9">
        <v>45721</v>
      </c>
      <c r="G1752" s="9">
        <v>45724</v>
      </c>
      <c r="H1752" s="7" t="s">
        <v>26</v>
      </c>
      <c r="I1752" s="8" t="s">
        <v>45</v>
      </c>
      <c r="J1752" s="7">
        <v>3</v>
      </c>
      <c r="K1752" s="7" t="s">
        <v>67</v>
      </c>
      <c r="L1752" s="7">
        <v>3</v>
      </c>
      <c r="M1752" s="7">
        <v>10</v>
      </c>
      <c r="N1752" s="7" t="s">
        <v>28</v>
      </c>
    </row>
    <row r="1753" spans="1:14" x14ac:dyDescent="0.3">
      <c r="A1753" s="3" t="s">
        <v>1836</v>
      </c>
      <c r="B1753" s="3" t="s">
        <v>30</v>
      </c>
      <c r="C1753" s="3">
        <v>3</v>
      </c>
      <c r="D1753" s="6">
        <v>63.2</v>
      </c>
      <c r="E1753" s="6">
        <v>189.6</v>
      </c>
      <c r="F1753" s="5">
        <v>45721</v>
      </c>
      <c r="G1753" s="5">
        <v>45722</v>
      </c>
      <c r="H1753" s="3" t="s">
        <v>31</v>
      </c>
      <c r="I1753" s="4" t="s">
        <v>21</v>
      </c>
      <c r="J1753" s="3">
        <v>5</v>
      </c>
      <c r="K1753" s="3" t="s">
        <v>67</v>
      </c>
      <c r="L1753" s="3">
        <v>1</v>
      </c>
      <c r="M1753" s="3">
        <v>10</v>
      </c>
      <c r="N1753" s="3" t="s">
        <v>33</v>
      </c>
    </row>
    <row r="1754" spans="1:14" x14ac:dyDescent="0.3">
      <c r="A1754" s="7" t="s">
        <v>1837</v>
      </c>
      <c r="B1754" s="7" t="s">
        <v>86</v>
      </c>
      <c r="C1754" s="7">
        <v>23</v>
      </c>
      <c r="D1754" s="10">
        <v>39.700000000000003</v>
      </c>
      <c r="E1754" s="10">
        <v>913.1</v>
      </c>
      <c r="F1754" s="9">
        <v>45721</v>
      </c>
      <c r="G1754" s="9">
        <v>45722</v>
      </c>
      <c r="H1754" s="7" t="s">
        <v>26</v>
      </c>
      <c r="I1754" s="8" t="s">
        <v>21</v>
      </c>
      <c r="J1754" s="7">
        <v>4</v>
      </c>
      <c r="K1754" s="7" t="s">
        <v>67</v>
      </c>
      <c r="L1754" s="7">
        <v>1</v>
      </c>
      <c r="M1754" s="7">
        <v>10</v>
      </c>
      <c r="N1754" s="7" t="s">
        <v>28</v>
      </c>
    </row>
    <row r="1755" spans="1:14" x14ac:dyDescent="0.3">
      <c r="A1755" s="3" t="s">
        <v>1838</v>
      </c>
      <c r="B1755" s="3" t="s">
        <v>59</v>
      </c>
      <c r="C1755" s="3">
        <v>3</v>
      </c>
      <c r="D1755" s="6">
        <v>45.8</v>
      </c>
      <c r="E1755" s="6">
        <v>137.4</v>
      </c>
      <c r="F1755" s="5">
        <v>45721</v>
      </c>
      <c r="G1755" s="5">
        <v>45722</v>
      </c>
      <c r="H1755" s="3" t="s">
        <v>31</v>
      </c>
      <c r="I1755" s="4" t="s">
        <v>40</v>
      </c>
      <c r="J1755" s="3">
        <v>5</v>
      </c>
      <c r="K1755" s="3" t="s">
        <v>67</v>
      </c>
      <c r="L1755" s="3">
        <v>1</v>
      </c>
      <c r="M1755" s="3">
        <v>10</v>
      </c>
      <c r="N1755" s="3" t="s">
        <v>33</v>
      </c>
    </row>
    <row r="1756" spans="1:14" x14ac:dyDescent="0.3">
      <c r="A1756" s="7" t="s">
        <v>1839</v>
      </c>
      <c r="B1756" s="7" t="s">
        <v>20</v>
      </c>
      <c r="C1756" s="7">
        <v>6</v>
      </c>
      <c r="D1756" s="10">
        <v>12.4</v>
      </c>
      <c r="E1756" s="10">
        <v>74.400000000000006</v>
      </c>
      <c r="F1756" s="9">
        <v>45721</v>
      </c>
      <c r="G1756" s="9">
        <v>45724</v>
      </c>
      <c r="H1756" s="7" t="s">
        <v>26</v>
      </c>
      <c r="I1756" s="8" t="s">
        <v>21</v>
      </c>
      <c r="J1756" s="7">
        <v>4</v>
      </c>
      <c r="K1756" s="7" t="s">
        <v>67</v>
      </c>
      <c r="L1756" s="7">
        <v>3</v>
      </c>
      <c r="M1756" s="7">
        <v>10</v>
      </c>
      <c r="N1756" s="7" t="s">
        <v>28</v>
      </c>
    </row>
    <row r="1757" spans="1:14" x14ac:dyDescent="0.3">
      <c r="A1757" s="3" t="s">
        <v>1840</v>
      </c>
      <c r="B1757" s="3" t="s">
        <v>86</v>
      </c>
      <c r="C1757" s="3">
        <v>3</v>
      </c>
      <c r="D1757" s="6">
        <v>50.8</v>
      </c>
      <c r="E1757" s="6">
        <v>152.4</v>
      </c>
      <c r="F1757" s="5">
        <v>45722</v>
      </c>
      <c r="G1757" s="5">
        <v>45722</v>
      </c>
      <c r="H1757" s="3" t="s">
        <v>31</v>
      </c>
      <c r="I1757" s="4" t="s">
        <v>75</v>
      </c>
      <c r="J1757" s="3">
        <v>4</v>
      </c>
      <c r="K1757" s="3" t="s">
        <v>109</v>
      </c>
      <c r="L1757" s="3">
        <v>0</v>
      </c>
      <c r="M1757" s="3">
        <v>10</v>
      </c>
      <c r="N1757" s="3" t="s">
        <v>33</v>
      </c>
    </row>
    <row r="1758" spans="1:14" x14ac:dyDescent="0.3">
      <c r="A1758" s="7" t="s">
        <v>1841</v>
      </c>
      <c r="B1758" s="7" t="s">
        <v>51</v>
      </c>
      <c r="C1758" s="7">
        <v>1</v>
      </c>
      <c r="D1758" s="10">
        <v>76</v>
      </c>
      <c r="E1758" s="10">
        <v>76</v>
      </c>
      <c r="F1758" s="9">
        <v>45722</v>
      </c>
      <c r="G1758" s="9">
        <v>45726</v>
      </c>
      <c r="H1758" s="7" t="s">
        <v>94</v>
      </c>
      <c r="I1758" s="8" t="s">
        <v>45</v>
      </c>
      <c r="J1758" s="7">
        <v>5</v>
      </c>
      <c r="K1758" s="7" t="s">
        <v>109</v>
      </c>
      <c r="L1758" s="7">
        <v>4</v>
      </c>
      <c r="M1758" s="7">
        <v>10</v>
      </c>
      <c r="N1758" s="7" t="s">
        <v>95</v>
      </c>
    </row>
    <row r="1759" spans="1:14" x14ac:dyDescent="0.3">
      <c r="A1759" s="3" t="s">
        <v>1842</v>
      </c>
      <c r="B1759" s="3" t="s">
        <v>25</v>
      </c>
      <c r="C1759" s="3">
        <v>2</v>
      </c>
      <c r="D1759" s="6">
        <v>51.9</v>
      </c>
      <c r="E1759" s="6">
        <v>103.8</v>
      </c>
      <c r="F1759" s="5">
        <v>45722</v>
      </c>
      <c r="G1759" s="5">
        <v>45723</v>
      </c>
      <c r="H1759" s="3" t="s">
        <v>26</v>
      </c>
      <c r="I1759" s="4" t="s">
        <v>40</v>
      </c>
      <c r="J1759" s="3">
        <v>5</v>
      </c>
      <c r="K1759" s="3" t="s">
        <v>207</v>
      </c>
      <c r="L1759" s="3">
        <v>1</v>
      </c>
      <c r="M1759" s="3">
        <v>10</v>
      </c>
      <c r="N1759" s="3" t="s">
        <v>28</v>
      </c>
    </row>
    <row r="1760" spans="1:14" x14ac:dyDescent="0.3">
      <c r="A1760" s="7" t="s">
        <v>1843</v>
      </c>
      <c r="B1760" s="7" t="s">
        <v>30</v>
      </c>
      <c r="C1760" s="7">
        <v>2</v>
      </c>
      <c r="D1760" s="10">
        <v>93.4</v>
      </c>
      <c r="E1760" s="10">
        <v>186.8</v>
      </c>
      <c r="F1760" s="9">
        <v>45722</v>
      </c>
      <c r="G1760" s="9">
        <v>45729</v>
      </c>
      <c r="H1760" s="7" t="s">
        <v>26</v>
      </c>
      <c r="I1760" s="8" t="s">
        <v>21</v>
      </c>
      <c r="J1760" s="7">
        <v>1</v>
      </c>
      <c r="K1760" s="7" t="s">
        <v>82</v>
      </c>
      <c r="L1760" s="7">
        <v>7</v>
      </c>
      <c r="M1760" s="7">
        <v>10</v>
      </c>
      <c r="N1760" s="7" t="s">
        <v>28</v>
      </c>
    </row>
    <row r="1761" spans="1:14" x14ac:dyDescent="0.3">
      <c r="A1761" s="3" t="s">
        <v>1844</v>
      </c>
      <c r="B1761" s="3" t="s">
        <v>47</v>
      </c>
      <c r="C1761" s="3">
        <v>6</v>
      </c>
      <c r="D1761" s="6">
        <v>30.8</v>
      </c>
      <c r="E1761" s="6">
        <v>184.8</v>
      </c>
      <c r="F1761" s="5">
        <v>45722</v>
      </c>
      <c r="G1761" s="5">
        <v>45725</v>
      </c>
      <c r="H1761" s="3" t="s">
        <v>31</v>
      </c>
      <c r="I1761" s="4" t="s">
        <v>40</v>
      </c>
      <c r="J1761" s="3">
        <v>4</v>
      </c>
      <c r="K1761" s="3" t="s">
        <v>82</v>
      </c>
      <c r="L1761" s="3">
        <v>3</v>
      </c>
      <c r="M1761" s="3">
        <v>10</v>
      </c>
      <c r="N1761" s="3" t="s">
        <v>33</v>
      </c>
    </row>
    <row r="1762" spans="1:14" x14ac:dyDescent="0.3">
      <c r="A1762" s="7" t="s">
        <v>1845</v>
      </c>
      <c r="B1762" s="7" t="s">
        <v>30</v>
      </c>
      <c r="C1762" s="7">
        <v>1</v>
      </c>
      <c r="D1762" s="10">
        <v>143.19999999999999</v>
      </c>
      <c r="E1762" s="10">
        <v>143.19999999999999</v>
      </c>
      <c r="F1762" s="9">
        <v>45722</v>
      </c>
      <c r="G1762" s="9">
        <v>45725</v>
      </c>
      <c r="H1762" s="7" t="s">
        <v>26</v>
      </c>
      <c r="I1762" s="8" t="s">
        <v>45</v>
      </c>
      <c r="J1762" s="7">
        <v>4</v>
      </c>
      <c r="K1762" s="7" t="s">
        <v>82</v>
      </c>
      <c r="L1762" s="7">
        <v>3</v>
      </c>
      <c r="M1762" s="7">
        <v>10</v>
      </c>
      <c r="N1762" s="7" t="s">
        <v>28</v>
      </c>
    </row>
    <row r="1763" spans="1:14" x14ac:dyDescent="0.3">
      <c r="A1763" s="3" t="s">
        <v>1846</v>
      </c>
      <c r="B1763" s="3" t="s">
        <v>44</v>
      </c>
      <c r="C1763" s="3">
        <v>11</v>
      </c>
      <c r="D1763" s="6">
        <v>40.4</v>
      </c>
      <c r="E1763" s="6">
        <v>444.4</v>
      </c>
      <c r="F1763" s="5">
        <v>45722</v>
      </c>
      <c r="G1763" s="5">
        <v>45724</v>
      </c>
      <c r="H1763" s="3" t="s">
        <v>26</v>
      </c>
      <c r="I1763" s="4" t="s">
        <v>45</v>
      </c>
      <c r="J1763" s="3">
        <v>5</v>
      </c>
      <c r="K1763" s="3" t="s">
        <v>114</v>
      </c>
      <c r="L1763" s="3">
        <v>2</v>
      </c>
      <c r="M1763" s="3">
        <v>10</v>
      </c>
      <c r="N1763" s="3" t="s">
        <v>28</v>
      </c>
    </row>
    <row r="1764" spans="1:14" x14ac:dyDescent="0.3">
      <c r="A1764" s="7" t="s">
        <v>1847</v>
      </c>
      <c r="B1764" s="7" t="s">
        <v>30</v>
      </c>
      <c r="C1764" s="7">
        <v>19</v>
      </c>
      <c r="D1764" s="10">
        <v>131.5</v>
      </c>
      <c r="E1764" s="10">
        <v>2498.5</v>
      </c>
      <c r="F1764" s="9">
        <v>45722</v>
      </c>
      <c r="G1764" s="9">
        <v>45724</v>
      </c>
      <c r="H1764" s="7" t="s">
        <v>26</v>
      </c>
      <c r="I1764" s="8" t="s">
        <v>40</v>
      </c>
      <c r="J1764" s="7">
        <v>3</v>
      </c>
      <c r="K1764" s="7" t="s">
        <v>114</v>
      </c>
      <c r="L1764" s="7">
        <v>2</v>
      </c>
      <c r="M1764" s="7">
        <v>10</v>
      </c>
      <c r="N1764" s="7" t="s">
        <v>28</v>
      </c>
    </row>
    <row r="1765" spans="1:14" x14ac:dyDescent="0.3">
      <c r="A1765" s="3" t="s">
        <v>1848</v>
      </c>
      <c r="B1765" s="3" t="s">
        <v>152</v>
      </c>
      <c r="C1765" s="3">
        <v>7</v>
      </c>
      <c r="D1765" s="6">
        <v>61.6</v>
      </c>
      <c r="E1765" s="6">
        <v>431.2</v>
      </c>
      <c r="F1765" s="5">
        <v>45722</v>
      </c>
      <c r="G1765" s="5">
        <v>45723</v>
      </c>
      <c r="H1765" s="3" t="s">
        <v>26</v>
      </c>
      <c r="I1765" s="4" t="s">
        <v>45</v>
      </c>
      <c r="J1765" s="3">
        <v>4</v>
      </c>
      <c r="K1765" s="3" t="s">
        <v>121</v>
      </c>
      <c r="L1765" s="3">
        <v>1</v>
      </c>
      <c r="M1765" s="3">
        <v>10</v>
      </c>
      <c r="N1765" s="3" t="s">
        <v>28</v>
      </c>
    </row>
    <row r="1766" spans="1:14" x14ac:dyDescent="0.3">
      <c r="A1766" s="7" t="s">
        <v>1849</v>
      </c>
      <c r="B1766" s="7" t="s">
        <v>51</v>
      </c>
      <c r="C1766" s="7">
        <v>5</v>
      </c>
      <c r="D1766" s="10">
        <v>32.700000000000003</v>
      </c>
      <c r="E1766" s="10">
        <v>163.5</v>
      </c>
      <c r="F1766" s="9">
        <v>45722</v>
      </c>
      <c r="G1766" s="9">
        <v>45724</v>
      </c>
      <c r="H1766" s="7" t="s">
        <v>26</v>
      </c>
      <c r="I1766" s="8" t="s">
        <v>45</v>
      </c>
      <c r="J1766" s="7">
        <v>4</v>
      </c>
      <c r="K1766" s="7" t="s">
        <v>27</v>
      </c>
      <c r="L1766" s="7">
        <v>2</v>
      </c>
      <c r="M1766" s="7">
        <v>10</v>
      </c>
      <c r="N1766" s="7" t="s">
        <v>28</v>
      </c>
    </row>
    <row r="1767" spans="1:14" x14ac:dyDescent="0.3">
      <c r="A1767" s="3" t="s">
        <v>1850</v>
      </c>
      <c r="B1767" s="3" t="s">
        <v>20</v>
      </c>
      <c r="C1767" s="3">
        <v>10</v>
      </c>
      <c r="D1767" s="6">
        <v>13.7</v>
      </c>
      <c r="E1767" s="6">
        <v>137</v>
      </c>
      <c r="F1767" s="5">
        <v>45722</v>
      </c>
      <c r="G1767" s="5">
        <v>45723</v>
      </c>
      <c r="H1767" s="3" t="s">
        <v>26</v>
      </c>
      <c r="I1767" s="4" t="s">
        <v>21</v>
      </c>
      <c r="J1767" s="3">
        <v>5</v>
      </c>
      <c r="K1767" s="3" t="s">
        <v>38</v>
      </c>
      <c r="L1767" s="3">
        <v>1</v>
      </c>
      <c r="M1767" s="3">
        <v>10</v>
      </c>
      <c r="N1767" s="3" t="s">
        <v>28</v>
      </c>
    </row>
    <row r="1768" spans="1:14" x14ac:dyDescent="0.3">
      <c r="A1768" s="7" t="s">
        <v>1851</v>
      </c>
      <c r="B1768" s="7" t="s">
        <v>20</v>
      </c>
      <c r="C1768" s="7">
        <v>4</v>
      </c>
      <c r="D1768" s="10">
        <v>32.1</v>
      </c>
      <c r="E1768" s="10">
        <v>128.4</v>
      </c>
      <c r="F1768" s="9">
        <v>45722</v>
      </c>
      <c r="G1768" s="9">
        <v>45723</v>
      </c>
      <c r="H1768" s="7" t="s">
        <v>26</v>
      </c>
      <c r="I1768" s="8" t="s">
        <v>75</v>
      </c>
      <c r="J1768" s="7">
        <v>3</v>
      </c>
      <c r="K1768" s="7" t="s">
        <v>38</v>
      </c>
      <c r="L1768" s="7">
        <v>1</v>
      </c>
      <c r="M1768" s="7">
        <v>10</v>
      </c>
      <c r="N1768" s="7" t="s">
        <v>28</v>
      </c>
    </row>
    <row r="1769" spans="1:14" x14ac:dyDescent="0.3">
      <c r="A1769" s="3" t="s">
        <v>1852</v>
      </c>
      <c r="B1769" s="3" t="s">
        <v>86</v>
      </c>
      <c r="C1769" s="3">
        <v>8</v>
      </c>
      <c r="D1769" s="6">
        <v>12</v>
      </c>
      <c r="E1769" s="6">
        <v>96</v>
      </c>
      <c r="F1769" s="5">
        <v>45722</v>
      </c>
      <c r="G1769" s="5">
        <v>45723</v>
      </c>
      <c r="H1769" s="3" t="s">
        <v>26</v>
      </c>
      <c r="I1769" s="4" t="s">
        <v>40</v>
      </c>
      <c r="J1769" s="3">
        <v>4</v>
      </c>
      <c r="K1769" s="3" t="s">
        <v>192</v>
      </c>
      <c r="L1769" s="3">
        <v>1</v>
      </c>
      <c r="M1769" s="3">
        <v>10</v>
      </c>
      <c r="N1769" s="3" t="s">
        <v>28</v>
      </c>
    </row>
    <row r="1770" spans="1:14" x14ac:dyDescent="0.3">
      <c r="A1770" s="7" t="s">
        <v>1853</v>
      </c>
      <c r="B1770" s="7" t="s">
        <v>74</v>
      </c>
      <c r="C1770" s="7">
        <v>1</v>
      </c>
      <c r="D1770" s="10">
        <v>64.3</v>
      </c>
      <c r="E1770" s="10">
        <v>64.3</v>
      </c>
      <c r="F1770" s="9">
        <v>45722</v>
      </c>
      <c r="G1770" s="9">
        <v>45724</v>
      </c>
      <c r="H1770" s="7" t="s">
        <v>31</v>
      </c>
      <c r="I1770" s="8" t="s">
        <v>45</v>
      </c>
      <c r="J1770" s="7">
        <v>5</v>
      </c>
      <c r="K1770" s="7" t="s">
        <v>60</v>
      </c>
      <c r="L1770" s="7">
        <v>2</v>
      </c>
      <c r="M1770" s="7">
        <v>10</v>
      </c>
      <c r="N1770" s="7" t="s">
        <v>33</v>
      </c>
    </row>
    <row r="1771" spans="1:14" x14ac:dyDescent="0.3">
      <c r="A1771" s="3" t="s">
        <v>1854</v>
      </c>
      <c r="B1771" s="3" t="s">
        <v>25</v>
      </c>
      <c r="C1771" s="3">
        <v>3</v>
      </c>
      <c r="D1771" s="6">
        <v>58.2</v>
      </c>
      <c r="E1771" s="6">
        <v>174.6</v>
      </c>
      <c r="F1771" s="5">
        <v>45722</v>
      </c>
      <c r="G1771" s="5">
        <v>45724</v>
      </c>
      <c r="H1771" s="3" t="s">
        <v>31</v>
      </c>
      <c r="I1771" s="4" t="s">
        <v>40</v>
      </c>
      <c r="J1771" s="3">
        <v>5</v>
      </c>
      <c r="K1771" s="3" t="s">
        <v>60</v>
      </c>
      <c r="L1771" s="3">
        <v>2</v>
      </c>
      <c r="M1771" s="3">
        <v>10</v>
      </c>
      <c r="N1771" s="3" t="s">
        <v>33</v>
      </c>
    </row>
    <row r="1772" spans="1:14" x14ac:dyDescent="0.3">
      <c r="A1772" s="7" t="s">
        <v>1855</v>
      </c>
      <c r="B1772" s="7" t="s">
        <v>44</v>
      </c>
      <c r="C1772" s="7">
        <v>4</v>
      </c>
      <c r="D1772" s="10">
        <v>59.2</v>
      </c>
      <c r="E1772" s="10">
        <v>236.8</v>
      </c>
      <c r="F1772" s="9">
        <v>45722</v>
      </c>
      <c r="G1772" s="9">
        <v>45722</v>
      </c>
      <c r="H1772" s="7" t="s">
        <v>26</v>
      </c>
      <c r="I1772" s="8" t="s">
        <v>40</v>
      </c>
      <c r="J1772" s="7">
        <v>5</v>
      </c>
      <c r="K1772" s="7" t="s">
        <v>60</v>
      </c>
      <c r="L1772" s="7">
        <v>0</v>
      </c>
      <c r="M1772" s="7">
        <v>10</v>
      </c>
      <c r="N1772" s="7" t="s">
        <v>28</v>
      </c>
    </row>
    <row r="1773" spans="1:14" x14ac:dyDescent="0.3">
      <c r="A1773" s="3" t="s">
        <v>1856</v>
      </c>
      <c r="B1773" s="3" t="s">
        <v>59</v>
      </c>
      <c r="C1773" s="3">
        <v>11</v>
      </c>
      <c r="D1773" s="6">
        <v>35.6</v>
      </c>
      <c r="E1773" s="6">
        <v>391.6</v>
      </c>
      <c r="F1773" s="5">
        <v>45722</v>
      </c>
      <c r="G1773" s="5">
        <v>45729</v>
      </c>
      <c r="H1773" s="3" t="s">
        <v>26</v>
      </c>
      <c r="I1773" s="4" t="s">
        <v>21</v>
      </c>
      <c r="J1773" s="3">
        <v>5</v>
      </c>
      <c r="K1773" s="3" t="s">
        <v>67</v>
      </c>
      <c r="L1773" s="3">
        <v>7</v>
      </c>
      <c r="M1773" s="3">
        <v>10</v>
      </c>
      <c r="N1773" s="3" t="s">
        <v>28</v>
      </c>
    </row>
    <row r="1774" spans="1:14" x14ac:dyDescent="0.3">
      <c r="A1774" s="7" t="s">
        <v>1857</v>
      </c>
      <c r="B1774" s="7" t="s">
        <v>134</v>
      </c>
      <c r="C1774" s="7">
        <v>8</v>
      </c>
      <c r="D1774" s="10">
        <v>37</v>
      </c>
      <c r="E1774" s="10">
        <v>296</v>
      </c>
      <c r="F1774" s="9">
        <v>45722</v>
      </c>
      <c r="G1774" s="9">
        <v>45726</v>
      </c>
      <c r="H1774" s="7" t="s">
        <v>31</v>
      </c>
      <c r="I1774" s="8" t="s">
        <v>45</v>
      </c>
      <c r="J1774" s="7">
        <v>3</v>
      </c>
      <c r="K1774" s="7" t="s">
        <v>67</v>
      </c>
      <c r="L1774" s="7">
        <v>4</v>
      </c>
      <c r="M1774" s="7">
        <v>10</v>
      </c>
      <c r="N1774" s="7" t="s">
        <v>33</v>
      </c>
    </row>
    <row r="1775" spans="1:14" x14ac:dyDescent="0.3">
      <c r="A1775" s="3" t="s">
        <v>1858</v>
      </c>
      <c r="B1775" s="3" t="s">
        <v>25</v>
      </c>
      <c r="C1775" s="3">
        <v>13</v>
      </c>
      <c r="D1775" s="6">
        <v>80.8</v>
      </c>
      <c r="E1775" s="6">
        <v>1050.4000000000001</v>
      </c>
      <c r="F1775" s="5">
        <v>45722</v>
      </c>
      <c r="G1775" s="5">
        <v>45724</v>
      </c>
      <c r="H1775" s="3" t="s">
        <v>31</v>
      </c>
      <c r="I1775" s="4" t="s">
        <v>21</v>
      </c>
      <c r="J1775" s="3">
        <v>4</v>
      </c>
      <c r="K1775" s="3" t="s">
        <v>67</v>
      </c>
      <c r="L1775" s="3">
        <v>2</v>
      </c>
      <c r="M1775" s="3">
        <v>10</v>
      </c>
      <c r="N1775" s="3" t="s">
        <v>33</v>
      </c>
    </row>
    <row r="1776" spans="1:14" x14ac:dyDescent="0.3">
      <c r="A1776" s="7" t="s">
        <v>1859</v>
      </c>
      <c r="B1776" s="7" t="s">
        <v>49</v>
      </c>
      <c r="C1776" s="7">
        <v>2</v>
      </c>
      <c r="D1776" s="10">
        <v>63.2</v>
      </c>
      <c r="E1776" s="10">
        <v>126.4</v>
      </c>
      <c r="F1776" s="9">
        <v>45722</v>
      </c>
      <c r="G1776" s="9">
        <v>45723</v>
      </c>
      <c r="H1776" s="7" t="s">
        <v>26</v>
      </c>
      <c r="I1776" s="8" t="s">
        <v>21</v>
      </c>
      <c r="J1776" s="7">
        <v>3</v>
      </c>
      <c r="K1776" s="7" t="s">
        <v>67</v>
      </c>
      <c r="L1776" s="7">
        <v>1</v>
      </c>
      <c r="M1776" s="7">
        <v>10</v>
      </c>
      <c r="N1776" s="7" t="s">
        <v>28</v>
      </c>
    </row>
    <row r="1777" spans="1:14" x14ac:dyDescent="0.3">
      <c r="A1777" s="3" t="s">
        <v>1860</v>
      </c>
      <c r="B1777" s="3" t="s">
        <v>35</v>
      </c>
      <c r="C1777" s="3">
        <v>2</v>
      </c>
      <c r="D1777" s="6">
        <v>40.799999999999997</v>
      </c>
      <c r="E1777" s="6">
        <v>81.599999999999994</v>
      </c>
      <c r="F1777" s="5">
        <v>45722</v>
      </c>
      <c r="G1777" s="5">
        <v>45724</v>
      </c>
      <c r="H1777" s="3" t="s">
        <v>26</v>
      </c>
      <c r="I1777" s="4" t="s">
        <v>21</v>
      </c>
      <c r="J1777" s="3">
        <v>3</v>
      </c>
      <c r="K1777" s="3" t="s">
        <v>109</v>
      </c>
      <c r="L1777" s="3">
        <v>2</v>
      </c>
      <c r="M1777" s="3">
        <v>10</v>
      </c>
      <c r="N1777" s="3" t="s">
        <v>28</v>
      </c>
    </row>
    <row r="1778" spans="1:14" x14ac:dyDescent="0.3">
      <c r="A1778" s="7" t="s">
        <v>1861</v>
      </c>
      <c r="B1778" s="7" t="s">
        <v>81</v>
      </c>
      <c r="C1778" s="7">
        <v>6</v>
      </c>
      <c r="D1778" s="10">
        <v>25.7</v>
      </c>
      <c r="E1778" s="10">
        <v>154.19999999999999</v>
      </c>
      <c r="F1778" s="9">
        <v>45722</v>
      </c>
      <c r="G1778" s="9">
        <v>45724</v>
      </c>
      <c r="H1778" s="7" t="s">
        <v>26</v>
      </c>
      <c r="I1778" s="8" t="s">
        <v>75</v>
      </c>
      <c r="J1778" s="7">
        <v>4</v>
      </c>
      <c r="K1778" s="7" t="s">
        <v>114</v>
      </c>
      <c r="L1778" s="7">
        <v>2</v>
      </c>
      <c r="M1778" s="7">
        <v>10</v>
      </c>
      <c r="N1778" s="7" t="s">
        <v>28</v>
      </c>
    </row>
    <row r="1779" spans="1:14" x14ac:dyDescent="0.3">
      <c r="A1779" s="3" t="s">
        <v>1862</v>
      </c>
      <c r="B1779" s="3" t="s">
        <v>134</v>
      </c>
      <c r="C1779" s="3">
        <v>2</v>
      </c>
      <c r="D1779" s="6">
        <v>49.9</v>
      </c>
      <c r="E1779" s="6">
        <v>99.8</v>
      </c>
      <c r="F1779" s="5">
        <v>45722</v>
      </c>
      <c r="G1779" s="5">
        <v>45725</v>
      </c>
      <c r="H1779" s="3" t="s">
        <v>26</v>
      </c>
      <c r="I1779" s="4" t="s">
        <v>21</v>
      </c>
      <c r="J1779" s="3">
        <v>4</v>
      </c>
      <c r="K1779" s="3" t="s">
        <v>119</v>
      </c>
      <c r="L1779" s="3">
        <v>3</v>
      </c>
      <c r="M1779" s="3">
        <v>10</v>
      </c>
      <c r="N1779" s="3" t="s">
        <v>28</v>
      </c>
    </row>
    <row r="1780" spans="1:14" x14ac:dyDescent="0.3">
      <c r="A1780" s="7" t="s">
        <v>1863</v>
      </c>
      <c r="B1780" s="7" t="s">
        <v>49</v>
      </c>
      <c r="C1780" s="7">
        <v>2</v>
      </c>
      <c r="D1780" s="10">
        <v>20.2</v>
      </c>
      <c r="E1780" s="10">
        <v>40.4</v>
      </c>
      <c r="F1780" s="9">
        <v>45722</v>
      </c>
      <c r="G1780" s="9">
        <v>45724</v>
      </c>
      <c r="H1780" s="7" t="s">
        <v>31</v>
      </c>
      <c r="I1780" s="8" t="s">
        <v>56</v>
      </c>
      <c r="J1780" s="7">
        <v>4</v>
      </c>
      <c r="K1780" s="7" t="s">
        <v>121</v>
      </c>
      <c r="L1780" s="7">
        <v>2</v>
      </c>
      <c r="M1780" s="7">
        <v>10</v>
      </c>
      <c r="N1780" s="7" t="s">
        <v>33</v>
      </c>
    </row>
    <row r="1781" spans="1:14" x14ac:dyDescent="0.3">
      <c r="A1781" s="3" t="s">
        <v>1864</v>
      </c>
      <c r="B1781" s="3" t="s">
        <v>44</v>
      </c>
      <c r="C1781" s="3">
        <v>3</v>
      </c>
      <c r="D1781" s="6">
        <v>48.4</v>
      </c>
      <c r="E1781" s="6">
        <v>145.19999999999999</v>
      </c>
      <c r="F1781" s="5">
        <v>45722</v>
      </c>
      <c r="G1781" s="5">
        <v>45727</v>
      </c>
      <c r="H1781" s="3" t="s">
        <v>31</v>
      </c>
      <c r="I1781" s="4" t="s">
        <v>21</v>
      </c>
      <c r="J1781" s="3">
        <v>5</v>
      </c>
      <c r="K1781" s="3" t="s">
        <v>121</v>
      </c>
      <c r="L1781" s="3">
        <v>5</v>
      </c>
      <c r="M1781" s="3">
        <v>10</v>
      </c>
      <c r="N1781" s="3" t="s">
        <v>33</v>
      </c>
    </row>
    <row r="1782" spans="1:14" x14ac:dyDescent="0.3">
      <c r="A1782" s="7" t="s">
        <v>1865</v>
      </c>
      <c r="B1782" s="7" t="s">
        <v>44</v>
      </c>
      <c r="C1782" s="7">
        <v>2</v>
      </c>
      <c r="D1782" s="10">
        <v>81</v>
      </c>
      <c r="E1782" s="10">
        <v>162</v>
      </c>
      <c r="F1782" s="9">
        <v>45722</v>
      </c>
      <c r="G1782" s="9">
        <v>45723</v>
      </c>
      <c r="H1782" s="7" t="s">
        <v>31</v>
      </c>
      <c r="I1782" s="8" t="s">
        <v>40</v>
      </c>
      <c r="J1782" s="7">
        <v>5</v>
      </c>
      <c r="K1782" s="7" t="s">
        <v>121</v>
      </c>
      <c r="L1782" s="7">
        <v>1</v>
      </c>
      <c r="M1782" s="7">
        <v>10</v>
      </c>
      <c r="N1782" s="7" t="s">
        <v>33</v>
      </c>
    </row>
    <row r="1783" spans="1:14" x14ac:dyDescent="0.3">
      <c r="A1783" s="3" t="s">
        <v>1866</v>
      </c>
      <c r="B1783" s="3" t="s">
        <v>49</v>
      </c>
      <c r="C1783" s="3">
        <v>6</v>
      </c>
      <c r="D1783" s="6">
        <v>19.899999999999999</v>
      </c>
      <c r="E1783" s="6">
        <v>119.4</v>
      </c>
      <c r="F1783" s="5">
        <v>45722</v>
      </c>
      <c r="G1783" s="5">
        <v>45725</v>
      </c>
      <c r="H1783" s="3" t="s">
        <v>31</v>
      </c>
      <c r="I1783" s="4" t="s">
        <v>21</v>
      </c>
      <c r="J1783" s="3">
        <v>3</v>
      </c>
      <c r="K1783" s="3" t="s">
        <v>153</v>
      </c>
      <c r="L1783" s="3">
        <v>3</v>
      </c>
      <c r="M1783" s="3">
        <v>10</v>
      </c>
      <c r="N1783" s="3" t="s">
        <v>33</v>
      </c>
    </row>
    <row r="1784" spans="1:14" x14ac:dyDescent="0.3">
      <c r="A1784" s="7" t="s">
        <v>1867</v>
      </c>
      <c r="B1784" s="7" t="s">
        <v>37</v>
      </c>
      <c r="C1784" s="7">
        <v>4</v>
      </c>
      <c r="D1784" s="10">
        <v>32.200000000000003</v>
      </c>
      <c r="E1784" s="10">
        <v>128.80000000000001</v>
      </c>
      <c r="F1784" s="9">
        <v>45722</v>
      </c>
      <c r="G1784" s="9">
        <v>45732</v>
      </c>
      <c r="H1784" s="7" t="s">
        <v>26</v>
      </c>
      <c r="I1784" s="8" t="s">
        <v>21</v>
      </c>
      <c r="J1784" s="7">
        <v>4</v>
      </c>
      <c r="K1784" s="7" t="s">
        <v>153</v>
      </c>
      <c r="L1784" s="7">
        <v>10</v>
      </c>
      <c r="M1784" s="7">
        <v>10</v>
      </c>
      <c r="N1784" s="7" t="s">
        <v>28</v>
      </c>
    </row>
    <row r="1785" spans="1:14" x14ac:dyDescent="0.3">
      <c r="A1785" s="3" t="s">
        <v>1868</v>
      </c>
      <c r="B1785" s="3" t="s">
        <v>42</v>
      </c>
      <c r="C1785" s="3">
        <v>3</v>
      </c>
      <c r="D1785" s="6">
        <v>76.8</v>
      </c>
      <c r="E1785" s="6">
        <v>230.4</v>
      </c>
      <c r="F1785" s="5">
        <v>45722</v>
      </c>
      <c r="G1785" s="5">
        <v>45723</v>
      </c>
      <c r="H1785" s="3" t="s">
        <v>31</v>
      </c>
      <c r="I1785" s="4" t="s">
        <v>21</v>
      </c>
      <c r="J1785" s="3">
        <v>3</v>
      </c>
      <c r="K1785" s="3" t="s">
        <v>38</v>
      </c>
      <c r="L1785" s="3">
        <v>1</v>
      </c>
      <c r="M1785" s="3">
        <v>10</v>
      </c>
      <c r="N1785" s="3" t="s">
        <v>33</v>
      </c>
    </row>
    <row r="1786" spans="1:14" x14ac:dyDescent="0.3">
      <c r="A1786" s="7" t="s">
        <v>1869</v>
      </c>
      <c r="B1786" s="7" t="s">
        <v>44</v>
      </c>
      <c r="C1786" s="7">
        <v>2</v>
      </c>
      <c r="D1786" s="10">
        <v>41.9</v>
      </c>
      <c r="E1786" s="10">
        <v>83.8</v>
      </c>
      <c r="F1786" s="9">
        <v>45722</v>
      </c>
      <c r="G1786" s="9">
        <v>45724</v>
      </c>
      <c r="H1786" s="7" t="s">
        <v>31</v>
      </c>
      <c r="I1786" s="8" t="s">
        <v>21</v>
      </c>
      <c r="J1786" s="7">
        <v>4</v>
      </c>
      <c r="K1786" s="7" t="s">
        <v>38</v>
      </c>
      <c r="L1786" s="7">
        <v>2</v>
      </c>
      <c r="M1786" s="7">
        <v>10</v>
      </c>
      <c r="N1786" s="7" t="s">
        <v>33</v>
      </c>
    </row>
    <row r="1787" spans="1:14" x14ac:dyDescent="0.3">
      <c r="A1787" s="3" t="s">
        <v>1870</v>
      </c>
      <c r="B1787" s="3" t="s">
        <v>20</v>
      </c>
      <c r="C1787" s="3">
        <v>7</v>
      </c>
      <c r="D1787" s="6">
        <v>34</v>
      </c>
      <c r="E1787" s="6">
        <v>238</v>
      </c>
      <c r="F1787" s="5">
        <v>45722</v>
      </c>
      <c r="G1787" s="5">
        <v>45724</v>
      </c>
      <c r="H1787" s="3" t="s">
        <v>31</v>
      </c>
      <c r="I1787" s="4" t="s">
        <v>40</v>
      </c>
      <c r="J1787" s="3">
        <v>5</v>
      </c>
      <c r="K1787" s="3" t="s">
        <v>38</v>
      </c>
      <c r="L1787" s="3">
        <v>2</v>
      </c>
      <c r="M1787" s="3">
        <v>10</v>
      </c>
      <c r="N1787" s="3" t="s">
        <v>33</v>
      </c>
    </row>
    <row r="1788" spans="1:14" x14ac:dyDescent="0.3">
      <c r="A1788" s="7" t="s">
        <v>1871</v>
      </c>
      <c r="B1788" s="7" t="s">
        <v>47</v>
      </c>
      <c r="C1788" s="7">
        <v>7</v>
      </c>
      <c r="D1788" s="10">
        <v>61.3</v>
      </c>
      <c r="E1788" s="10">
        <v>429.1</v>
      </c>
      <c r="F1788" s="9">
        <v>45722</v>
      </c>
      <c r="G1788" s="9">
        <v>45722</v>
      </c>
      <c r="H1788" s="7" t="s">
        <v>31</v>
      </c>
      <c r="I1788" s="8" t="s">
        <v>75</v>
      </c>
      <c r="J1788" s="7">
        <v>5</v>
      </c>
      <c r="K1788" s="7" t="s">
        <v>38</v>
      </c>
      <c r="L1788" s="7">
        <v>0</v>
      </c>
      <c r="M1788" s="7">
        <v>10</v>
      </c>
      <c r="N1788" s="7" t="s">
        <v>33</v>
      </c>
    </row>
    <row r="1789" spans="1:14" x14ac:dyDescent="0.3">
      <c r="A1789" s="3" t="s">
        <v>1872</v>
      </c>
      <c r="B1789" s="3" t="s">
        <v>51</v>
      </c>
      <c r="C1789" s="3">
        <v>1</v>
      </c>
      <c r="D1789" s="6">
        <v>54.7</v>
      </c>
      <c r="E1789" s="6">
        <v>54.7</v>
      </c>
      <c r="F1789" s="5">
        <v>45723</v>
      </c>
      <c r="G1789" s="5">
        <v>45724</v>
      </c>
      <c r="H1789" s="3" t="s">
        <v>26</v>
      </c>
      <c r="I1789" s="4" t="s">
        <v>21</v>
      </c>
      <c r="J1789" s="3">
        <v>3</v>
      </c>
      <c r="K1789" s="3" t="s">
        <v>38</v>
      </c>
      <c r="L1789" s="3">
        <v>1</v>
      </c>
      <c r="M1789" s="3">
        <v>10</v>
      </c>
      <c r="N1789" s="3" t="s">
        <v>28</v>
      </c>
    </row>
    <row r="1790" spans="1:14" x14ac:dyDescent="0.3">
      <c r="A1790" s="7" t="s">
        <v>1873</v>
      </c>
      <c r="B1790" s="7" t="s">
        <v>44</v>
      </c>
      <c r="C1790" s="7">
        <v>10</v>
      </c>
      <c r="D1790" s="10">
        <v>84.7</v>
      </c>
      <c r="E1790" s="10">
        <v>847</v>
      </c>
      <c r="F1790" s="9">
        <v>45723</v>
      </c>
      <c r="G1790" s="9">
        <v>45727</v>
      </c>
      <c r="H1790" s="7" t="s">
        <v>31</v>
      </c>
      <c r="I1790" s="8" t="s">
        <v>21</v>
      </c>
      <c r="J1790" s="7">
        <v>4</v>
      </c>
      <c r="K1790" s="7" t="s">
        <v>38</v>
      </c>
      <c r="L1790" s="7">
        <v>4</v>
      </c>
      <c r="M1790" s="7">
        <v>10</v>
      </c>
      <c r="N1790" s="7" t="s">
        <v>33</v>
      </c>
    </row>
    <row r="1791" spans="1:14" x14ac:dyDescent="0.3">
      <c r="A1791" s="3" t="s">
        <v>1874</v>
      </c>
      <c r="B1791" s="3" t="s">
        <v>25</v>
      </c>
      <c r="C1791" s="3">
        <v>3</v>
      </c>
      <c r="D1791" s="6">
        <v>93.4</v>
      </c>
      <c r="E1791" s="6">
        <v>280.2</v>
      </c>
      <c r="F1791" s="5">
        <v>45723</v>
      </c>
      <c r="G1791" s="5">
        <v>45727</v>
      </c>
      <c r="H1791" s="3" t="s">
        <v>31</v>
      </c>
      <c r="I1791" s="4" t="s">
        <v>56</v>
      </c>
      <c r="J1791" s="3">
        <v>4</v>
      </c>
      <c r="K1791" s="3" t="s">
        <v>38</v>
      </c>
      <c r="L1791" s="3">
        <v>4</v>
      </c>
      <c r="M1791" s="3">
        <v>10</v>
      </c>
      <c r="N1791" s="3" t="s">
        <v>33</v>
      </c>
    </row>
    <row r="1792" spans="1:14" x14ac:dyDescent="0.3">
      <c r="A1792" s="7" t="s">
        <v>1875</v>
      </c>
      <c r="B1792" s="7" t="s">
        <v>49</v>
      </c>
      <c r="C1792" s="7">
        <v>5</v>
      </c>
      <c r="D1792" s="10">
        <v>27</v>
      </c>
      <c r="E1792" s="10">
        <v>135</v>
      </c>
      <c r="F1792" s="9">
        <v>45723</v>
      </c>
      <c r="G1792" s="9">
        <v>45726</v>
      </c>
      <c r="H1792" s="7" t="s">
        <v>26</v>
      </c>
      <c r="I1792" s="8" t="s">
        <v>21</v>
      </c>
      <c r="J1792" s="7">
        <v>3</v>
      </c>
      <c r="K1792" s="7" t="s">
        <v>38</v>
      </c>
      <c r="L1792" s="7">
        <v>3</v>
      </c>
      <c r="M1792" s="7">
        <v>10</v>
      </c>
      <c r="N1792" s="7" t="s">
        <v>28</v>
      </c>
    </row>
    <row r="1793" spans="1:14" x14ac:dyDescent="0.3">
      <c r="A1793" s="3" t="s">
        <v>1876</v>
      </c>
      <c r="B1793" s="3" t="s">
        <v>20</v>
      </c>
      <c r="C1793" s="3">
        <v>4</v>
      </c>
      <c r="D1793" s="6">
        <v>10.9</v>
      </c>
      <c r="E1793" s="6">
        <v>43.6</v>
      </c>
      <c r="F1793" s="5">
        <v>45723</v>
      </c>
      <c r="G1793" s="5">
        <v>45724</v>
      </c>
      <c r="H1793" s="3" t="s">
        <v>26</v>
      </c>
      <c r="I1793" s="4" t="s">
        <v>45</v>
      </c>
      <c r="J1793" s="3">
        <v>4</v>
      </c>
      <c r="K1793" s="3" t="s">
        <v>38</v>
      </c>
      <c r="L1793" s="3">
        <v>1</v>
      </c>
      <c r="M1793" s="3">
        <v>10</v>
      </c>
      <c r="N1793" s="3" t="s">
        <v>28</v>
      </c>
    </row>
    <row r="1794" spans="1:14" x14ac:dyDescent="0.3">
      <c r="A1794" s="7" t="s">
        <v>1877</v>
      </c>
      <c r="B1794" s="7" t="s">
        <v>134</v>
      </c>
      <c r="C1794" s="7">
        <v>3</v>
      </c>
      <c r="D1794" s="10">
        <v>48</v>
      </c>
      <c r="E1794" s="10">
        <v>144</v>
      </c>
      <c r="F1794" s="9">
        <v>45723</v>
      </c>
      <c r="G1794" s="9">
        <v>45728</v>
      </c>
      <c r="H1794" s="7" t="s">
        <v>31</v>
      </c>
      <c r="I1794" s="8" t="s">
        <v>75</v>
      </c>
      <c r="J1794" s="7">
        <v>4</v>
      </c>
      <c r="K1794" s="7" t="s">
        <v>38</v>
      </c>
      <c r="L1794" s="7">
        <v>5</v>
      </c>
      <c r="M1794" s="7">
        <v>10</v>
      </c>
      <c r="N1794" s="7" t="s">
        <v>33</v>
      </c>
    </row>
    <row r="1795" spans="1:14" x14ac:dyDescent="0.3">
      <c r="A1795" s="3" t="s">
        <v>1878</v>
      </c>
      <c r="B1795" s="3" t="s">
        <v>42</v>
      </c>
      <c r="C1795" s="3">
        <v>2</v>
      </c>
      <c r="D1795" s="6">
        <v>67.900000000000006</v>
      </c>
      <c r="E1795" s="6">
        <v>135.80000000000001</v>
      </c>
      <c r="F1795" s="5">
        <v>45723</v>
      </c>
      <c r="G1795" s="5">
        <v>45724</v>
      </c>
      <c r="H1795" s="3" t="s">
        <v>26</v>
      </c>
      <c r="I1795" s="4" t="s">
        <v>21</v>
      </c>
      <c r="J1795" s="3">
        <v>5</v>
      </c>
      <c r="K1795" s="3" t="s">
        <v>164</v>
      </c>
      <c r="L1795" s="3">
        <v>1</v>
      </c>
      <c r="M1795" s="3">
        <v>10</v>
      </c>
      <c r="N1795" s="3" t="s">
        <v>28</v>
      </c>
    </row>
    <row r="1796" spans="1:14" x14ac:dyDescent="0.3">
      <c r="A1796" s="7" t="s">
        <v>1879</v>
      </c>
      <c r="B1796" s="7" t="s">
        <v>37</v>
      </c>
      <c r="C1796" s="7">
        <v>3</v>
      </c>
      <c r="D1796" s="10">
        <v>36</v>
      </c>
      <c r="E1796" s="10">
        <v>108</v>
      </c>
      <c r="F1796" s="9">
        <v>45723</v>
      </c>
      <c r="G1796" s="9">
        <v>45724</v>
      </c>
      <c r="H1796" s="7" t="s">
        <v>26</v>
      </c>
      <c r="I1796" s="8" t="s">
        <v>40</v>
      </c>
      <c r="J1796" s="7">
        <v>4</v>
      </c>
      <c r="K1796" s="7" t="s">
        <v>60</v>
      </c>
      <c r="L1796" s="7">
        <v>1</v>
      </c>
      <c r="M1796" s="7">
        <v>10</v>
      </c>
      <c r="N1796" s="7" t="s">
        <v>28</v>
      </c>
    </row>
    <row r="1797" spans="1:14" x14ac:dyDescent="0.3">
      <c r="A1797" s="3" t="s">
        <v>1880</v>
      </c>
      <c r="B1797" s="3" t="s">
        <v>30</v>
      </c>
      <c r="C1797" s="3">
        <v>1</v>
      </c>
      <c r="D1797" s="6">
        <v>128.80000000000001</v>
      </c>
      <c r="E1797" s="6">
        <v>128.80000000000001</v>
      </c>
      <c r="F1797" s="5">
        <v>45723</v>
      </c>
      <c r="G1797" s="5">
        <v>45724</v>
      </c>
      <c r="H1797" s="3" t="s">
        <v>26</v>
      </c>
      <c r="I1797" s="4" t="s">
        <v>75</v>
      </c>
      <c r="J1797" s="3">
        <v>5</v>
      </c>
      <c r="K1797" s="3" t="s">
        <v>60</v>
      </c>
      <c r="L1797" s="3">
        <v>1</v>
      </c>
      <c r="M1797" s="3">
        <v>10</v>
      </c>
      <c r="N1797" s="3" t="s">
        <v>28</v>
      </c>
    </row>
    <row r="1798" spans="1:14" x14ac:dyDescent="0.3">
      <c r="A1798" s="7" t="s">
        <v>1881</v>
      </c>
      <c r="B1798" s="7" t="s">
        <v>152</v>
      </c>
      <c r="C1798" s="7">
        <v>7</v>
      </c>
      <c r="D1798" s="10">
        <v>33.299999999999997</v>
      </c>
      <c r="E1798" s="10">
        <v>233.1</v>
      </c>
      <c r="F1798" s="9">
        <v>45723</v>
      </c>
      <c r="G1798" s="9">
        <v>45724</v>
      </c>
      <c r="H1798" s="7" t="s">
        <v>31</v>
      </c>
      <c r="I1798" s="8" t="s">
        <v>56</v>
      </c>
      <c r="J1798" s="7">
        <v>4</v>
      </c>
      <c r="K1798" s="7" t="s">
        <v>67</v>
      </c>
      <c r="L1798" s="7">
        <v>1</v>
      </c>
      <c r="M1798" s="7">
        <v>10</v>
      </c>
      <c r="N1798" s="7" t="s">
        <v>33</v>
      </c>
    </row>
    <row r="1799" spans="1:14" x14ac:dyDescent="0.3">
      <c r="A1799" s="3" t="s">
        <v>1882</v>
      </c>
      <c r="B1799" s="3" t="s">
        <v>59</v>
      </c>
      <c r="C1799" s="3">
        <v>3</v>
      </c>
      <c r="D1799" s="6">
        <v>37.799999999999997</v>
      </c>
      <c r="E1799" s="6">
        <v>113.4</v>
      </c>
      <c r="F1799" s="5">
        <v>45723</v>
      </c>
      <c r="G1799" s="5">
        <v>45725</v>
      </c>
      <c r="H1799" s="3" t="s">
        <v>26</v>
      </c>
      <c r="I1799" s="4" t="s">
        <v>40</v>
      </c>
      <c r="J1799" s="3">
        <v>5</v>
      </c>
      <c r="K1799" s="3" t="s">
        <v>67</v>
      </c>
      <c r="L1799" s="3">
        <v>2</v>
      </c>
      <c r="M1799" s="3">
        <v>10</v>
      </c>
      <c r="N1799" s="3" t="s">
        <v>28</v>
      </c>
    </row>
    <row r="1800" spans="1:14" x14ac:dyDescent="0.3">
      <c r="A1800" s="7" t="s">
        <v>1883</v>
      </c>
      <c r="B1800" s="7" t="s">
        <v>42</v>
      </c>
      <c r="C1800" s="7">
        <v>3</v>
      </c>
      <c r="D1800" s="10">
        <v>26</v>
      </c>
      <c r="E1800" s="10">
        <v>78</v>
      </c>
      <c r="F1800" s="9">
        <v>45723</v>
      </c>
      <c r="G1800" s="9">
        <v>45728</v>
      </c>
      <c r="H1800" s="7" t="s">
        <v>31</v>
      </c>
      <c r="I1800" s="8" t="s">
        <v>21</v>
      </c>
      <c r="J1800" s="7">
        <v>4</v>
      </c>
      <c r="K1800" s="7" t="s">
        <v>67</v>
      </c>
      <c r="L1800" s="7">
        <v>5</v>
      </c>
      <c r="M1800" s="7">
        <v>10</v>
      </c>
      <c r="N1800" s="7" t="s">
        <v>33</v>
      </c>
    </row>
    <row r="1801" spans="1:14" x14ac:dyDescent="0.3">
      <c r="A1801" s="3" t="s">
        <v>1884</v>
      </c>
      <c r="B1801" s="3" t="s">
        <v>49</v>
      </c>
      <c r="C1801" s="3">
        <v>19</v>
      </c>
      <c r="D1801" s="6">
        <v>28.3</v>
      </c>
      <c r="E1801" s="6">
        <v>537.70000000000005</v>
      </c>
      <c r="F1801" s="5">
        <v>45723</v>
      </c>
      <c r="G1801" s="5">
        <v>45724</v>
      </c>
      <c r="H1801" s="3" t="s">
        <v>31</v>
      </c>
      <c r="I1801" s="4" t="s">
        <v>56</v>
      </c>
      <c r="J1801" s="3">
        <v>2</v>
      </c>
      <c r="K1801" s="3" t="s">
        <v>67</v>
      </c>
      <c r="L1801" s="3">
        <v>1</v>
      </c>
      <c r="M1801" s="3">
        <v>10</v>
      </c>
      <c r="N1801" s="3" t="s">
        <v>33</v>
      </c>
    </row>
    <row r="1802" spans="1:14" x14ac:dyDescent="0.3">
      <c r="A1802" s="7" t="s">
        <v>1885</v>
      </c>
      <c r="B1802" s="7" t="s">
        <v>49</v>
      </c>
      <c r="C1802" s="7">
        <v>4</v>
      </c>
      <c r="D1802" s="10">
        <v>31.3</v>
      </c>
      <c r="E1802" s="10">
        <v>125.2</v>
      </c>
      <c r="F1802" s="9">
        <v>45723</v>
      </c>
      <c r="G1802" s="9">
        <v>45723</v>
      </c>
      <c r="H1802" s="7" t="s">
        <v>31</v>
      </c>
      <c r="I1802" s="8" t="s">
        <v>21</v>
      </c>
      <c r="J1802" s="7">
        <v>4</v>
      </c>
      <c r="K1802" s="7" t="s">
        <v>67</v>
      </c>
      <c r="L1802" s="7">
        <v>0</v>
      </c>
      <c r="M1802" s="7">
        <v>10</v>
      </c>
      <c r="N1802" s="7" t="s">
        <v>33</v>
      </c>
    </row>
    <row r="1803" spans="1:14" x14ac:dyDescent="0.3">
      <c r="A1803" s="3" t="s">
        <v>1886</v>
      </c>
      <c r="B1803" s="3" t="s">
        <v>47</v>
      </c>
      <c r="C1803" s="3">
        <v>3</v>
      </c>
      <c r="D1803" s="6">
        <v>69.5</v>
      </c>
      <c r="E1803" s="6">
        <v>208.5</v>
      </c>
      <c r="F1803" s="5">
        <v>45723</v>
      </c>
      <c r="G1803" s="5">
        <v>45724</v>
      </c>
      <c r="H1803" s="3" t="s">
        <v>31</v>
      </c>
      <c r="I1803" s="4" t="s">
        <v>56</v>
      </c>
      <c r="J1803" s="3">
        <v>5</v>
      </c>
      <c r="K1803" s="3" t="s">
        <v>67</v>
      </c>
      <c r="L1803" s="3">
        <v>1</v>
      </c>
      <c r="M1803" s="3">
        <v>10</v>
      </c>
      <c r="N1803" s="3" t="s">
        <v>33</v>
      </c>
    </row>
    <row r="1804" spans="1:14" x14ac:dyDescent="0.3">
      <c r="A1804" s="7" t="s">
        <v>1887</v>
      </c>
      <c r="B1804" s="7" t="s">
        <v>20</v>
      </c>
      <c r="C1804" s="7">
        <v>2</v>
      </c>
      <c r="D1804" s="10">
        <v>16.7</v>
      </c>
      <c r="E1804" s="10">
        <v>33.4</v>
      </c>
      <c r="F1804" s="9">
        <v>45723</v>
      </c>
      <c r="G1804" s="9">
        <v>45724</v>
      </c>
      <c r="H1804" s="7" t="s">
        <v>31</v>
      </c>
      <c r="I1804" s="8" t="s">
        <v>56</v>
      </c>
      <c r="J1804" s="7">
        <v>3</v>
      </c>
      <c r="K1804" s="7" t="s">
        <v>67</v>
      </c>
      <c r="L1804" s="7">
        <v>1</v>
      </c>
      <c r="M1804" s="7">
        <v>10</v>
      </c>
      <c r="N1804" s="7" t="s">
        <v>33</v>
      </c>
    </row>
    <row r="1805" spans="1:14" x14ac:dyDescent="0.3">
      <c r="A1805" s="3" t="s">
        <v>1888</v>
      </c>
      <c r="B1805" s="3" t="s">
        <v>51</v>
      </c>
      <c r="C1805" s="3">
        <v>2</v>
      </c>
      <c r="D1805" s="6">
        <v>62.6</v>
      </c>
      <c r="E1805" s="6">
        <v>125.2</v>
      </c>
      <c r="F1805" s="5">
        <v>45723</v>
      </c>
      <c r="G1805" s="5">
        <v>45724</v>
      </c>
      <c r="H1805" s="3" t="s">
        <v>26</v>
      </c>
      <c r="I1805" s="4" t="s">
        <v>45</v>
      </c>
      <c r="J1805" s="3">
        <v>5</v>
      </c>
      <c r="K1805" s="3" t="s">
        <v>77</v>
      </c>
      <c r="L1805" s="3">
        <v>1</v>
      </c>
      <c r="M1805" s="3">
        <v>10</v>
      </c>
      <c r="N1805" s="3" t="s">
        <v>28</v>
      </c>
    </row>
    <row r="1806" spans="1:14" x14ac:dyDescent="0.3">
      <c r="A1806" s="7" t="s">
        <v>1889</v>
      </c>
      <c r="B1806" s="7" t="s">
        <v>47</v>
      </c>
      <c r="C1806" s="7">
        <v>1</v>
      </c>
      <c r="D1806" s="10">
        <v>81.2</v>
      </c>
      <c r="E1806" s="10">
        <v>81.2</v>
      </c>
      <c r="F1806" s="9">
        <v>45723</v>
      </c>
      <c r="G1806" s="9">
        <v>45729</v>
      </c>
      <c r="H1806" s="7" t="s">
        <v>26</v>
      </c>
      <c r="I1806" s="8" t="s">
        <v>75</v>
      </c>
      <c r="J1806" s="7">
        <v>2</v>
      </c>
      <c r="K1806" s="7" t="s">
        <v>77</v>
      </c>
      <c r="L1806" s="7">
        <v>6</v>
      </c>
      <c r="M1806" s="7">
        <v>10</v>
      </c>
      <c r="N1806" s="7" t="s">
        <v>28</v>
      </c>
    </row>
    <row r="1807" spans="1:14" x14ac:dyDescent="0.3">
      <c r="A1807" s="3" t="s">
        <v>1890</v>
      </c>
      <c r="B1807" s="3" t="s">
        <v>20</v>
      </c>
      <c r="C1807" s="3">
        <v>10</v>
      </c>
      <c r="D1807" s="6">
        <v>12.7</v>
      </c>
      <c r="E1807" s="6">
        <v>127</v>
      </c>
      <c r="F1807" s="5">
        <v>45723</v>
      </c>
      <c r="G1807" s="5">
        <v>45724</v>
      </c>
      <c r="H1807" s="3" t="s">
        <v>31</v>
      </c>
      <c r="I1807" s="4" t="s">
        <v>21</v>
      </c>
      <c r="J1807" s="3">
        <v>5</v>
      </c>
      <c r="K1807" s="3" t="s">
        <v>77</v>
      </c>
      <c r="L1807" s="3">
        <v>1</v>
      </c>
      <c r="M1807" s="3">
        <v>10</v>
      </c>
      <c r="N1807" s="3" t="s">
        <v>33</v>
      </c>
    </row>
    <row r="1808" spans="1:14" x14ac:dyDescent="0.3">
      <c r="A1808" s="7" t="s">
        <v>1891</v>
      </c>
      <c r="B1808" s="7" t="s">
        <v>47</v>
      </c>
      <c r="C1808" s="7">
        <v>4</v>
      </c>
      <c r="D1808" s="10">
        <v>77.7</v>
      </c>
      <c r="E1808" s="10">
        <v>310.8</v>
      </c>
      <c r="F1808" s="9">
        <v>45724</v>
      </c>
      <c r="G1808" s="9">
        <v>45728</v>
      </c>
      <c r="H1808" s="7" t="s">
        <v>26</v>
      </c>
      <c r="I1808" s="8" t="s">
        <v>40</v>
      </c>
      <c r="J1808" s="7">
        <v>4</v>
      </c>
      <c r="K1808" s="7" t="s">
        <v>82</v>
      </c>
      <c r="L1808" s="7">
        <v>4</v>
      </c>
      <c r="M1808" s="7">
        <v>10</v>
      </c>
      <c r="N1808" s="7" t="s">
        <v>28</v>
      </c>
    </row>
    <row r="1809" spans="1:14" x14ac:dyDescent="0.3">
      <c r="A1809" s="3" t="s">
        <v>1892</v>
      </c>
      <c r="B1809" s="3" t="s">
        <v>42</v>
      </c>
      <c r="C1809" s="3">
        <v>2</v>
      </c>
      <c r="D1809" s="6">
        <v>37.299999999999997</v>
      </c>
      <c r="E1809" s="6">
        <v>74.599999999999994</v>
      </c>
      <c r="F1809" s="5">
        <v>45724</v>
      </c>
      <c r="G1809" s="5">
        <v>45725</v>
      </c>
      <c r="H1809" s="3" t="s">
        <v>31</v>
      </c>
      <c r="I1809" s="4" t="s">
        <v>21</v>
      </c>
      <c r="J1809" s="3">
        <v>5</v>
      </c>
      <c r="K1809" s="3" t="s">
        <v>114</v>
      </c>
      <c r="L1809" s="3">
        <v>1</v>
      </c>
      <c r="M1809" s="3">
        <v>10</v>
      </c>
      <c r="N1809" s="3" t="s">
        <v>33</v>
      </c>
    </row>
    <row r="1810" spans="1:14" x14ac:dyDescent="0.3">
      <c r="A1810" s="7" t="s">
        <v>1893</v>
      </c>
      <c r="B1810" s="7" t="s">
        <v>59</v>
      </c>
      <c r="C1810" s="7">
        <v>4</v>
      </c>
      <c r="D1810" s="10">
        <v>35.6</v>
      </c>
      <c r="E1810" s="10">
        <v>142.4</v>
      </c>
      <c r="F1810" s="9">
        <v>45724</v>
      </c>
      <c r="G1810" s="9">
        <v>45726</v>
      </c>
      <c r="H1810" s="7" t="s">
        <v>31</v>
      </c>
      <c r="I1810" s="8" t="s">
        <v>40</v>
      </c>
      <c r="J1810" s="7">
        <v>3</v>
      </c>
      <c r="K1810" s="7" t="s">
        <v>116</v>
      </c>
      <c r="L1810" s="7">
        <v>2</v>
      </c>
      <c r="M1810" s="7">
        <v>10</v>
      </c>
      <c r="N1810" s="7" t="s">
        <v>33</v>
      </c>
    </row>
    <row r="1811" spans="1:14" x14ac:dyDescent="0.3">
      <c r="A1811" s="3" t="s">
        <v>1894</v>
      </c>
      <c r="B1811" s="3" t="s">
        <v>30</v>
      </c>
      <c r="C1811" s="3">
        <v>3</v>
      </c>
      <c r="D1811" s="6">
        <v>95</v>
      </c>
      <c r="E1811" s="6">
        <v>285</v>
      </c>
      <c r="F1811" s="5">
        <v>45724</v>
      </c>
      <c r="G1811" s="5">
        <v>45728</v>
      </c>
      <c r="H1811" s="3" t="s">
        <v>31</v>
      </c>
      <c r="I1811" s="4" t="s">
        <v>45</v>
      </c>
      <c r="J1811" s="3">
        <v>5</v>
      </c>
      <c r="K1811" s="3" t="s">
        <v>315</v>
      </c>
      <c r="L1811" s="3">
        <v>4</v>
      </c>
      <c r="M1811" s="3">
        <v>10</v>
      </c>
      <c r="N1811" s="3" t="s">
        <v>33</v>
      </c>
    </row>
    <row r="1812" spans="1:14" x14ac:dyDescent="0.3">
      <c r="A1812" s="7" t="s">
        <v>1895</v>
      </c>
      <c r="B1812" s="7" t="s">
        <v>30</v>
      </c>
      <c r="C1812" s="7">
        <v>4</v>
      </c>
      <c r="D1812" s="10">
        <v>172.1</v>
      </c>
      <c r="E1812" s="10">
        <v>688.4</v>
      </c>
      <c r="F1812" s="9">
        <v>45724</v>
      </c>
      <c r="G1812" s="9">
        <v>45728</v>
      </c>
      <c r="H1812" s="7" t="s">
        <v>94</v>
      </c>
      <c r="I1812" s="8" t="s">
        <v>45</v>
      </c>
      <c r="J1812" s="7">
        <v>5</v>
      </c>
      <c r="K1812" s="7" t="s">
        <v>121</v>
      </c>
      <c r="L1812" s="7">
        <v>4</v>
      </c>
      <c r="M1812" s="7">
        <v>10</v>
      </c>
      <c r="N1812" s="7" t="s">
        <v>95</v>
      </c>
    </row>
    <row r="1813" spans="1:14" x14ac:dyDescent="0.3">
      <c r="A1813" s="3" t="s">
        <v>1896</v>
      </c>
      <c r="B1813" s="3" t="s">
        <v>30</v>
      </c>
      <c r="C1813" s="3">
        <v>2</v>
      </c>
      <c r="D1813" s="6">
        <v>233</v>
      </c>
      <c r="E1813" s="6">
        <v>466</v>
      </c>
      <c r="F1813" s="5">
        <v>45724</v>
      </c>
      <c r="G1813" s="5">
        <v>45727</v>
      </c>
      <c r="H1813" s="3" t="s">
        <v>31</v>
      </c>
      <c r="I1813" s="4" t="s">
        <v>40</v>
      </c>
      <c r="J1813" s="3">
        <v>4</v>
      </c>
      <c r="K1813" s="3" t="s">
        <v>121</v>
      </c>
      <c r="L1813" s="3">
        <v>3</v>
      </c>
      <c r="M1813" s="3">
        <v>10</v>
      </c>
      <c r="N1813" s="3" t="s">
        <v>33</v>
      </c>
    </row>
    <row r="1814" spans="1:14" x14ac:dyDescent="0.3">
      <c r="A1814" s="7" t="s">
        <v>1897</v>
      </c>
      <c r="B1814" s="7" t="s">
        <v>20</v>
      </c>
      <c r="C1814" s="7">
        <v>1</v>
      </c>
      <c r="D1814" s="10">
        <v>43.5</v>
      </c>
      <c r="E1814" s="10">
        <v>43.5</v>
      </c>
      <c r="F1814" s="9">
        <v>45724</v>
      </c>
      <c r="G1814" s="9">
        <v>45725</v>
      </c>
      <c r="H1814" s="7" t="s">
        <v>31</v>
      </c>
      <c r="I1814" s="8" t="s">
        <v>45</v>
      </c>
      <c r="J1814" s="7">
        <v>5</v>
      </c>
      <c r="K1814" s="7" t="s">
        <v>121</v>
      </c>
      <c r="L1814" s="7">
        <v>1</v>
      </c>
      <c r="M1814" s="7">
        <v>10</v>
      </c>
      <c r="N1814" s="7" t="s">
        <v>33</v>
      </c>
    </row>
    <row r="1815" spans="1:14" x14ac:dyDescent="0.3">
      <c r="A1815" s="3" t="s">
        <v>1898</v>
      </c>
      <c r="B1815" s="3" t="s">
        <v>51</v>
      </c>
      <c r="C1815" s="3">
        <v>2</v>
      </c>
      <c r="D1815" s="6">
        <v>47.8</v>
      </c>
      <c r="E1815" s="6">
        <v>95.6</v>
      </c>
      <c r="F1815" s="5">
        <v>45724</v>
      </c>
      <c r="G1815" s="5">
        <v>45727</v>
      </c>
      <c r="H1815" s="3" t="s">
        <v>26</v>
      </c>
      <c r="I1815" s="4" t="s">
        <v>75</v>
      </c>
      <c r="J1815" s="3">
        <v>5</v>
      </c>
      <c r="K1815" s="3" t="s">
        <v>27</v>
      </c>
      <c r="L1815" s="3">
        <v>3</v>
      </c>
      <c r="M1815" s="3">
        <v>10</v>
      </c>
      <c r="N1815" s="3" t="s">
        <v>28</v>
      </c>
    </row>
    <row r="1816" spans="1:14" x14ac:dyDescent="0.3">
      <c r="A1816" s="7" t="s">
        <v>1899</v>
      </c>
      <c r="B1816" s="7" t="s">
        <v>74</v>
      </c>
      <c r="C1816" s="7">
        <v>2</v>
      </c>
      <c r="D1816" s="10">
        <v>65.8</v>
      </c>
      <c r="E1816" s="10">
        <v>131.6</v>
      </c>
      <c r="F1816" s="9">
        <v>45724</v>
      </c>
      <c r="G1816" s="9">
        <v>45726</v>
      </c>
      <c r="H1816" s="7" t="s">
        <v>31</v>
      </c>
      <c r="I1816" s="8" t="s">
        <v>21</v>
      </c>
      <c r="J1816" s="7">
        <v>1</v>
      </c>
      <c r="K1816" s="7" t="s">
        <v>337</v>
      </c>
      <c r="L1816" s="7">
        <v>2</v>
      </c>
      <c r="M1816" s="7">
        <v>10</v>
      </c>
      <c r="N1816" s="7" t="s">
        <v>33</v>
      </c>
    </row>
    <row r="1817" spans="1:14" x14ac:dyDescent="0.3">
      <c r="A1817" s="3" t="s">
        <v>1900</v>
      </c>
      <c r="B1817" s="3" t="s">
        <v>129</v>
      </c>
      <c r="C1817" s="3">
        <v>11</v>
      </c>
      <c r="D1817" s="6">
        <v>38.700000000000003</v>
      </c>
      <c r="E1817" s="6">
        <v>425.7</v>
      </c>
      <c r="F1817" s="5">
        <v>45724</v>
      </c>
      <c r="G1817" s="5">
        <v>45724</v>
      </c>
      <c r="H1817" s="3" t="s">
        <v>26</v>
      </c>
      <c r="I1817" s="4" t="s">
        <v>21</v>
      </c>
      <c r="J1817" s="3">
        <v>4</v>
      </c>
      <c r="K1817" s="3" t="s">
        <v>153</v>
      </c>
      <c r="L1817" s="3">
        <v>0</v>
      </c>
      <c r="M1817" s="3">
        <v>10</v>
      </c>
      <c r="N1817" s="3" t="s">
        <v>28</v>
      </c>
    </row>
    <row r="1818" spans="1:14" x14ac:dyDescent="0.3">
      <c r="A1818" s="7" t="s">
        <v>1901</v>
      </c>
      <c r="B1818" s="7" t="s">
        <v>35</v>
      </c>
      <c r="C1818" s="7">
        <v>4</v>
      </c>
      <c r="D1818" s="10">
        <v>55.7</v>
      </c>
      <c r="E1818" s="10">
        <v>222.8</v>
      </c>
      <c r="F1818" s="9">
        <v>45724</v>
      </c>
      <c r="G1818" s="9">
        <v>45726</v>
      </c>
      <c r="H1818" s="7" t="s">
        <v>94</v>
      </c>
      <c r="I1818" s="8" t="s">
        <v>21</v>
      </c>
      <c r="J1818" s="7">
        <v>3</v>
      </c>
      <c r="K1818" s="7" t="s">
        <v>153</v>
      </c>
      <c r="L1818" s="7">
        <v>2</v>
      </c>
      <c r="M1818" s="7">
        <v>10</v>
      </c>
      <c r="N1818" s="7" t="s">
        <v>95</v>
      </c>
    </row>
    <row r="1819" spans="1:14" x14ac:dyDescent="0.3">
      <c r="A1819" s="3" t="s">
        <v>1902</v>
      </c>
      <c r="B1819" s="3" t="s">
        <v>47</v>
      </c>
      <c r="C1819" s="3">
        <v>2</v>
      </c>
      <c r="D1819" s="6">
        <v>102.4</v>
      </c>
      <c r="E1819" s="6">
        <v>204.8</v>
      </c>
      <c r="F1819" s="5">
        <v>45724</v>
      </c>
      <c r="G1819" s="5">
        <v>45724</v>
      </c>
      <c r="H1819" s="3" t="s">
        <v>31</v>
      </c>
      <c r="I1819" s="4" t="s">
        <v>40</v>
      </c>
      <c r="J1819" s="3">
        <v>4</v>
      </c>
      <c r="K1819" s="3" t="s">
        <v>38</v>
      </c>
      <c r="L1819" s="3">
        <v>0</v>
      </c>
      <c r="M1819" s="3">
        <v>10</v>
      </c>
      <c r="N1819" s="3" t="s">
        <v>33</v>
      </c>
    </row>
    <row r="1820" spans="1:14" x14ac:dyDescent="0.3">
      <c r="A1820" s="7" t="s">
        <v>1903</v>
      </c>
      <c r="B1820" s="7" t="s">
        <v>25</v>
      </c>
      <c r="C1820" s="7">
        <v>1</v>
      </c>
      <c r="D1820" s="10">
        <v>92</v>
      </c>
      <c r="E1820" s="10">
        <v>92</v>
      </c>
      <c r="F1820" s="9">
        <v>45724</v>
      </c>
      <c r="G1820" s="9">
        <v>45728</v>
      </c>
      <c r="H1820" s="7"/>
      <c r="I1820" s="8" t="s">
        <v>45</v>
      </c>
      <c r="J1820" s="7">
        <v>4</v>
      </c>
      <c r="K1820" s="7" t="s">
        <v>38</v>
      </c>
      <c r="L1820" s="7">
        <v>4</v>
      </c>
      <c r="M1820" s="7">
        <v>10</v>
      </c>
      <c r="N1820" s="7" t="s">
        <v>23</v>
      </c>
    </row>
    <row r="1821" spans="1:14" x14ac:dyDescent="0.3">
      <c r="A1821" s="3" t="s">
        <v>1904</v>
      </c>
      <c r="B1821" s="3" t="s">
        <v>44</v>
      </c>
      <c r="C1821" s="3">
        <v>4</v>
      </c>
      <c r="D1821" s="6">
        <v>75.900000000000006</v>
      </c>
      <c r="E1821" s="6">
        <v>303.60000000000002</v>
      </c>
      <c r="F1821" s="5">
        <v>45724</v>
      </c>
      <c r="G1821" s="5">
        <v>45726</v>
      </c>
      <c r="H1821" s="3" t="s">
        <v>31</v>
      </c>
      <c r="I1821" s="4" t="s">
        <v>40</v>
      </c>
      <c r="J1821" s="3">
        <v>4</v>
      </c>
      <c r="K1821" s="3" t="s">
        <v>38</v>
      </c>
      <c r="L1821" s="3">
        <v>2</v>
      </c>
      <c r="M1821" s="3">
        <v>10</v>
      </c>
      <c r="N1821" s="3" t="s">
        <v>33</v>
      </c>
    </row>
    <row r="1822" spans="1:14" x14ac:dyDescent="0.3">
      <c r="A1822" s="7" t="s">
        <v>1905</v>
      </c>
      <c r="B1822" s="7" t="s">
        <v>25</v>
      </c>
      <c r="C1822" s="7">
        <v>4</v>
      </c>
      <c r="D1822" s="10">
        <v>36.200000000000003</v>
      </c>
      <c r="E1822" s="10">
        <v>144.80000000000001</v>
      </c>
      <c r="F1822" s="9">
        <v>45724</v>
      </c>
      <c r="G1822" s="9">
        <v>45725</v>
      </c>
      <c r="H1822" s="7" t="s">
        <v>31</v>
      </c>
      <c r="I1822" s="8" t="s">
        <v>40</v>
      </c>
      <c r="J1822" s="7">
        <v>4</v>
      </c>
      <c r="K1822" s="7" t="s">
        <v>38</v>
      </c>
      <c r="L1822" s="7">
        <v>1</v>
      </c>
      <c r="M1822" s="7">
        <v>10</v>
      </c>
      <c r="N1822" s="7" t="s">
        <v>33</v>
      </c>
    </row>
    <row r="1823" spans="1:14" x14ac:dyDescent="0.3">
      <c r="A1823" s="3" t="s">
        <v>1906</v>
      </c>
      <c r="B1823" s="3" t="s">
        <v>44</v>
      </c>
      <c r="C1823" s="3">
        <v>87</v>
      </c>
      <c r="D1823" s="6">
        <v>83.5</v>
      </c>
      <c r="E1823" s="6">
        <v>7264.5</v>
      </c>
      <c r="F1823" s="5">
        <v>45724</v>
      </c>
      <c r="G1823" s="5">
        <v>45726</v>
      </c>
      <c r="H1823" s="3"/>
      <c r="I1823" s="4" t="s">
        <v>56</v>
      </c>
      <c r="J1823" s="3">
        <v>4</v>
      </c>
      <c r="K1823" s="3" t="s">
        <v>38</v>
      </c>
      <c r="L1823" s="3">
        <v>2</v>
      </c>
      <c r="M1823" s="3">
        <v>10</v>
      </c>
      <c r="N1823" s="3" t="s">
        <v>23</v>
      </c>
    </row>
    <row r="1824" spans="1:14" x14ac:dyDescent="0.3">
      <c r="A1824" s="7" t="s">
        <v>1907</v>
      </c>
      <c r="B1824" s="7" t="s">
        <v>177</v>
      </c>
      <c r="C1824" s="7">
        <v>12</v>
      </c>
      <c r="D1824" s="10">
        <v>52.4</v>
      </c>
      <c r="E1824" s="10">
        <v>628.79999999999995</v>
      </c>
      <c r="F1824" s="9">
        <v>45724</v>
      </c>
      <c r="G1824" s="9">
        <v>45724</v>
      </c>
      <c r="H1824" s="7" t="s">
        <v>26</v>
      </c>
      <c r="I1824" s="8" t="s">
        <v>45</v>
      </c>
      <c r="J1824" s="7">
        <v>4</v>
      </c>
      <c r="K1824" s="7" t="s">
        <v>38</v>
      </c>
      <c r="L1824" s="7">
        <v>0</v>
      </c>
      <c r="M1824" s="7">
        <v>10</v>
      </c>
      <c r="N1824" s="7" t="s">
        <v>28</v>
      </c>
    </row>
    <row r="1825" spans="1:14" x14ac:dyDescent="0.3">
      <c r="A1825" s="3" t="s">
        <v>1908</v>
      </c>
      <c r="B1825" s="3" t="s">
        <v>74</v>
      </c>
      <c r="C1825" s="3">
        <v>3</v>
      </c>
      <c r="D1825" s="6">
        <v>69.5</v>
      </c>
      <c r="E1825" s="6">
        <v>208.5</v>
      </c>
      <c r="F1825" s="5">
        <v>45724</v>
      </c>
      <c r="G1825" s="5">
        <v>45725</v>
      </c>
      <c r="H1825" s="3" t="s">
        <v>94</v>
      </c>
      <c r="I1825" s="4" t="s">
        <v>75</v>
      </c>
      <c r="J1825" s="3">
        <v>4</v>
      </c>
      <c r="K1825" s="3" t="s">
        <v>38</v>
      </c>
      <c r="L1825" s="3">
        <v>1</v>
      </c>
      <c r="M1825" s="3">
        <v>10</v>
      </c>
      <c r="N1825" s="3" t="s">
        <v>95</v>
      </c>
    </row>
    <row r="1826" spans="1:14" x14ac:dyDescent="0.3">
      <c r="A1826" s="7" t="s">
        <v>1909</v>
      </c>
      <c r="B1826" s="7" t="s">
        <v>20</v>
      </c>
      <c r="C1826" s="7">
        <v>1</v>
      </c>
      <c r="D1826" s="10">
        <v>15.5</v>
      </c>
      <c r="E1826" s="10">
        <v>15.5</v>
      </c>
      <c r="F1826" s="9">
        <v>45724</v>
      </c>
      <c r="G1826" s="9">
        <v>45726</v>
      </c>
      <c r="H1826" s="7" t="s">
        <v>26</v>
      </c>
      <c r="I1826" s="8" t="s">
        <v>21</v>
      </c>
      <c r="J1826" s="7">
        <v>4</v>
      </c>
      <c r="K1826" s="7" t="s">
        <v>38</v>
      </c>
      <c r="L1826" s="7">
        <v>2</v>
      </c>
      <c r="M1826" s="7">
        <v>10</v>
      </c>
      <c r="N1826" s="7" t="s">
        <v>28</v>
      </c>
    </row>
    <row r="1827" spans="1:14" x14ac:dyDescent="0.3">
      <c r="A1827" s="3" t="s">
        <v>1910</v>
      </c>
      <c r="B1827" s="3" t="s">
        <v>37</v>
      </c>
      <c r="C1827" s="3">
        <v>4</v>
      </c>
      <c r="D1827" s="6">
        <v>35.200000000000003</v>
      </c>
      <c r="E1827" s="6">
        <v>140.80000000000001</v>
      </c>
      <c r="F1827" s="5">
        <v>45724</v>
      </c>
      <c r="G1827" s="5">
        <v>45725</v>
      </c>
      <c r="H1827" s="3" t="s">
        <v>31</v>
      </c>
      <c r="I1827" s="4" t="s">
        <v>45</v>
      </c>
      <c r="J1827" s="3">
        <v>5</v>
      </c>
      <c r="K1827" s="3" t="s">
        <v>38</v>
      </c>
      <c r="L1827" s="3">
        <v>1</v>
      </c>
      <c r="M1827" s="3">
        <v>10</v>
      </c>
      <c r="N1827" s="3" t="s">
        <v>33</v>
      </c>
    </row>
    <row r="1828" spans="1:14" x14ac:dyDescent="0.3">
      <c r="A1828" s="7" t="s">
        <v>1911</v>
      </c>
      <c r="B1828" s="7" t="s">
        <v>49</v>
      </c>
      <c r="C1828" s="7">
        <v>6</v>
      </c>
      <c r="D1828" s="10">
        <v>34.6</v>
      </c>
      <c r="E1828" s="10">
        <v>207.6</v>
      </c>
      <c r="F1828" s="9">
        <v>45724</v>
      </c>
      <c r="G1828" s="9">
        <v>45725</v>
      </c>
      <c r="H1828" s="7"/>
      <c r="I1828" s="8" t="s">
        <v>21</v>
      </c>
      <c r="J1828" s="7">
        <v>3</v>
      </c>
      <c r="K1828" s="7" t="s">
        <v>38</v>
      </c>
      <c r="L1828" s="7">
        <v>1</v>
      </c>
      <c r="M1828" s="7">
        <v>10</v>
      </c>
      <c r="N1828" s="7" t="s">
        <v>23</v>
      </c>
    </row>
    <row r="1829" spans="1:14" x14ac:dyDescent="0.3">
      <c r="A1829" s="3" t="s">
        <v>1912</v>
      </c>
      <c r="B1829" s="3" t="s">
        <v>37</v>
      </c>
      <c r="C1829" s="3">
        <v>1</v>
      </c>
      <c r="D1829" s="6">
        <v>21.3</v>
      </c>
      <c r="E1829" s="6">
        <v>21.3</v>
      </c>
      <c r="F1829" s="5">
        <v>45725</v>
      </c>
      <c r="G1829" s="5">
        <v>45726</v>
      </c>
      <c r="H1829" s="3" t="s">
        <v>26</v>
      </c>
      <c r="I1829" s="4" t="s">
        <v>45</v>
      </c>
      <c r="J1829" s="3">
        <v>3</v>
      </c>
      <c r="K1829" s="3" t="s">
        <v>38</v>
      </c>
      <c r="L1829" s="3">
        <v>1</v>
      </c>
      <c r="M1829" s="3">
        <v>11</v>
      </c>
      <c r="N1829" s="3" t="s">
        <v>28</v>
      </c>
    </row>
    <row r="1830" spans="1:14" x14ac:dyDescent="0.3">
      <c r="A1830" s="7" t="s">
        <v>1913</v>
      </c>
      <c r="B1830" s="7" t="s">
        <v>44</v>
      </c>
      <c r="C1830" s="7">
        <v>2</v>
      </c>
      <c r="D1830" s="10">
        <v>136.5</v>
      </c>
      <c r="E1830" s="10">
        <v>273</v>
      </c>
      <c r="F1830" s="9">
        <v>45725</v>
      </c>
      <c r="G1830" s="9">
        <v>45731</v>
      </c>
      <c r="H1830" s="7" t="s">
        <v>31</v>
      </c>
      <c r="I1830" s="8" t="s">
        <v>21</v>
      </c>
      <c r="J1830" s="7">
        <v>4</v>
      </c>
      <c r="K1830" s="7" t="s">
        <v>79</v>
      </c>
      <c r="L1830" s="7">
        <v>6</v>
      </c>
      <c r="M1830" s="7">
        <v>11</v>
      </c>
      <c r="N1830" s="7" t="s">
        <v>33</v>
      </c>
    </row>
    <row r="1831" spans="1:14" x14ac:dyDescent="0.3">
      <c r="A1831" s="3" t="s">
        <v>1914</v>
      </c>
      <c r="B1831" s="3" t="s">
        <v>51</v>
      </c>
      <c r="C1831" s="3">
        <v>7</v>
      </c>
      <c r="D1831" s="6">
        <v>30.7</v>
      </c>
      <c r="E1831" s="6">
        <v>214.9</v>
      </c>
      <c r="F1831" s="5">
        <v>45725</v>
      </c>
      <c r="G1831" s="5">
        <v>45726</v>
      </c>
      <c r="H1831" s="3" t="s">
        <v>26</v>
      </c>
      <c r="I1831" s="4" t="s">
        <v>45</v>
      </c>
      <c r="J1831" s="3">
        <v>5</v>
      </c>
      <c r="K1831" s="3" t="s">
        <v>194</v>
      </c>
      <c r="L1831" s="3">
        <v>1</v>
      </c>
      <c r="M1831" s="3">
        <v>11</v>
      </c>
      <c r="N1831" s="3" t="s">
        <v>28</v>
      </c>
    </row>
    <row r="1832" spans="1:14" x14ac:dyDescent="0.3">
      <c r="A1832" s="7" t="s">
        <v>1915</v>
      </c>
      <c r="B1832" s="7" t="s">
        <v>25</v>
      </c>
      <c r="C1832" s="7">
        <v>2</v>
      </c>
      <c r="D1832" s="10">
        <v>61.6</v>
      </c>
      <c r="E1832" s="10">
        <v>123.2</v>
      </c>
      <c r="F1832" s="9">
        <v>45725</v>
      </c>
      <c r="G1832" s="9">
        <v>45726</v>
      </c>
      <c r="H1832" s="7" t="s">
        <v>31</v>
      </c>
      <c r="I1832" s="8" t="s">
        <v>45</v>
      </c>
      <c r="J1832" s="7">
        <v>5</v>
      </c>
      <c r="K1832" s="7" t="s">
        <v>164</v>
      </c>
      <c r="L1832" s="7">
        <v>1</v>
      </c>
      <c r="M1832" s="7">
        <v>11</v>
      </c>
      <c r="N1832" s="7" t="s">
        <v>33</v>
      </c>
    </row>
    <row r="1833" spans="1:14" x14ac:dyDescent="0.3">
      <c r="A1833" s="3" t="s">
        <v>1916</v>
      </c>
      <c r="B1833" s="3" t="s">
        <v>44</v>
      </c>
      <c r="C1833" s="3">
        <v>4</v>
      </c>
      <c r="D1833" s="6">
        <v>54.3</v>
      </c>
      <c r="E1833" s="6">
        <v>217.2</v>
      </c>
      <c r="F1833" s="5">
        <v>45725</v>
      </c>
      <c r="G1833" s="5">
        <v>45727</v>
      </c>
      <c r="H1833" s="3"/>
      <c r="I1833" s="4" t="s">
        <v>75</v>
      </c>
      <c r="J1833" s="3">
        <v>4</v>
      </c>
      <c r="K1833" s="3" t="s">
        <v>64</v>
      </c>
      <c r="L1833" s="3">
        <v>2</v>
      </c>
      <c r="M1833" s="3">
        <v>11</v>
      </c>
      <c r="N1833" s="3" t="s">
        <v>23</v>
      </c>
    </row>
    <row r="1834" spans="1:14" x14ac:dyDescent="0.3">
      <c r="A1834" s="7" t="s">
        <v>1917</v>
      </c>
      <c r="B1834" s="7" t="s">
        <v>25</v>
      </c>
      <c r="C1834" s="7">
        <v>2</v>
      </c>
      <c r="D1834" s="10">
        <v>44.1</v>
      </c>
      <c r="E1834" s="10">
        <v>88.2</v>
      </c>
      <c r="F1834" s="9">
        <v>45725</v>
      </c>
      <c r="G1834" s="9">
        <v>45737</v>
      </c>
      <c r="H1834" s="7" t="s">
        <v>31</v>
      </c>
      <c r="I1834" s="8" t="s">
        <v>21</v>
      </c>
      <c r="J1834" s="7">
        <v>5</v>
      </c>
      <c r="K1834" s="7" t="s">
        <v>67</v>
      </c>
      <c r="L1834" s="7">
        <v>12</v>
      </c>
      <c r="M1834" s="7">
        <v>11</v>
      </c>
      <c r="N1834" s="7" t="s">
        <v>33</v>
      </c>
    </row>
    <row r="1835" spans="1:14" x14ac:dyDescent="0.3">
      <c r="A1835" s="3" t="s">
        <v>1918</v>
      </c>
      <c r="B1835" s="3" t="s">
        <v>49</v>
      </c>
      <c r="C1835" s="3">
        <v>4</v>
      </c>
      <c r="D1835" s="6">
        <v>43.5</v>
      </c>
      <c r="E1835" s="6">
        <v>174</v>
      </c>
      <c r="F1835" s="5">
        <v>45725</v>
      </c>
      <c r="G1835" s="5">
        <v>45731</v>
      </c>
      <c r="H1835" s="3" t="s">
        <v>26</v>
      </c>
      <c r="I1835" s="4" t="s">
        <v>56</v>
      </c>
      <c r="J1835" s="3">
        <v>4</v>
      </c>
      <c r="K1835" s="3" t="s">
        <v>67</v>
      </c>
      <c r="L1835" s="3">
        <v>6</v>
      </c>
      <c r="M1835" s="3">
        <v>11</v>
      </c>
      <c r="N1835" s="3" t="s">
        <v>28</v>
      </c>
    </row>
    <row r="1836" spans="1:14" x14ac:dyDescent="0.3">
      <c r="A1836" s="7" t="s">
        <v>1919</v>
      </c>
      <c r="B1836" s="7" t="s">
        <v>49</v>
      </c>
      <c r="C1836" s="7">
        <v>3</v>
      </c>
      <c r="D1836" s="10">
        <v>48.2</v>
      </c>
      <c r="E1836" s="10">
        <v>144.6</v>
      </c>
      <c r="F1836" s="9">
        <v>45725</v>
      </c>
      <c r="G1836" s="9">
        <v>45729</v>
      </c>
      <c r="H1836" s="7" t="s">
        <v>26</v>
      </c>
      <c r="I1836" s="8" t="s">
        <v>56</v>
      </c>
      <c r="J1836" s="7">
        <v>3</v>
      </c>
      <c r="K1836" s="7" t="s">
        <v>67</v>
      </c>
      <c r="L1836" s="7">
        <v>4</v>
      </c>
      <c r="M1836" s="7">
        <v>11</v>
      </c>
      <c r="N1836" s="7" t="s">
        <v>28</v>
      </c>
    </row>
    <row r="1837" spans="1:14" x14ac:dyDescent="0.3">
      <c r="A1837" s="3" t="s">
        <v>1920</v>
      </c>
      <c r="B1837" s="3" t="s">
        <v>177</v>
      </c>
      <c r="C1837" s="3">
        <v>1</v>
      </c>
      <c r="D1837" s="6">
        <v>13.7</v>
      </c>
      <c r="E1837" s="6">
        <v>13.7</v>
      </c>
      <c r="F1837" s="5">
        <v>45725</v>
      </c>
      <c r="G1837" s="5">
        <v>45726</v>
      </c>
      <c r="H1837" s="3" t="s">
        <v>31</v>
      </c>
      <c r="I1837" s="4" t="s">
        <v>45</v>
      </c>
      <c r="J1837" s="3">
        <v>5</v>
      </c>
      <c r="K1837" s="3" t="s">
        <v>67</v>
      </c>
      <c r="L1837" s="3">
        <v>1</v>
      </c>
      <c r="M1837" s="3">
        <v>11</v>
      </c>
      <c r="N1837" s="3" t="s">
        <v>33</v>
      </c>
    </row>
    <row r="1838" spans="1:14" x14ac:dyDescent="0.3">
      <c r="A1838" s="7" t="s">
        <v>1921</v>
      </c>
      <c r="B1838" s="7" t="s">
        <v>30</v>
      </c>
      <c r="C1838" s="7">
        <v>2</v>
      </c>
      <c r="D1838" s="10">
        <v>110.5</v>
      </c>
      <c r="E1838" s="10">
        <v>221</v>
      </c>
      <c r="F1838" s="9">
        <v>45725</v>
      </c>
      <c r="G1838" s="9">
        <v>45726</v>
      </c>
      <c r="H1838" s="7" t="s">
        <v>31</v>
      </c>
      <c r="I1838" s="8" t="s">
        <v>21</v>
      </c>
      <c r="J1838" s="7">
        <v>3</v>
      </c>
      <c r="K1838" s="7" t="s">
        <v>67</v>
      </c>
      <c r="L1838" s="7">
        <v>1</v>
      </c>
      <c r="M1838" s="7">
        <v>11</v>
      </c>
      <c r="N1838" s="7" t="s">
        <v>33</v>
      </c>
    </row>
    <row r="1839" spans="1:14" x14ac:dyDescent="0.3">
      <c r="A1839" s="3" t="s">
        <v>1922</v>
      </c>
      <c r="B1839" s="3" t="s">
        <v>49</v>
      </c>
      <c r="C1839" s="3">
        <v>3</v>
      </c>
      <c r="D1839" s="6">
        <v>26</v>
      </c>
      <c r="E1839" s="6">
        <v>78</v>
      </c>
      <c r="F1839" s="5">
        <v>45725</v>
      </c>
      <c r="G1839" s="5">
        <v>45730</v>
      </c>
      <c r="H1839" s="3" t="s">
        <v>31</v>
      </c>
      <c r="I1839" s="4" t="s">
        <v>40</v>
      </c>
      <c r="J1839" s="3">
        <v>3</v>
      </c>
      <c r="K1839" s="3" t="s">
        <v>67</v>
      </c>
      <c r="L1839" s="3">
        <v>5</v>
      </c>
      <c r="M1839" s="3">
        <v>11</v>
      </c>
      <c r="N1839" s="3" t="s">
        <v>33</v>
      </c>
    </row>
    <row r="1840" spans="1:14" x14ac:dyDescent="0.3">
      <c r="A1840" s="7" t="s">
        <v>1923</v>
      </c>
      <c r="B1840" s="7" t="s">
        <v>30</v>
      </c>
      <c r="C1840" s="7">
        <v>10</v>
      </c>
      <c r="D1840" s="10">
        <v>140.69999999999999</v>
      </c>
      <c r="E1840" s="10">
        <v>1407</v>
      </c>
      <c r="F1840" s="9">
        <v>45725</v>
      </c>
      <c r="G1840" s="9">
        <v>45731</v>
      </c>
      <c r="H1840" s="7" t="s">
        <v>26</v>
      </c>
      <c r="I1840" s="8" t="s">
        <v>56</v>
      </c>
      <c r="J1840" s="7">
        <v>3</v>
      </c>
      <c r="K1840" s="7" t="s">
        <v>67</v>
      </c>
      <c r="L1840" s="7">
        <v>6</v>
      </c>
      <c r="M1840" s="7">
        <v>11</v>
      </c>
      <c r="N1840" s="7" t="s">
        <v>28</v>
      </c>
    </row>
    <row r="1841" spans="1:14" x14ac:dyDescent="0.3">
      <c r="A1841" s="3" t="s">
        <v>1924</v>
      </c>
      <c r="B1841" s="3" t="s">
        <v>141</v>
      </c>
      <c r="C1841" s="3">
        <v>2</v>
      </c>
      <c r="D1841" s="6">
        <v>41.7</v>
      </c>
      <c r="E1841" s="6">
        <v>83.4</v>
      </c>
      <c r="F1841" s="5">
        <v>45725</v>
      </c>
      <c r="G1841" s="5">
        <v>45733</v>
      </c>
      <c r="H1841" s="3" t="s">
        <v>31</v>
      </c>
      <c r="I1841" s="4" t="s">
        <v>21</v>
      </c>
      <c r="J1841" s="3">
        <v>2</v>
      </c>
      <c r="K1841" s="3" t="s">
        <v>67</v>
      </c>
      <c r="L1841" s="3">
        <v>8</v>
      </c>
      <c r="M1841" s="3">
        <v>11</v>
      </c>
      <c r="N1841" s="3" t="s">
        <v>33</v>
      </c>
    </row>
    <row r="1842" spans="1:14" x14ac:dyDescent="0.3">
      <c r="A1842" s="7" t="s">
        <v>1925</v>
      </c>
      <c r="B1842" s="7" t="s">
        <v>30</v>
      </c>
      <c r="C1842" s="7">
        <v>2</v>
      </c>
      <c r="D1842" s="10">
        <v>135.1</v>
      </c>
      <c r="E1842" s="10">
        <v>270.2</v>
      </c>
      <c r="F1842" s="9">
        <v>45725</v>
      </c>
      <c r="G1842" s="9">
        <v>45726</v>
      </c>
      <c r="H1842" s="7" t="s">
        <v>26</v>
      </c>
      <c r="I1842" s="8" t="s">
        <v>21</v>
      </c>
      <c r="J1842" s="7">
        <v>5</v>
      </c>
      <c r="K1842" s="7" t="s">
        <v>109</v>
      </c>
      <c r="L1842" s="7">
        <v>1</v>
      </c>
      <c r="M1842" s="7">
        <v>11</v>
      </c>
      <c r="N1842" s="7" t="s">
        <v>28</v>
      </c>
    </row>
    <row r="1843" spans="1:14" x14ac:dyDescent="0.3">
      <c r="A1843" s="3" t="s">
        <v>1926</v>
      </c>
      <c r="B1843" s="3" t="s">
        <v>74</v>
      </c>
      <c r="C1843" s="3">
        <v>22</v>
      </c>
      <c r="D1843" s="6">
        <v>95.5</v>
      </c>
      <c r="E1843" s="6">
        <v>2101</v>
      </c>
      <c r="F1843" s="5">
        <v>45725</v>
      </c>
      <c r="G1843" s="5">
        <v>45726</v>
      </c>
      <c r="H1843" s="3" t="s">
        <v>31</v>
      </c>
      <c r="I1843" s="4" t="s">
        <v>75</v>
      </c>
      <c r="J1843" s="3">
        <v>2</v>
      </c>
      <c r="K1843" s="3" t="s">
        <v>207</v>
      </c>
      <c r="L1843" s="3">
        <v>1</v>
      </c>
      <c r="M1843" s="3">
        <v>11</v>
      </c>
      <c r="N1843" s="3" t="s">
        <v>33</v>
      </c>
    </row>
    <row r="1844" spans="1:14" x14ac:dyDescent="0.3">
      <c r="A1844" s="7" t="s">
        <v>1927</v>
      </c>
      <c r="B1844" s="7" t="s">
        <v>129</v>
      </c>
      <c r="C1844" s="7">
        <v>1</v>
      </c>
      <c r="D1844" s="10">
        <v>25.5</v>
      </c>
      <c r="E1844" s="10">
        <v>25.5</v>
      </c>
      <c r="F1844" s="9">
        <v>45725</v>
      </c>
      <c r="G1844" s="9">
        <v>45728</v>
      </c>
      <c r="H1844" s="7"/>
      <c r="I1844" s="8" t="s">
        <v>45</v>
      </c>
      <c r="J1844" s="7">
        <v>5</v>
      </c>
      <c r="K1844" s="7" t="s">
        <v>82</v>
      </c>
      <c r="L1844" s="7">
        <v>3</v>
      </c>
      <c r="M1844" s="7">
        <v>11</v>
      </c>
      <c r="N1844" s="7" t="s">
        <v>23</v>
      </c>
    </row>
    <row r="1845" spans="1:14" x14ac:dyDescent="0.3">
      <c r="A1845" s="3" t="s">
        <v>1928</v>
      </c>
      <c r="B1845" s="3" t="s">
        <v>25</v>
      </c>
      <c r="C1845" s="3">
        <v>1</v>
      </c>
      <c r="D1845" s="6">
        <v>42.6</v>
      </c>
      <c r="E1845" s="6">
        <v>42.6</v>
      </c>
      <c r="F1845" s="5">
        <v>45725</v>
      </c>
      <c r="G1845" s="5">
        <v>45729</v>
      </c>
      <c r="H1845" s="3" t="s">
        <v>31</v>
      </c>
      <c r="I1845" s="4" t="s">
        <v>21</v>
      </c>
      <c r="J1845" s="3">
        <v>4</v>
      </c>
      <c r="K1845" s="3" t="s">
        <v>82</v>
      </c>
      <c r="L1845" s="3">
        <v>4</v>
      </c>
      <c r="M1845" s="3">
        <v>11</v>
      </c>
      <c r="N1845" s="3" t="s">
        <v>33</v>
      </c>
    </row>
    <row r="1846" spans="1:14" x14ac:dyDescent="0.3">
      <c r="A1846" s="7" t="s">
        <v>1929</v>
      </c>
      <c r="B1846" s="7" t="s">
        <v>49</v>
      </c>
      <c r="C1846" s="7">
        <v>15</v>
      </c>
      <c r="D1846" s="10">
        <v>32.4</v>
      </c>
      <c r="E1846" s="10">
        <v>486</v>
      </c>
      <c r="F1846" s="9">
        <v>45725</v>
      </c>
      <c r="G1846" s="9">
        <v>45726</v>
      </c>
      <c r="H1846" s="7" t="s">
        <v>26</v>
      </c>
      <c r="I1846" s="8" t="s">
        <v>40</v>
      </c>
      <c r="J1846" s="7">
        <v>3</v>
      </c>
      <c r="K1846" s="7" t="s">
        <v>82</v>
      </c>
      <c r="L1846" s="7">
        <v>1</v>
      </c>
      <c r="M1846" s="7">
        <v>11</v>
      </c>
      <c r="N1846" s="7" t="s">
        <v>28</v>
      </c>
    </row>
    <row r="1847" spans="1:14" x14ac:dyDescent="0.3">
      <c r="A1847" s="3" t="s">
        <v>1930</v>
      </c>
      <c r="B1847" s="3" t="s">
        <v>37</v>
      </c>
      <c r="C1847" s="3">
        <v>4</v>
      </c>
      <c r="D1847" s="6">
        <v>20.2</v>
      </c>
      <c r="E1847" s="6">
        <v>80.8</v>
      </c>
      <c r="F1847" s="5">
        <v>45725</v>
      </c>
      <c r="G1847" s="5">
        <v>45726</v>
      </c>
      <c r="H1847" s="3" t="s">
        <v>94</v>
      </c>
      <c r="I1847" s="4" t="s">
        <v>45</v>
      </c>
      <c r="J1847" s="3">
        <v>4</v>
      </c>
      <c r="K1847" s="3" t="s">
        <v>82</v>
      </c>
      <c r="L1847" s="3">
        <v>1</v>
      </c>
      <c r="M1847" s="3">
        <v>11</v>
      </c>
      <c r="N1847" s="3" t="s">
        <v>95</v>
      </c>
    </row>
    <row r="1848" spans="1:14" x14ac:dyDescent="0.3">
      <c r="A1848" s="7" t="s">
        <v>1931</v>
      </c>
      <c r="B1848" s="7" t="s">
        <v>134</v>
      </c>
      <c r="C1848" s="7">
        <v>3</v>
      </c>
      <c r="D1848" s="10">
        <v>52.5</v>
      </c>
      <c r="E1848" s="10">
        <v>157.5</v>
      </c>
      <c r="F1848" s="9">
        <v>45725</v>
      </c>
      <c r="G1848" s="9">
        <v>45730</v>
      </c>
      <c r="H1848" s="7" t="s">
        <v>31</v>
      </c>
      <c r="I1848" s="8" t="s">
        <v>75</v>
      </c>
      <c r="J1848" s="7">
        <v>4</v>
      </c>
      <c r="K1848" s="7" t="s">
        <v>114</v>
      </c>
      <c r="L1848" s="7">
        <v>5</v>
      </c>
      <c r="M1848" s="7">
        <v>11</v>
      </c>
      <c r="N1848" s="7" t="s">
        <v>33</v>
      </c>
    </row>
    <row r="1849" spans="1:14" x14ac:dyDescent="0.3">
      <c r="A1849" s="3" t="s">
        <v>1932</v>
      </c>
      <c r="B1849" s="3" t="s">
        <v>30</v>
      </c>
      <c r="C1849" s="3">
        <v>5</v>
      </c>
      <c r="D1849" s="6">
        <v>59.9</v>
      </c>
      <c r="E1849" s="6">
        <v>299.5</v>
      </c>
      <c r="F1849" s="5">
        <v>45725</v>
      </c>
      <c r="G1849" s="5">
        <v>45727</v>
      </c>
      <c r="H1849" s="3" t="s">
        <v>31</v>
      </c>
      <c r="I1849" s="4" t="s">
        <v>45</v>
      </c>
      <c r="J1849" s="3">
        <v>4</v>
      </c>
      <c r="K1849" s="3" t="s">
        <v>116</v>
      </c>
      <c r="L1849" s="3">
        <v>2</v>
      </c>
      <c r="M1849" s="3">
        <v>11</v>
      </c>
      <c r="N1849" s="3" t="s">
        <v>33</v>
      </c>
    </row>
    <row r="1850" spans="1:14" x14ac:dyDescent="0.3">
      <c r="A1850" s="7" t="s">
        <v>1933</v>
      </c>
      <c r="B1850" s="7" t="s">
        <v>37</v>
      </c>
      <c r="C1850" s="7">
        <v>2</v>
      </c>
      <c r="D1850" s="10">
        <v>53.2</v>
      </c>
      <c r="E1850" s="10">
        <v>106.4</v>
      </c>
      <c r="F1850" s="9">
        <v>45725</v>
      </c>
      <c r="G1850" s="9">
        <v>45726</v>
      </c>
      <c r="H1850" s="7" t="s">
        <v>31</v>
      </c>
      <c r="I1850" s="8" t="s">
        <v>40</v>
      </c>
      <c r="J1850" s="7">
        <v>1</v>
      </c>
      <c r="K1850" s="7" t="s">
        <v>119</v>
      </c>
      <c r="L1850" s="7">
        <v>1</v>
      </c>
      <c r="M1850" s="7">
        <v>11</v>
      </c>
      <c r="N1850" s="7" t="s">
        <v>33</v>
      </c>
    </row>
    <row r="1851" spans="1:14" x14ac:dyDescent="0.3">
      <c r="A1851" s="3" t="s">
        <v>1934</v>
      </c>
      <c r="B1851" s="3" t="s">
        <v>30</v>
      </c>
      <c r="C1851" s="3">
        <v>2</v>
      </c>
      <c r="D1851" s="6">
        <v>60</v>
      </c>
      <c r="E1851" s="6">
        <v>120</v>
      </c>
      <c r="F1851" s="5">
        <v>45725</v>
      </c>
      <c r="G1851" s="5">
        <v>45731</v>
      </c>
      <c r="H1851" s="3" t="s">
        <v>26</v>
      </c>
      <c r="I1851" s="4" t="s">
        <v>40</v>
      </c>
      <c r="J1851" s="3">
        <v>5</v>
      </c>
      <c r="K1851" s="3" t="s">
        <v>119</v>
      </c>
      <c r="L1851" s="3">
        <v>6</v>
      </c>
      <c r="M1851" s="3">
        <v>11</v>
      </c>
      <c r="N1851" s="3" t="s">
        <v>28</v>
      </c>
    </row>
    <row r="1852" spans="1:14" x14ac:dyDescent="0.3">
      <c r="A1852" s="7" t="s">
        <v>1935</v>
      </c>
      <c r="B1852" s="7" t="s">
        <v>49</v>
      </c>
      <c r="C1852" s="7">
        <v>3</v>
      </c>
      <c r="D1852" s="10">
        <v>29.3</v>
      </c>
      <c r="E1852" s="10">
        <v>87.9</v>
      </c>
      <c r="F1852" s="9">
        <v>45725</v>
      </c>
      <c r="G1852" s="9">
        <v>45726</v>
      </c>
      <c r="H1852" s="7" t="s">
        <v>31</v>
      </c>
      <c r="I1852" s="8" t="s">
        <v>75</v>
      </c>
      <c r="J1852" s="7">
        <v>4</v>
      </c>
      <c r="K1852" s="7" t="s">
        <v>87</v>
      </c>
      <c r="L1852" s="7">
        <v>1</v>
      </c>
      <c r="M1852" s="7">
        <v>11</v>
      </c>
      <c r="N1852" s="7" t="s">
        <v>33</v>
      </c>
    </row>
    <row r="1853" spans="1:14" x14ac:dyDescent="0.3">
      <c r="A1853" s="3" t="s">
        <v>1936</v>
      </c>
      <c r="B1853" s="3" t="s">
        <v>74</v>
      </c>
      <c r="C1853" s="3">
        <v>2</v>
      </c>
      <c r="D1853" s="6">
        <v>55.4</v>
      </c>
      <c r="E1853" s="6">
        <v>110.8</v>
      </c>
      <c r="F1853" s="5">
        <v>45725</v>
      </c>
      <c r="G1853" s="5">
        <v>45726</v>
      </c>
      <c r="H1853" s="3" t="s">
        <v>31</v>
      </c>
      <c r="I1853" s="4" t="s">
        <v>21</v>
      </c>
      <c r="J1853" s="3">
        <v>5</v>
      </c>
      <c r="K1853" s="3" t="s">
        <v>121</v>
      </c>
      <c r="L1853" s="3">
        <v>1</v>
      </c>
      <c r="M1853" s="3">
        <v>11</v>
      </c>
      <c r="N1853" s="3" t="s">
        <v>33</v>
      </c>
    </row>
    <row r="1854" spans="1:14" x14ac:dyDescent="0.3">
      <c r="A1854" s="7" t="s">
        <v>1937</v>
      </c>
      <c r="B1854" s="7" t="s">
        <v>20</v>
      </c>
      <c r="C1854" s="7">
        <v>5</v>
      </c>
      <c r="D1854" s="10">
        <v>20.100000000000001</v>
      </c>
      <c r="E1854" s="10">
        <v>100.5</v>
      </c>
      <c r="F1854" s="9">
        <v>45725</v>
      </c>
      <c r="G1854" s="9">
        <v>45727</v>
      </c>
      <c r="H1854" s="7" t="s">
        <v>31</v>
      </c>
      <c r="I1854" s="8" t="s">
        <v>40</v>
      </c>
      <c r="J1854" s="7">
        <v>5</v>
      </c>
      <c r="K1854" s="7" t="s">
        <v>121</v>
      </c>
      <c r="L1854" s="7">
        <v>2</v>
      </c>
      <c r="M1854" s="7">
        <v>11</v>
      </c>
      <c r="N1854" s="7" t="s">
        <v>33</v>
      </c>
    </row>
    <row r="1855" spans="1:14" x14ac:dyDescent="0.3">
      <c r="A1855" s="3" t="s">
        <v>1938</v>
      </c>
      <c r="B1855" s="3" t="s">
        <v>86</v>
      </c>
      <c r="C1855" s="3">
        <v>5</v>
      </c>
      <c r="D1855" s="6">
        <v>24</v>
      </c>
      <c r="E1855" s="6">
        <v>120</v>
      </c>
      <c r="F1855" s="5">
        <v>45725</v>
      </c>
      <c r="G1855" s="5">
        <v>45728</v>
      </c>
      <c r="H1855" s="3" t="s">
        <v>26</v>
      </c>
      <c r="I1855" s="4" t="s">
        <v>45</v>
      </c>
      <c r="J1855" s="3">
        <v>4</v>
      </c>
      <c r="K1855" s="3" t="s">
        <v>27</v>
      </c>
      <c r="L1855" s="3">
        <v>3</v>
      </c>
      <c r="M1855" s="3">
        <v>11</v>
      </c>
      <c r="N1855" s="3" t="s">
        <v>28</v>
      </c>
    </row>
    <row r="1856" spans="1:14" x14ac:dyDescent="0.3">
      <c r="A1856" s="7" t="s">
        <v>1939</v>
      </c>
      <c r="B1856" s="7" t="s">
        <v>49</v>
      </c>
      <c r="C1856" s="7">
        <v>2</v>
      </c>
      <c r="D1856" s="10">
        <v>30.6</v>
      </c>
      <c r="E1856" s="10">
        <v>61.2</v>
      </c>
      <c r="F1856" s="9">
        <v>45726</v>
      </c>
      <c r="G1856" s="9">
        <v>45728</v>
      </c>
      <c r="H1856" s="7" t="s">
        <v>31</v>
      </c>
      <c r="I1856" s="8" t="s">
        <v>21</v>
      </c>
      <c r="J1856" s="7">
        <v>4</v>
      </c>
      <c r="K1856" s="7" t="s">
        <v>27</v>
      </c>
      <c r="L1856" s="7">
        <v>2</v>
      </c>
      <c r="M1856" s="7">
        <v>11</v>
      </c>
      <c r="N1856" s="7" t="s">
        <v>33</v>
      </c>
    </row>
    <row r="1857" spans="1:14" x14ac:dyDescent="0.3">
      <c r="A1857" s="3" t="s">
        <v>1940</v>
      </c>
      <c r="B1857" s="3" t="s">
        <v>59</v>
      </c>
      <c r="C1857" s="3">
        <v>5</v>
      </c>
      <c r="D1857" s="6">
        <v>33</v>
      </c>
      <c r="E1857" s="6">
        <v>165</v>
      </c>
      <c r="F1857" s="5">
        <v>45726</v>
      </c>
      <c r="G1857" s="5">
        <v>45727</v>
      </c>
      <c r="H1857" s="3" t="s">
        <v>26</v>
      </c>
      <c r="I1857" s="4" t="s">
        <v>40</v>
      </c>
      <c r="J1857" s="3">
        <v>3</v>
      </c>
      <c r="K1857" s="3" t="s">
        <v>214</v>
      </c>
      <c r="L1857" s="3">
        <v>1</v>
      </c>
      <c r="M1857" s="3">
        <v>11</v>
      </c>
      <c r="N1857" s="3" t="s">
        <v>28</v>
      </c>
    </row>
    <row r="1858" spans="1:14" x14ac:dyDescent="0.3">
      <c r="A1858" s="7" t="s">
        <v>1941</v>
      </c>
      <c r="B1858" s="7" t="s">
        <v>141</v>
      </c>
      <c r="C1858" s="7">
        <v>9</v>
      </c>
      <c r="D1858" s="10">
        <v>42.1</v>
      </c>
      <c r="E1858" s="10">
        <v>378.9</v>
      </c>
      <c r="F1858" s="9">
        <v>45726</v>
      </c>
      <c r="G1858" s="9">
        <v>45732</v>
      </c>
      <c r="H1858" s="7" t="s">
        <v>31</v>
      </c>
      <c r="I1858" s="8" t="s">
        <v>45</v>
      </c>
      <c r="J1858" s="7">
        <v>4</v>
      </c>
      <c r="K1858" s="7" t="s">
        <v>119</v>
      </c>
      <c r="L1858" s="7">
        <v>6</v>
      </c>
      <c r="M1858" s="7">
        <v>11</v>
      </c>
      <c r="N1858" s="7" t="s">
        <v>33</v>
      </c>
    </row>
    <row r="1859" spans="1:14" x14ac:dyDescent="0.3">
      <c r="A1859" s="3" t="s">
        <v>1942</v>
      </c>
      <c r="B1859" s="3" t="s">
        <v>44</v>
      </c>
      <c r="C1859" s="3">
        <v>7</v>
      </c>
      <c r="D1859" s="6">
        <v>77.7</v>
      </c>
      <c r="E1859" s="6">
        <v>543.9</v>
      </c>
      <c r="F1859" s="5">
        <v>45726</v>
      </c>
      <c r="G1859" s="5">
        <v>45731</v>
      </c>
      <c r="H1859" s="3" t="s">
        <v>31</v>
      </c>
      <c r="I1859" s="4" t="s">
        <v>40</v>
      </c>
      <c r="J1859" s="3">
        <v>5</v>
      </c>
      <c r="K1859" s="3" t="s">
        <v>207</v>
      </c>
      <c r="L1859" s="3">
        <v>5</v>
      </c>
      <c r="M1859" s="3">
        <v>11</v>
      </c>
      <c r="N1859" s="3" t="s">
        <v>33</v>
      </c>
    </row>
    <row r="1860" spans="1:14" x14ac:dyDescent="0.3">
      <c r="A1860" s="7" t="s">
        <v>1943</v>
      </c>
      <c r="B1860" s="7" t="s">
        <v>141</v>
      </c>
      <c r="C1860" s="7">
        <v>6</v>
      </c>
      <c r="D1860" s="10">
        <v>22.7</v>
      </c>
      <c r="E1860" s="10">
        <v>136.19999999999999</v>
      </c>
      <c r="F1860" s="9">
        <v>45726</v>
      </c>
      <c r="G1860" s="9">
        <v>45729</v>
      </c>
      <c r="H1860" s="7" t="s">
        <v>31</v>
      </c>
      <c r="I1860" s="8" t="s">
        <v>45</v>
      </c>
      <c r="J1860" s="7">
        <v>4</v>
      </c>
      <c r="K1860" s="7" t="s">
        <v>38</v>
      </c>
      <c r="L1860" s="7">
        <v>3</v>
      </c>
      <c r="M1860" s="7">
        <v>11</v>
      </c>
      <c r="N1860" s="7" t="s">
        <v>33</v>
      </c>
    </row>
    <row r="1861" spans="1:14" x14ac:dyDescent="0.3">
      <c r="A1861" s="3" t="s">
        <v>1944</v>
      </c>
      <c r="B1861" s="3" t="s">
        <v>30</v>
      </c>
      <c r="C1861" s="3">
        <v>2</v>
      </c>
      <c r="D1861" s="6">
        <v>133</v>
      </c>
      <c r="E1861" s="6">
        <v>266</v>
      </c>
      <c r="F1861" s="5">
        <v>45726</v>
      </c>
      <c r="G1861" s="5">
        <v>45726</v>
      </c>
      <c r="H1861" s="3" t="s">
        <v>26</v>
      </c>
      <c r="I1861" s="4" t="s">
        <v>45</v>
      </c>
      <c r="J1861" s="3">
        <v>5</v>
      </c>
      <c r="K1861" s="3" t="s">
        <v>38</v>
      </c>
      <c r="L1861" s="3">
        <v>0</v>
      </c>
      <c r="M1861" s="3">
        <v>11</v>
      </c>
      <c r="N1861" s="3" t="s">
        <v>28</v>
      </c>
    </row>
    <row r="1862" spans="1:14" x14ac:dyDescent="0.3">
      <c r="A1862" s="7" t="s">
        <v>1945</v>
      </c>
      <c r="B1862" s="7" t="s">
        <v>20</v>
      </c>
      <c r="C1862" s="7">
        <v>2</v>
      </c>
      <c r="D1862" s="10">
        <v>23.3</v>
      </c>
      <c r="E1862" s="10">
        <v>46.6</v>
      </c>
      <c r="F1862" s="9">
        <v>45726</v>
      </c>
      <c r="G1862" s="9">
        <v>45727</v>
      </c>
      <c r="H1862" s="7" t="s">
        <v>26</v>
      </c>
      <c r="I1862" s="8" t="s">
        <v>40</v>
      </c>
      <c r="J1862" s="7">
        <v>5</v>
      </c>
      <c r="K1862" s="7" t="s">
        <v>38</v>
      </c>
      <c r="L1862" s="7">
        <v>1</v>
      </c>
      <c r="M1862" s="7">
        <v>11</v>
      </c>
      <c r="N1862" s="7" t="s">
        <v>28</v>
      </c>
    </row>
    <row r="1863" spans="1:14" x14ac:dyDescent="0.3">
      <c r="A1863" s="3" t="s">
        <v>1946</v>
      </c>
      <c r="B1863" s="3" t="s">
        <v>49</v>
      </c>
      <c r="C1863" s="3">
        <v>3</v>
      </c>
      <c r="D1863" s="6">
        <v>20.7</v>
      </c>
      <c r="E1863" s="6">
        <v>62.099999999999987</v>
      </c>
      <c r="F1863" s="5">
        <v>45726</v>
      </c>
      <c r="G1863" s="5">
        <v>45728</v>
      </c>
      <c r="H1863" s="3" t="s">
        <v>94</v>
      </c>
      <c r="I1863" s="4" t="s">
        <v>21</v>
      </c>
      <c r="J1863" s="3">
        <v>5</v>
      </c>
      <c r="K1863" s="3" t="s">
        <v>38</v>
      </c>
      <c r="L1863" s="3">
        <v>2</v>
      </c>
      <c r="M1863" s="3">
        <v>11</v>
      </c>
      <c r="N1863" s="3" t="s">
        <v>95</v>
      </c>
    </row>
    <row r="1864" spans="1:14" x14ac:dyDescent="0.3">
      <c r="A1864" s="7" t="s">
        <v>1947</v>
      </c>
      <c r="B1864" s="7" t="s">
        <v>74</v>
      </c>
      <c r="C1864" s="7">
        <v>2</v>
      </c>
      <c r="D1864" s="10">
        <v>47</v>
      </c>
      <c r="E1864" s="10">
        <v>94</v>
      </c>
      <c r="F1864" s="9">
        <v>45726</v>
      </c>
      <c r="G1864" s="9">
        <v>45727</v>
      </c>
      <c r="H1864" s="7" t="s">
        <v>26</v>
      </c>
      <c r="I1864" s="8" t="s">
        <v>40</v>
      </c>
      <c r="J1864" s="7">
        <v>5</v>
      </c>
      <c r="K1864" s="7" t="s">
        <v>38</v>
      </c>
      <c r="L1864" s="7">
        <v>1</v>
      </c>
      <c r="M1864" s="7">
        <v>11</v>
      </c>
      <c r="N1864" s="7" t="s">
        <v>28</v>
      </c>
    </row>
    <row r="1865" spans="1:14" x14ac:dyDescent="0.3">
      <c r="A1865" s="3" t="s">
        <v>1948</v>
      </c>
      <c r="B1865" s="3" t="s">
        <v>74</v>
      </c>
      <c r="C1865" s="3">
        <v>3</v>
      </c>
      <c r="D1865" s="6">
        <v>38.200000000000003</v>
      </c>
      <c r="E1865" s="6">
        <v>114.6</v>
      </c>
      <c r="F1865" s="5">
        <v>45726</v>
      </c>
      <c r="G1865" s="5">
        <v>45728</v>
      </c>
      <c r="H1865" s="3" t="s">
        <v>31</v>
      </c>
      <c r="I1865" s="4" t="s">
        <v>45</v>
      </c>
      <c r="J1865" s="3">
        <v>2</v>
      </c>
      <c r="K1865" s="3" t="s">
        <v>38</v>
      </c>
      <c r="L1865" s="3">
        <v>2</v>
      </c>
      <c r="M1865" s="3">
        <v>11</v>
      </c>
      <c r="N1865" s="3" t="s">
        <v>33</v>
      </c>
    </row>
    <row r="1866" spans="1:14" x14ac:dyDescent="0.3">
      <c r="A1866" s="7" t="s">
        <v>1949</v>
      </c>
      <c r="B1866" s="7" t="s">
        <v>51</v>
      </c>
      <c r="C1866" s="7">
        <v>1</v>
      </c>
      <c r="D1866" s="10">
        <v>39.1</v>
      </c>
      <c r="E1866" s="10">
        <v>39.1</v>
      </c>
      <c r="F1866" s="9">
        <v>45726</v>
      </c>
      <c r="G1866" s="9">
        <v>45728</v>
      </c>
      <c r="H1866" s="7" t="s">
        <v>31</v>
      </c>
      <c r="I1866" s="8" t="s">
        <v>21</v>
      </c>
      <c r="J1866" s="7">
        <v>4</v>
      </c>
      <c r="K1866" s="7" t="s">
        <v>38</v>
      </c>
      <c r="L1866" s="7">
        <v>2</v>
      </c>
      <c r="M1866" s="7">
        <v>11</v>
      </c>
      <c r="N1866" s="7" t="s">
        <v>33</v>
      </c>
    </row>
    <row r="1867" spans="1:14" x14ac:dyDescent="0.3">
      <c r="A1867" s="3" t="s">
        <v>1950</v>
      </c>
      <c r="B1867" s="3" t="s">
        <v>47</v>
      </c>
      <c r="C1867" s="3">
        <v>25</v>
      </c>
      <c r="D1867" s="6">
        <v>55.6</v>
      </c>
      <c r="E1867" s="6">
        <v>1390</v>
      </c>
      <c r="F1867" s="5">
        <v>45726</v>
      </c>
      <c r="G1867" s="5">
        <v>45728</v>
      </c>
      <c r="H1867" s="3" t="s">
        <v>26</v>
      </c>
      <c r="I1867" s="4" t="s">
        <v>21</v>
      </c>
      <c r="J1867" s="3">
        <v>5</v>
      </c>
      <c r="K1867" s="3" t="s">
        <v>38</v>
      </c>
      <c r="L1867" s="3">
        <v>2</v>
      </c>
      <c r="M1867" s="3">
        <v>11</v>
      </c>
      <c r="N1867" s="3" t="s">
        <v>28</v>
      </c>
    </row>
    <row r="1868" spans="1:14" x14ac:dyDescent="0.3">
      <c r="A1868" s="7" t="s">
        <v>1951</v>
      </c>
      <c r="B1868" s="7" t="s">
        <v>129</v>
      </c>
      <c r="C1868" s="7">
        <v>1</v>
      </c>
      <c r="D1868" s="10">
        <v>43.1</v>
      </c>
      <c r="E1868" s="10">
        <v>43.1</v>
      </c>
      <c r="F1868" s="9">
        <v>45726</v>
      </c>
      <c r="G1868" s="9">
        <v>45726</v>
      </c>
      <c r="H1868" s="7" t="s">
        <v>94</v>
      </c>
      <c r="I1868" s="8" t="s">
        <v>40</v>
      </c>
      <c r="J1868" s="7">
        <v>5</v>
      </c>
      <c r="K1868" s="7" t="s">
        <v>38</v>
      </c>
      <c r="L1868" s="7">
        <v>0</v>
      </c>
      <c r="M1868" s="7">
        <v>11</v>
      </c>
      <c r="N1868" s="7" t="s">
        <v>95</v>
      </c>
    </row>
    <row r="1869" spans="1:14" x14ac:dyDescent="0.3">
      <c r="A1869" s="3" t="s">
        <v>1952</v>
      </c>
      <c r="B1869" s="3" t="s">
        <v>44</v>
      </c>
      <c r="C1869" s="3">
        <v>4</v>
      </c>
      <c r="D1869" s="6">
        <v>48.1</v>
      </c>
      <c r="E1869" s="6">
        <v>192.4</v>
      </c>
      <c r="F1869" s="5">
        <v>45726</v>
      </c>
      <c r="G1869" s="5">
        <v>45727</v>
      </c>
      <c r="H1869" s="3" t="s">
        <v>31</v>
      </c>
      <c r="I1869" s="4" t="s">
        <v>75</v>
      </c>
      <c r="J1869" s="3">
        <v>5</v>
      </c>
      <c r="K1869" s="3" t="s">
        <v>38</v>
      </c>
      <c r="L1869" s="3">
        <v>1</v>
      </c>
      <c r="M1869" s="3">
        <v>11</v>
      </c>
      <c r="N1869" s="3" t="s">
        <v>33</v>
      </c>
    </row>
    <row r="1870" spans="1:14" x14ac:dyDescent="0.3">
      <c r="A1870" s="7" t="s">
        <v>1953</v>
      </c>
      <c r="B1870" s="7" t="s">
        <v>37</v>
      </c>
      <c r="C1870" s="7">
        <v>1</v>
      </c>
      <c r="D1870" s="10">
        <v>42</v>
      </c>
      <c r="E1870" s="10">
        <v>42</v>
      </c>
      <c r="F1870" s="9">
        <v>45726</v>
      </c>
      <c r="G1870" s="9">
        <v>45727</v>
      </c>
      <c r="H1870" s="7" t="s">
        <v>94</v>
      </c>
      <c r="I1870" s="8" t="s">
        <v>21</v>
      </c>
      <c r="J1870" s="7">
        <v>4</v>
      </c>
      <c r="K1870" s="7" t="s">
        <v>38</v>
      </c>
      <c r="L1870" s="7">
        <v>1</v>
      </c>
      <c r="M1870" s="7">
        <v>11</v>
      </c>
      <c r="N1870" s="7" t="s">
        <v>95</v>
      </c>
    </row>
    <row r="1871" spans="1:14" x14ac:dyDescent="0.3">
      <c r="A1871" s="3" t="s">
        <v>1954</v>
      </c>
      <c r="B1871" s="3" t="s">
        <v>49</v>
      </c>
      <c r="C1871" s="3">
        <v>5</v>
      </c>
      <c r="D1871" s="6">
        <v>18.3</v>
      </c>
      <c r="E1871" s="6">
        <v>91.5</v>
      </c>
      <c r="F1871" s="5">
        <v>45726</v>
      </c>
      <c r="G1871" s="5">
        <v>45726</v>
      </c>
      <c r="H1871" s="3" t="s">
        <v>31</v>
      </c>
      <c r="I1871" s="4" t="s">
        <v>45</v>
      </c>
      <c r="J1871" s="3">
        <v>4</v>
      </c>
      <c r="K1871" s="3" t="s">
        <v>38</v>
      </c>
      <c r="L1871" s="3">
        <v>0</v>
      </c>
      <c r="M1871" s="3">
        <v>11</v>
      </c>
      <c r="N1871" s="3" t="s">
        <v>33</v>
      </c>
    </row>
    <row r="1872" spans="1:14" x14ac:dyDescent="0.3">
      <c r="A1872" s="7" t="s">
        <v>1955</v>
      </c>
      <c r="B1872" s="7" t="s">
        <v>59</v>
      </c>
      <c r="C1872" s="7">
        <v>4</v>
      </c>
      <c r="D1872" s="10">
        <v>45.3</v>
      </c>
      <c r="E1872" s="10">
        <v>181.2</v>
      </c>
      <c r="F1872" s="9">
        <v>45726</v>
      </c>
      <c r="G1872" s="9">
        <v>45729</v>
      </c>
      <c r="H1872" s="7" t="s">
        <v>31</v>
      </c>
      <c r="I1872" s="8" t="s">
        <v>21</v>
      </c>
      <c r="J1872" s="7">
        <v>5</v>
      </c>
      <c r="K1872" s="7" t="s">
        <v>38</v>
      </c>
      <c r="L1872" s="7">
        <v>3</v>
      </c>
      <c r="M1872" s="7">
        <v>11</v>
      </c>
      <c r="N1872" s="7" t="s">
        <v>33</v>
      </c>
    </row>
    <row r="1873" spans="1:14" x14ac:dyDescent="0.3">
      <c r="A1873" s="3" t="s">
        <v>1956</v>
      </c>
      <c r="B1873" s="3" t="s">
        <v>20</v>
      </c>
      <c r="C1873" s="3">
        <v>2</v>
      </c>
      <c r="D1873" s="6">
        <v>27.6</v>
      </c>
      <c r="E1873" s="6">
        <v>55.2</v>
      </c>
      <c r="F1873" s="5">
        <v>45726</v>
      </c>
      <c r="G1873" s="5">
        <v>45728</v>
      </c>
      <c r="H1873" s="3" t="s">
        <v>26</v>
      </c>
      <c r="I1873" s="4" t="s">
        <v>21</v>
      </c>
      <c r="J1873" s="3">
        <v>5</v>
      </c>
      <c r="K1873" s="3" t="s">
        <v>79</v>
      </c>
      <c r="L1873" s="3">
        <v>2</v>
      </c>
      <c r="M1873" s="3">
        <v>11</v>
      </c>
      <c r="N1873" s="3" t="s">
        <v>28</v>
      </c>
    </row>
    <row r="1874" spans="1:14" x14ac:dyDescent="0.3">
      <c r="A1874" s="7" t="s">
        <v>1957</v>
      </c>
      <c r="B1874" s="7" t="s">
        <v>37</v>
      </c>
      <c r="C1874" s="7">
        <v>5</v>
      </c>
      <c r="D1874" s="10">
        <v>26.9</v>
      </c>
      <c r="E1874" s="10">
        <v>134.5</v>
      </c>
      <c r="F1874" s="9">
        <v>45726</v>
      </c>
      <c r="G1874" s="9">
        <v>45727</v>
      </c>
      <c r="H1874" s="7" t="s">
        <v>31</v>
      </c>
      <c r="I1874" s="8" t="s">
        <v>45</v>
      </c>
      <c r="J1874" s="7">
        <v>4</v>
      </c>
      <c r="K1874" s="7" t="s">
        <v>194</v>
      </c>
      <c r="L1874" s="7">
        <v>1</v>
      </c>
      <c r="M1874" s="7">
        <v>11</v>
      </c>
      <c r="N1874" s="7" t="s">
        <v>33</v>
      </c>
    </row>
    <row r="1875" spans="1:14" x14ac:dyDescent="0.3">
      <c r="A1875" s="3" t="s">
        <v>1958</v>
      </c>
      <c r="B1875" s="3" t="s">
        <v>30</v>
      </c>
      <c r="C1875" s="3">
        <v>9</v>
      </c>
      <c r="D1875" s="6">
        <v>82.4</v>
      </c>
      <c r="E1875" s="6">
        <v>741.6</v>
      </c>
      <c r="F1875" s="5">
        <v>45726</v>
      </c>
      <c r="G1875" s="5">
        <v>45728</v>
      </c>
      <c r="H1875" s="3" t="s">
        <v>94</v>
      </c>
      <c r="I1875" s="4" t="s">
        <v>45</v>
      </c>
      <c r="J1875" s="3">
        <v>4</v>
      </c>
      <c r="K1875" s="3" t="s">
        <v>57</v>
      </c>
      <c r="L1875" s="3">
        <v>2</v>
      </c>
      <c r="M1875" s="3">
        <v>11</v>
      </c>
      <c r="N1875" s="3" t="s">
        <v>95</v>
      </c>
    </row>
    <row r="1876" spans="1:14" x14ac:dyDescent="0.3">
      <c r="A1876" s="7" t="s">
        <v>1959</v>
      </c>
      <c r="B1876" s="7" t="s">
        <v>44</v>
      </c>
      <c r="C1876" s="7">
        <v>1</v>
      </c>
      <c r="D1876" s="10">
        <v>103.7</v>
      </c>
      <c r="E1876" s="10">
        <v>103.7</v>
      </c>
      <c r="F1876" s="9">
        <v>45726</v>
      </c>
      <c r="G1876" s="9">
        <v>45728</v>
      </c>
      <c r="H1876" s="7" t="s">
        <v>31</v>
      </c>
      <c r="I1876" s="8" t="s">
        <v>40</v>
      </c>
      <c r="J1876" s="7">
        <v>4</v>
      </c>
      <c r="K1876" s="7" t="s">
        <v>57</v>
      </c>
      <c r="L1876" s="7">
        <v>2</v>
      </c>
      <c r="M1876" s="7">
        <v>11</v>
      </c>
      <c r="N1876" s="7" t="s">
        <v>33</v>
      </c>
    </row>
    <row r="1877" spans="1:14" x14ac:dyDescent="0.3">
      <c r="A1877" s="3" t="s">
        <v>1960</v>
      </c>
      <c r="B1877" s="3" t="s">
        <v>30</v>
      </c>
      <c r="C1877" s="3">
        <v>2</v>
      </c>
      <c r="D1877" s="6">
        <v>58.8</v>
      </c>
      <c r="E1877" s="6">
        <v>117.6</v>
      </c>
      <c r="F1877" s="5">
        <v>45726</v>
      </c>
      <c r="G1877" s="5">
        <v>45731</v>
      </c>
      <c r="H1877" s="3" t="s">
        <v>31</v>
      </c>
      <c r="I1877" s="4" t="s">
        <v>40</v>
      </c>
      <c r="J1877" s="3">
        <v>5</v>
      </c>
      <c r="K1877" s="3" t="s">
        <v>60</v>
      </c>
      <c r="L1877" s="3">
        <v>5</v>
      </c>
      <c r="M1877" s="3">
        <v>11</v>
      </c>
      <c r="N1877" s="3" t="s">
        <v>33</v>
      </c>
    </row>
    <row r="1878" spans="1:14" x14ac:dyDescent="0.3">
      <c r="A1878" s="7" t="s">
        <v>1961</v>
      </c>
      <c r="B1878" s="7" t="s">
        <v>81</v>
      </c>
      <c r="C1878" s="7">
        <v>1</v>
      </c>
      <c r="D1878" s="10">
        <v>31.5</v>
      </c>
      <c r="E1878" s="10">
        <v>31.5</v>
      </c>
      <c r="F1878" s="9">
        <v>45726</v>
      </c>
      <c r="G1878" s="9">
        <v>45727</v>
      </c>
      <c r="H1878" s="7" t="s">
        <v>31</v>
      </c>
      <c r="I1878" s="8" t="s">
        <v>40</v>
      </c>
      <c r="J1878" s="7">
        <v>3</v>
      </c>
      <c r="K1878" s="7" t="s">
        <v>60</v>
      </c>
      <c r="L1878" s="7">
        <v>1</v>
      </c>
      <c r="M1878" s="7">
        <v>11</v>
      </c>
      <c r="N1878" s="7" t="s">
        <v>33</v>
      </c>
    </row>
    <row r="1879" spans="1:14" x14ac:dyDescent="0.3">
      <c r="A1879" s="3" t="s">
        <v>1962</v>
      </c>
      <c r="B1879" s="3" t="s">
        <v>47</v>
      </c>
      <c r="C1879" s="3">
        <v>5</v>
      </c>
      <c r="D1879" s="6">
        <v>36.799999999999997</v>
      </c>
      <c r="E1879" s="6">
        <v>184</v>
      </c>
      <c r="F1879" s="5">
        <v>45726</v>
      </c>
      <c r="G1879" s="5">
        <v>45728</v>
      </c>
      <c r="H1879" s="3" t="s">
        <v>31</v>
      </c>
      <c r="I1879" s="4" t="s">
        <v>21</v>
      </c>
      <c r="J1879" s="3">
        <v>4</v>
      </c>
      <c r="K1879" s="3" t="s">
        <v>67</v>
      </c>
      <c r="L1879" s="3">
        <v>2</v>
      </c>
      <c r="M1879" s="3">
        <v>11</v>
      </c>
      <c r="N1879" s="3" t="s">
        <v>33</v>
      </c>
    </row>
    <row r="1880" spans="1:14" x14ac:dyDescent="0.3">
      <c r="A1880" s="7" t="s">
        <v>1963</v>
      </c>
      <c r="B1880" s="7" t="s">
        <v>35</v>
      </c>
      <c r="C1880" s="7">
        <v>1</v>
      </c>
      <c r="D1880" s="10">
        <v>84.4</v>
      </c>
      <c r="E1880" s="10">
        <v>84.4</v>
      </c>
      <c r="F1880" s="9">
        <v>45726</v>
      </c>
      <c r="G1880" s="9">
        <v>45727</v>
      </c>
      <c r="H1880" s="7" t="s">
        <v>31</v>
      </c>
      <c r="I1880" s="8" t="s">
        <v>21</v>
      </c>
      <c r="J1880" s="7">
        <v>4</v>
      </c>
      <c r="K1880" s="7" t="s">
        <v>67</v>
      </c>
      <c r="L1880" s="7">
        <v>1</v>
      </c>
      <c r="M1880" s="7">
        <v>11</v>
      </c>
      <c r="N1880" s="7" t="s">
        <v>33</v>
      </c>
    </row>
    <row r="1881" spans="1:14" x14ac:dyDescent="0.3">
      <c r="A1881" s="3" t="s">
        <v>1964</v>
      </c>
      <c r="B1881" s="3" t="s">
        <v>86</v>
      </c>
      <c r="C1881" s="3">
        <v>1</v>
      </c>
      <c r="D1881" s="6">
        <v>44.7</v>
      </c>
      <c r="E1881" s="6">
        <v>44.7</v>
      </c>
      <c r="F1881" s="5">
        <v>45726</v>
      </c>
      <c r="G1881" s="5">
        <v>45727</v>
      </c>
      <c r="H1881" s="3" t="s">
        <v>26</v>
      </c>
      <c r="I1881" s="4" t="s">
        <v>21</v>
      </c>
      <c r="J1881" s="3">
        <v>3</v>
      </c>
      <c r="K1881" s="3" t="s">
        <v>67</v>
      </c>
      <c r="L1881" s="3">
        <v>1</v>
      </c>
      <c r="M1881" s="3">
        <v>11</v>
      </c>
      <c r="N1881" s="3" t="s">
        <v>28</v>
      </c>
    </row>
    <row r="1882" spans="1:14" x14ac:dyDescent="0.3">
      <c r="A1882" s="7" t="s">
        <v>1965</v>
      </c>
      <c r="B1882" s="7" t="s">
        <v>51</v>
      </c>
      <c r="C1882" s="7">
        <v>8</v>
      </c>
      <c r="D1882" s="10">
        <v>39.4</v>
      </c>
      <c r="E1882" s="10">
        <v>315.2</v>
      </c>
      <c r="F1882" s="9">
        <v>45726</v>
      </c>
      <c r="G1882" s="9">
        <v>45727</v>
      </c>
      <c r="H1882" s="7" t="s">
        <v>31</v>
      </c>
      <c r="I1882" s="8" t="s">
        <v>40</v>
      </c>
      <c r="J1882" s="7">
        <v>5</v>
      </c>
      <c r="K1882" s="7" t="s">
        <v>67</v>
      </c>
      <c r="L1882" s="7">
        <v>1</v>
      </c>
      <c r="M1882" s="7">
        <v>11</v>
      </c>
      <c r="N1882" s="7" t="s">
        <v>33</v>
      </c>
    </row>
    <row r="1883" spans="1:14" x14ac:dyDescent="0.3">
      <c r="A1883" s="3" t="s">
        <v>1966</v>
      </c>
      <c r="B1883" s="3" t="s">
        <v>72</v>
      </c>
      <c r="C1883" s="3">
        <v>4</v>
      </c>
      <c r="D1883" s="6">
        <v>34.9</v>
      </c>
      <c r="E1883" s="6">
        <v>139.6</v>
      </c>
      <c r="F1883" s="5">
        <v>45726</v>
      </c>
      <c r="G1883" s="5">
        <v>45728</v>
      </c>
      <c r="H1883" s="3" t="s">
        <v>31</v>
      </c>
      <c r="I1883" s="4" t="s">
        <v>21</v>
      </c>
      <c r="J1883" s="3">
        <v>5</v>
      </c>
      <c r="K1883" s="3" t="s">
        <v>67</v>
      </c>
      <c r="L1883" s="3">
        <v>2</v>
      </c>
      <c r="M1883" s="3">
        <v>11</v>
      </c>
      <c r="N1883" s="3" t="s">
        <v>33</v>
      </c>
    </row>
    <row r="1884" spans="1:14" x14ac:dyDescent="0.3">
      <c r="A1884" s="7" t="s">
        <v>1967</v>
      </c>
      <c r="B1884" s="7" t="s">
        <v>25</v>
      </c>
      <c r="C1884" s="7">
        <v>3</v>
      </c>
      <c r="D1884" s="10">
        <v>62.3</v>
      </c>
      <c r="E1884" s="10">
        <v>186.9</v>
      </c>
      <c r="F1884" s="9">
        <v>45726</v>
      </c>
      <c r="G1884" s="9">
        <v>45728</v>
      </c>
      <c r="H1884" s="7" t="s">
        <v>26</v>
      </c>
      <c r="I1884" s="8" t="s">
        <v>75</v>
      </c>
      <c r="J1884" s="7">
        <v>5</v>
      </c>
      <c r="K1884" s="7" t="s">
        <v>67</v>
      </c>
      <c r="L1884" s="7">
        <v>2</v>
      </c>
      <c r="M1884" s="7">
        <v>11</v>
      </c>
      <c r="N1884" s="7" t="s">
        <v>28</v>
      </c>
    </row>
    <row r="1885" spans="1:14" x14ac:dyDescent="0.3">
      <c r="A1885" s="3" t="s">
        <v>1968</v>
      </c>
      <c r="B1885" s="3" t="s">
        <v>49</v>
      </c>
      <c r="C1885" s="3">
        <v>4</v>
      </c>
      <c r="D1885" s="6">
        <v>21.1</v>
      </c>
      <c r="E1885" s="6">
        <v>84.4</v>
      </c>
      <c r="F1885" s="5">
        <v>45726</v>
      </c>
      <c r="G1885" s="5">
        <v>45729</v>
      </c>
      <c r="H1885" s="3" t="s">
        <v>26</v>
      </c>
      <c r="I1885" s="4" t="s">
        <v>56</v>
      </c>
      <c r="J1885" s="3">
        <v>4</v>
      </c>
      <c r="K1885" s="3" t="s">
        <v>67</v>
      </c>
      <c r="L1885" s="3">
        <v>3</v>
      </c>
      <c r="M1885" s="3">
        <v>11</v>
      </c>
      <c r="N1885" s="3" t="s">
        <v>28</v>
      </c>
    </row>
    <row r="1886" spans="1:14" x14ac:dyDescent="0.3">
      <c r="A1886" s="7" t="s">
        <v>1969</v>
      </c>
      <c r="B1886" s="7" t="s">
        <v>49</v>
      </c>
      <c r="C1886" s="7">
        <v>3</v>
      </c>
      <c r="D1886" s="10">
        <v>33.200000000000003</v>
      </c>
      <c r="E1886" s="10">
        <v>99.600000000000009</v>
      </c>
      <c r="F1886" s="9">
        <v>45726</v>
      </c>
      <c r="G1886" s="9">
        <v>45740</v>
      </c>
      <c r="H1886" s="7"/>
      <c r="I1886" s="8" t="s">
        <v>21</v>
      </c>
      <c r="J1886" s="7">
        <v>2</v>
      </c>
      <c r="K1886" s="7" t="s">
        <v>67</v>
      </c>
      <c r="L1886" s="7">
        <v>14</v>
      </c>
      <c r="M1886" s="7">
        <v>11</v>
      </c>
      <c r="N1886" s="7" t="s">
        <v>23</v>
      </c>
    </row>
    <row r="1887" spans="1:14" x14ac:dyDescent="0.3">
      <c r="A1887" s="3" t="s">
        <v>1970</v>
      </c>
      <c r="B1887" s="3" t="s">
        <v>25</v>
      </c>
      <c r="C1887" s="3">
        <v>4</v>
      </c>
      <c r="D1887" s="6">
        <v>74.5</v>
      </c>
      <c r="E1887" s="6">
        <v>298</v>
      </c>
      <c r="F1887" s="5">
        <v>45726</v>
      </c>
      <c r="G1887" s="5">
        <v>45727</v>
      </c>
      <c r="H1887" s="3" t="s">
        <v>26</v>
      </c>
      <c r="I1887" s="4" t="s">
        <v>75</v>
      </c>
      <c r="J1887" s="3">
        <v>4</v>
      </c>
      <c r="K1887" s="3" t="s">
        <v>67</v>
      </c>
      <c r="L1887" s="3">
        <v>1</v>
      </c>
      <c r="M1887" s="3">
        <v>11</v>
      </c>
      <c r="N1887" s="3" t="s">
        <v>28</v>
      </c>
    </row>
    <row r="1888" spans="1:14" x14ac:dyDescent="0.3">
      <c r="A1888" s="7" t="s">
        <v>1971</v>
      </c>
      <c r="B1888" s="7" t="s">
        <v>59</v>
      </c>
      <c r="C1888" s="7">
        <v>12</v>
      </c>
      <c r="D1888" s="10">
        <v>68.599999999999994</v>
      </c>
      <c r="E1888" s="10">
        <v>823.19999999999993</v>
      </c>
      <c r="F1888" s="9">
        <v>45726</v>
      </c>
      <c r="G1888" s="9">
        <v>45729</v>
      </c>
      <c r="H1888" s="7" t="s">
        <v>31</v>
      </c>
      <c r="I1888" s="8" t="s">
        <v>21</v>
      </c>
      <c r="J1888" s="7">
        <v>5</v>
      </c>
      <c r="K1888" s="7" t="s">
        <v>67</v>
      </c>
      <c r="L1888" s="7">
        <v>3</v>
      </c>
      <c r="M1888" s="7">
        <v>11</v>
      </c>
      <c r="N1888" s="7" t="s">
        <v>33</v>
      </c>
    </row>
    <row r="1889" spans="1:14" x14ac:dyDescent="0.3">
      <c r="A1889" s="3" t="s">
        <v>1972</v>
      </c>
      <c r="B1889" s="3" t="s">
        <v>42</v>
      </c>
      <c r="C1889" s="3">
        <v>14</v>
      </c>
      <c r="D1889" s="6">
        <v>36.4</v>
      </c>
      <c r="E1889" s="6">
        <v>509.6</v>
      </c>
      <c r="F1889" s="5">
        <v>45726</v>
      </c>
      <c r="G1889" s="5">
        <v>45728</v>
      </c>
      <c r="H1889" s="3" t="s">
        <v>31</v>
      </c>
      <c r="I1889" s="4" t="s">
        <v>21</v>
      </c>
      <c r="J1889" s="3">
        <v>3</v>
      </c>
      <c r="K1889" s="3" t="s">
        <v>77</v>
      </c>
      <c r="L1889" s="3">
        <v>2</v>
      </c>
      <c r="M1889" s="3">
        <v>11</v>
      </c>
      <c r="N1889" s="3" t="s">
        <v>33</v>
      </c>
    </row>
    <row r="1890" spans="1:14" x14ac:dyDescent="0.3">
      <c r="A1890" s="7" t="s">
        <v>1973</v>
      </c>
      <c r="B1890" s="7" t="s">
        <v>134</v>
      </c>
      <c r="C1890" s="7">
        <v>5</v>
      </c>
      <c r="D1890" s="10">
        <v>67.599999999999994</v>
      </c>
      <c r="E1890" s="10">
        <v>338</v>
      </c>
      <c r="F1890" s="9">
        <v>45727</v>
      </c>
      <c r="G1890" s="9">
        <v>45730</v>
      </c>
      <c r="H1890" s="7" t="s">
        <v>31</v>
      </c>
      <c r="I1890" s="8" t="s">
        <v>75</v>
      </c>
      <c r="J1890" s="7">
        <v>3</v>
      </c>
      <c r="K1890" s="7" t="s">
        <v>77</v>
      </c>
      <c r="L1890" s="7">
        <v>3</v>
      </c>
      <c r="M1890" s="7">
        <v>11</v>
      </c>
      <c r="N1890" s="7" t="s">
        <v>33</v>
      </c>
    </row>
    <row r="1891" spans="1:14" x14ac:dyDescent="0.3">
      <c r="A1891" s="3" t="s">
        <v>1974</v>
      </c>
      <c r="B1891" s="3" t="s">
        <v>129</v>
      </c>
      <c r="C1891" s="3">
        <v>1</v>
      </c>
      <c r="D1891" s="6">
        <v>46.3</v>
      </c>
      <c r="E1891" s="6">
        <v>46.3</v>
      </c>
      <c r="F1891" s="5">
        <v>45727</v>
      </c>
      <c r="G1891" s="5">
        <v>45728</v>
      </c>
      <c r="H1891" s="3" t="s">
        <v>26</v>
      </c>
      <c r="I1891" s="4" t="s">
        <v>45</v>
      </c>
      <c r="J1891" s="3">
        <v>4</v>
      </c>
      <c r="K1891" s="3" t="s">
        <v>77</v>
      </c>
      <c r="L1891" s="3">
        <v>1</v>
      </c>
      <c r="M1891" s="3">
        <v>11</v>
      </c>
      <c r="N1891" s="3" t="s">
        <v>28</v>
      </c>
    </row>
    <row r="1892" spans="1:14" x14ac:dyDescent="0.3">
      <c r="A1892" s="7" t="s">
        <v>1975</v>
      </c>
      <c r="B1892" s="7" t="s">
        <v>25</v>
      </c>
      <c r="C1892" s="7">
        <v>3</v>
      </c>
      <c r="D1892" s="10">
        <v>124.2</v>
      </c>
      <c r="E1892" s="10">
        <v>372.6</v>
      </c>
      <c r="F1892" s="9">
        <v>45727</v>
      </c>
      <c r="G1892" s="9">
        <v>45729</v>
      </c>
      <c r="H1892" s="7" t="s">
        <v>31</v>
      </c>
      <c r="I1892" s="8" t="s">
        <v>40</v>
      </c>
      <c r="J1892" s="7">
        <v>5</v>
      </c>
      <c r="K1892" s="7" t="s">
        <v>82</v>
      </c>
      <c r="L1892" s="7">
        <v>2</v>
      </c>
      <c r="M1892" s="7">
        <v>11</v>
      </c>
      <c r="N1892" s="7" t="s">
        <v>33</v>
      </c>
    </row>
    <row r="1893" spans="1:14" x14ac:dyDescent="0.3">
      <c r="A1893" s="3" t="s">
        <v>1976</v>
      </c>
      <c r="B1893" s="3" t="s">
        <v>59</v>
      </c>
      <c r="C1893" s="3">
        <v>2</v>
      </c>
      <c r="D1893" s="6">
        <v>37</v>
      </c>
      <c r="E1893" s="6">
        <v>74</v>
      </c>
      <c r="F1893" s="5">
        <v>45727</v>
      </c>
      <c r="G1893" s="5">
        <v>45733</v>
      </c>
      <c r="H1893" s="3" t="s">
        <v>26</v>
      </c>
      <c r="I1893" s="4" t="s">
        <v>21</v>
      </c>
      <c r="J1893" s="3">
        <v>4</v>
      </c>
      <c r="K1893" s="3" t="s">
        <v>82</v>
      </c>
      <c r="L1893" s="3">
        <v>6</v>
      </c>
      <c r="M1893" s="3">
        <v>11</v>
      </c>
      <c r="N1893" s="3" t="s">
        <v>28</v>
      </c>
    </row>
    <row r="1894" spans="1:14" x14ac:dyDescent="0.3">
      <c r="A1894" s="7" t="s">
        <v>1977</v>
      </c>
      <c r="B1894" s="7" t="s">
        <v>42</v>
      </c>
      <c r="C1894" s="7">
        <v>1</v>
      </c>
      <c r="D1894" s="10">
        <v>41.8</v>
      </c>
      <c r="E1894" s="10">
        <v>41.8</v>
      </c>
      <c r="F1894" s="9">
        <v>45727</v>
      </c>
      <c r="G1894" s="9">
        <v>45728</v>
      </c>
      <c r="H1894" s="7" t="s">
        <v>26</v>
      </c>
      <c r="I1894" s="8" t="s">
        <v>45</v>
      </c>
      <c r="J1894" s="7">
        <v>4</v>
      </c>
      <c r="K1894" s="7" t="s">
        <v>298</v>
      </c>
      <c r="L1894" s="7">
        <v>1</v>
      </c>
      <c r="M1894" s="7">
        <v>11</v>
      </c>
      <c r="N1894" s="7" t="s">
        <v>28</v>
      </c>
    </row>
    <row r="1895" spans="1:14" x14ac:dyDescent="0.3">
      <c r="A1895" s="3" t="s">
        <v>1978</v>
      </c>
      <c r="B1895" s="3" t="s">
        <v>51</v>
      </c>
      <c r="C1895" s="3">
        <v>2</v>
      </c>
      <c r="D1895" s="6">
        <v>57.2</v>
      </c>
      <c r="E1895" s="6">
        <v>114.4</v>
      </c>
      <c r="F1895" s="5">
        <v>45727</v>
      </c>
      <c r="G1895" s="5">
        <v>45729</v>
      </c>
      <c r="H1895" s="3" t="s">
        <v>26</v>
      </c>
      <c r="I1895" s="4" t="s">
        <v>45</v>
      </c>
      <c r="J1895" s="3">
        <v>3</v>
      </c>
      <c r="K1895" s="3" t="s">
        <v>119</v>
      </c>
      <c r="L1895" s="3">
        <v>2</v>
      </c>
      <c r="M1895" s="3">
        <v>11</v>
      </c>
      <c r="N1895" s="3" t="s">
        <v>28</v>
      </c>
    </row>
    <row r="1896" spans="1:14" x14ac:dyDescent="0.3">
      <c r="A1896" s="7" t="s">
        <v>1979</v>
      </c>
      <c r="B1896" s="7" t="s">
        <v>44</v>
      </c>
      <c r="C1896" s="7">
        <v>2</v>
      </c>
      <c r="D1896" s="10">
        <v>47.1</v>
      </c>
      <c r="E1896" s="10">
        <v>94.2</v>
      </c>
      <c r="F1896" s="9">
        <v>45727</v>
      </c>
      <c r="G1896" s="9">
        <v>45729</v>
      </c>
      <c r="H1896" s="7" t="s">
        <v>31</v>
      </c>
      <c r="I1896" s="8" t="s">
        <v>21</v>
      </c>
      <c r="J1896" s="7">
        <v>2</v>
      </c>
      <c r="K1896" s="7" t="s">
        <v>119</v>
      </c>
      <c r="L1896" s="7">
        <v>2</v>
      </c>
      <c r="M1896" s="7">
        <v>11</v>
      </c>
      <c r="N1896" s="7" t="s">
        <v>33</v>
      </c>
    </row>
    <row r="1897" spans="1:14" x14ac:dyDescent="0.3">
      <c r="A1897" s="3" t="s">
        <v>1980</v>
      </c>
      <c r="B1897" s="3" t="s">
        <v>42</v>
      </c>
      <c r="C1897" s="3">
        <v>3</v>
      </c>
      <c r="D1897" s="6">
        <v>86.4</v>
      </c>
      <c r="E1897" s="6">
        <v>259.2</v>
      </c>
      <c r="F1897" s="5">
        <v>45727</v>
      </c>
      <c r="G1897" s="5">
        <v>45728</v>
      </c>
      <c r="H1897" s="3" t="s">
        <v>26</v>
      </c>
      <c r="I1897" s="4" t="s">
        <v>45</v>
      </c>
      <c r="J1897" s="3">
        <v>3</v>
      </c>
      <c r="K1897" s="3" t="s">
        <v>249</v>
      </c>
      <c r="L1897" s="3">
        <v>1</v>
      </c>
      <c r="M1897" s="3">
        <v>11</v>
      </c>
      <c r="N1897" s="3" t="s">
        <v>28</v>
      </c>
    </row>
    <row r="1898" spans="1:14" x14ac:dyDescent="0.3">
      <c r="A1898" s="7" t="s">
        <v>1981</v>
      </c>
      <c r="B1898" s="7" t="s">
        <v>44</v>
      </c>
      <c r="C1898" s="7">
        <v>5</v>
      </c>
      <c r="D1898" s="10">
        <v>105</v>
      </c>
      <c r="E1898" s="10">
        <v>525</v>
      </c>
      <c r="F1898" s="9">
        <v>45727</v>
      </c>
      <c r="G1898" s="9">
        <v>45730</v>
      </c>
      <c r="H1898" s="7" t="s">
        <v>26</v>
      </c>
      <c r="I1898" s="8" t="s">
        <v>21</v>
      </c>
      <c r="J1898" s="7">
        <v>4</v>
      </c>
      <c r="K1898" s="7" t="s">
        <v>87</v>
      </c>
      <c r="L1898" s="7">
        <v>3</v>
      </c>
      <c r="M1898" s="7">
        <v>11</v>
      </c>
      <c r="N1898" s="7" t="s">
        <v>28</v>
      </c>
    </row>
    <row r="1899" spans="1:14" x14ac:dyDescent="0.3">
      <c r="A1899" s="3" t="s">
        <v>1982</v>
      </c>
      <c r="B1899" s="3" t="s">
        <v>152</v>
      </c>
      <c r="C1899" s="3">
        <v>1</v>
      </c>
      <c r="D1899" s="6">
        <v>33</v>
      </c>
      <c r="E1899" s="6">
        <v>33</v>
      </c>
      <c r="F1899" s="5">
        <v>45727</v>
      </c>
      <c r="G1899" s="5">
        <v>45730</v>
      </c>
      <c r="H1899" s="3" t="s">
        <v>26</v>
      </c>
      <c r="I1899" s="4" t="s">
        <v>75</v>
      </c>
      <c r="J1899" s="3">
        <v>4</v>
      </c>
      <c r="K1899" s="3" t="s">
        <v>121</v>
      </c>
      <c r="L1899" s="3">
        <v>3</v>
      </c>
      <c r="M1899" s="3">
        <v>11</v>
      </c>
      <c r="N1899" s="3" t="s">
        <v>28</v>
      </c>
    </row>
    <row r="1900" spans="1:14" x14ac:dyDescent="0.3">
      <c r="A1900" s="7" t="s">
        <v>1983</v>
      </c>
      <c r="B1900" s="7" t="s">
        <v>44</v>
      </c>
      <c r="C1900" s="7">
        <v>5</v>
      </c>
      <c r="D1900" s="10">
        <v>106.6</v>
      </c>
      <c r="E1900" s="10">
        <v>533</v>
      </c>
      <c r="F1900" s="9">
        <v>45727</v>
      </c>
      <c r="G1900" s="9">
        <v>45740</v>
      </c>
      <c r="H1900" s="7" t="s">
        <v>31</v>
      </c>
      <c r="I1900" s="8" t="s">
        <v>45</v>
      </c>
      <c r="J1900" s="7">
        <v>4</v>
      </c>
      <c r="K1900" s="7" t="s">
        <v>27</v>
      </c>
      <c r="L1900" s="7">
        <v>13</v>
      </c>
      <c r="M1900" s="7">
        <v>11</v>
      </c>
      <c r="N1900" s="7" t="s">
        <v>33</v>
      </c>
    </row>
    <row r="1901" spans="1:14" x14ac:dyDescent="0.3">
      <c r="A1901" s="3" t="s">
        <v>1984</v>
      </c>
      <c r="B1901" s="3" t="s">
        <v>59</v>
      </c>
      <c r="C1901" s="3">
        <v>32</v>
      </c>
      <c r="D1901" s="6">
        <v>26.8</v>
      </c>
      <c r="E1901" s="6">
        <v>857.6</v>
      </c>
      <c r="F1901" s="5">
        <v>45727</v>
      </c>
      <c r="G1901" s="5">
        <v>45728</v>
      </c>
      <c r="H1901" s="3" t="s">
        <v>31</v>
      </c>
      <c r="I1901" s="4" t="s">
        <v>45</v>
      </c>
      <c r="J1901" s="3">
        <v>4</v>
      </c>
      <c r="K1901" s="3" t="s">
        <v>27</v>
      </c>
      <c r="L1901" s="3">
        <v>1</v>
      </c>
      <c r="M1901" s="3">
        <v>11</v>
      </c>
      <c r="N1901" s="3" t="s">
        <v>33</v>
      </c>
    </row>
    <row r="1902" spans="1:14" x14ac:dyDescent="0.3">
      <c r="A1902" s="7" t="s">
        <v>1985</v>
      </c>
      <c r="B1902" s="7" t="s">
        <v>141</v>
      </c>
      <c r="C1902" s="7">
        <v>5</v>
      </c>
      <c r="D1902" s="10">
        <v>25.8</v>
      </c>
      <c r="E1902" s="10">
        <v>129</v>
      </c>
      <c r="F1902" s="9">
        <v>45727</v>
      </c>
      <c r="G1902" s="9">
        <v>45727</v>
      </c>
      <c r="H1902" s="7" t="s">
        <v>31</v>
      </c>
      <c r="I1902" s="8" t="s">
        <v>40</v>
      </c>
      <c r="J1902" s="7">
        <v>5</v>
      </c>
      <c r="K1902" s="7" t="s">
        <v>38</v>
      </c>
      <c r="L1902" s="7">
        <v>0</v>
      </c>
      <c r="M1902" s="7">
        <v>11</v>
      </c>
      <c r="N1902" s="7" t="s">
        <v>33</v>
      </c>
    </row>
    <row r="1903" spans="1:14" x14ac:dyDescent="0.3">
      <c r="A1903" s="3" t="s">
        <v>1986</v>
      </c>
      <c r="B1903" s="3" t="s">
        <v>30</v>
      </c>
      <c r="C1903" s="3">
        <v>3</v>
      </c>
      <c r="D1903" s="6">
        <v>217</v>
      </c>
      <c r="E1903" s="6">
        <v>651</v>
      </c>
      <c r="F1903" s="5">
        <v>45727</v>
      </c>
      <c r="G1903" s="5">
        <v>45728</v>
      </c>
      <c r="H1903" s="3" t="s">
        <v>31</v>
      </c>
      <c r="I1903" s="4" t="s">
        <v>40</v>
      </c>
      <c r="J1903" s="3">
        <v>3</v>
      </c>
      <c r="K1903" s="3" t="s">
        <v>38</v>
      </c>
      <c r="L1903" s="3">
        <v>1</v>
      </c>
      <c r="M1903" s="3">
        <v>11</v>
      </c>
      <c r="N1903" s="3" t="s">
        <v>33</v>
      </c>
    </row>
    <row r="1904" spans="1:14" x14ac:dyDescent="0.3">
      <c r="A1904" s="7" t="s">
        <v>1987</v>
      </c>
      <c r="B1904" s="7" t="s">
        <v>30</v>
      </c>
      <c r="C1904" s="7">
        <v>2</v>
      </c>
      <c r="D1904" s="10">
        <v>97.3</v>
      </c>
      <c r="E1904" s="10">
        <v>194.6</v>
      </c>
      <c r="F1904" s="9">
        <v>45727</v>
      </c>
      <c r="G1904" s="9">
        <v>45728</v>
      </c>
      <c r="H1904" s="7" t="s">
        <v>26</v>
      </c>
      <c r="I1904" s="8" t="s">
        <v>45</v>
      </c>
      <c r="J1904" s="7">
        <v>2</v>
      </c>
      <c r="K1904" s="7" t="s">
        <v>38</v>
      </c>
      <c r="L1904" s="7">
        <v>1</v>
      </c>
      <c r="M1904" s="7">
        <v>11</v>
      </c>
      <c r="N1904" s="7" t="s">
        <v>28</v>
      </c>
    </row>
    <row r="1905" spans="1:14" x14ac:dyDescent="0.3">
      <c r="A1905" s="3" t="s">
        <v>1988</v>
      </c>
      <c r="B1905" s="3" t="s">
        <v>25</v>
      </c>
      <c r="C1905" s="3">
        <v>1</v>
      </c>
      <c r="D1905" s="6">
        <v>49.8</v>
      </c>
      <c r="E1905" s="6">
        <v>49.8</v>
      </c>
      <c r="F1905" s="5">
        <v>45727</v>
      </c>
      <c r="G1905" s="5">
        <v>45728</v>
      </c>
      <c r="H1905" s="3" t="s">
        <v>31</v>
      </c>
      <c r="I1905" s="4" t="s">
        <v>21</v>
      </c>
      <c r="J1905" s="3">
        <v>4</v>
      </c>
      <c r="K1905" s="3" t="s">
        <v>38</v>
      </c>
      <c r="L1905" s="3">
        <v>1</v>
      </c>
      <c r="M1905" s="3">
        <v>11</v>
      </c>
      <c r="N1905" s="3" t="s">
        <v>33</v>
      </c>
    </row>
    <row r="1906" spans="1:14" x14ac:dyDescent="0.3">
      <c r="A1906" s="7" t="s">
        <v>1989</v>
      </c>
      <c r="B1906" s="7" t="s">
        <v>74</v>
      </c>
      <c r="C1906" s="7">
        <v>5</v>
      </c>
      <c r="D1906" s="10">
        <v>32.6</v>
      </c>
      <c r="E1906" s="10">
        <v>163</v>
      </c>
      <c r="F1906" s="9">
        <v>45727</v>
      </c>
      <c r="G1906" s="9">
        <v>45728</v>
      </c>
      <c r="H1906" s="7" t="s">
        <v>31</v>
      </c>
      <c r="I1906" s="8" t="s">
        <v>21</v>
      </c>
      <c r="J1906" s="7">
        <v>4</v>
      </c>
      <c r="K1906" s="7" t="s">
        <v>38</v>
      </c>
      <c r="L1906" s="7">
        <v>1</v>
      </c>
      <c r="M1906" s="7">
        <v>11</v>
      </c>
      <c r="N1906" s="7" t="s">
        <v>33</v>
      </c>
    </row>
    <row r="1907" spans="1:14" x14ac:dyDescent="0.3">
      <c r="A1907" s="3" t="s">
        <v>1990</v>
      </c>
      <c r="B1907" s="3" t="s">
        <v>51</v>
      </c>
      <c r="C1907" s="3">
        <v>2</v>
      </c>
      <c r="D1907" s="6">
        <v>40.1</v>
      </c>
      <c r="E1907" s="6">
        <v>80.2</v>
      </c>
      <c r="F1907" s="5">
        <v>45727</v>
      </c>
      <c r="G1907" s="5">
        <v>45730</v>
      </c>
      <c r="H1907" s="3" t="s">
        <v>26</v>
      </c>
      <c r="I1907" s="4" t="s">
        <v>40</v>
      </c>
      <c r="J1907" s="3">
        <v>5</v>
      </c>
      <c r="K1907" s="3" t="s">
        <v>38</v>
      </c>
      <c r="L1907" s="3">
        <v>3</v>
      </c>
      <c r="M1907" s="3">
        <v>11</v>
      </c>
      <c r="N1907" s="3" t="s">
        <v>28</v>
      </c>
    </row>
    <row r="1908" spans="1:14" x14ac:dyDescent="0.3">
      <c r="A1908" s="7" t="s">
        <v>1991</v>
      </c>
      <c r="B1908" s="7" t="s">
        <v>59</v>
      </c>
      <c r="C1908" s="7">
        <v>2</v>
      </c>
      <c r="D1908" s="10">
        <v>49.4</v>
      </c>
      <c r="E1908" s="10">
        <v>98.8</v>
      </c>
      <c r="F1908" s="9">
        <v>45727</v>
      </c>
      <c r="G1908" s="9">
        <v>45729</v>
      </c>
      <c r="H1908" s="7" t="s">
        <v>26</v>
      </c>
      <c r="I1908" s="8" t="s">
        <v>40</v>
      </c>
      <c r="J1908" s="7">
        <v>4</v>
      </c>
      <c r="K1908" s="7" t="s">
        <v>38</v>
      </c>
      <c r="L1908" s="7">
        <v>2</v>
      </c>
      <c r="M1908" s="7">
        <v>11</v>
      </c>
      <c r="N1908" s="7" t="s">
        <v>28</v>
      </c>
    </row>
    <row r="1909" spans="1:14" x14ac:dyDescent="0.3">
      <c r="A1909" s="3" t="s">
        <v>1992</v>
      </c>
      <c r="B1909" s="3" t="s">
        <v>30</v>
      </c>
      <c r="C1909" s="3">
        <v>1</v>
      </c>
      <c r="D1909" s="6">
        <v>67.3</v>
      </c>
      <c r="E1909" s="6">
        <v>67.3</v>
      </c>
      <c r="F1909" s="5">
        <v>45727</v>
      </c>
      <c r="G1909" s="5">
        <v>45728</v>
      </c>
      <c r="H1909" s="3" t="s">
        <v>31</v>
      </c>
      <c r="I1909" s="4" t="s">
        <v>21</v>
      </c>
      <c r="J1909" s="3">
        <v>5</v>
      </c>
      <c r="K1909" s="3" t="s">
        <v>38</v>
      </c>
      <c r="L1909" s="3">
        <v>1</v>
      </c>
      <c r="M1909" s="3">
        <v>11</v>
      </c>
      <c r="N1909" s="3" t="s">
        <v>33</v>
      </c>
    </row>
    <row r="1910" spans="1:14" x14ac:dyDescent="0.3">
      <c r="A1910" s="7" t="s">
        <v>1993</v>
      </c>
      <c r="B1910" s="7" t="s">
        <v>152</v>
      </c>
      <c r="C1910" s="7">
        <v>4</v>
      </c>
      <c r="D1910" s="10">
        <v>44.5</v>
      </c>
      <c r="E1910" s="10">
        <v>178</v>
      </c>
      <c r="F1910" s="9">
        <v>45727</v>
      </c>
      <c r="G1910" s="9">
        <v>45730</v>
      </c>
      <c r="H1910" s="7"/>
      <c r="I1910" s="8" t="s">
        <v>40</v>
      </c>
      <c r="J1910" s="7">
        <v>4</v>
      </c>
      <c r="K1910" s="7" t="s">
        <v>38</v>
      </c>
      <c r="L1910" s="7">
        <v>3</v>
      </c>
      <c r="M1910" s="7">
        <v>11</v>
      </c>
      <c r="N1910" s="7" t="s">
        <v>23</v>
      </c>
    </row>
    <row r="1911" spans="1:14" x14ac:dyDescent="0.3">
      <c r="A1911" s="3" t="s">
        <v>1994</v>
      </c>
      <c r="B1911" s="3" t="s">
        <v>44</v>
      </c>
      <c r="C1911" s="3">
        <v>11</v>
      </c>
      <c r="D1911" s="6">
        <v>111.1</v>
      </c>
      <c r="E1911" s="6">
        <v>1222.0999999999999</v>
      </c>
      <c r="F1911" s="5">
        <v>45727</v>
      </c>
      <c r="G1911" s="5">
        <v>45728</v>
      </c>
      <c r="H1911" s="3" t="s">
        <v>31</v>
      </c>
      <c r="I1911" s="4" t="s">
        <v>75</v>
      </c>
      <c r="J1911" s="3">
        <v>4</v>
      </c>
      <c r="K1911" s="3" t="s">
        <v>38</v>
      </c>
      <c r="L1911" s="3">
        <v>1</v>
      </c>
      <c r="M1911" s="3">
        <v>11</v>
      </c>
      <c r="N1911" s="3" t="s">
        <v>33</v>
      </c>
    </row>
    <row r="1912" spans="1:14" x14ac:dyDescent="0.3">
      <c r="A1912" s="7" t="s">
        <v>1995</v>
      </c>
      <c r="B1912" s="7" t="s">
        <v>49</v>
      </c>
      <c r="C1912" s="7">
        <v>3</v>
      </c>
      <c r="D1912" s="10">
        <v>19.7</v>
      </c>
      <c r="E1912" s="10">
        <v>59.099999999999987</v>
      </c>
      <c r="F1912" s="9">
        <v>45727</v>
      </c>
      <c r="G1912" s="9">
        <v>45728</v>
      </c>
      <c r="H1912" s="7" t="s">
        <v>31</v>
      </c>
      <c r="I1912" s="8" t="s">
        <v>75</v>
      </c>
      <c r="J1912" s="7">
        <v>2</v>
      </c>
      <c r="K1912" s="7" t="s">
        <v>38</v>
      </c>
      <c r="L1912" s="7">
        <v>1</v>
      </c>
      <c r="M1912" s="7">
        <v>11</v>
      </c>
      <c r="N1912" s="7" t="s">
        <v>33</v>
      </c>
    </row>
    <row r="1913" spans="1:14" x14ac:dyDescent="0.3">
      <c r="A1913" s="3" t="s">
        <v>1996</v>
      </c>
      <c r="B1913" s="3" t="s">
        <v>25</v>
      </c>
      <c r="C1913" s="3">
        <v>1</v>
      </c>
      <c r="D1913" s="6">
        <v>40.299999999999997</v>
      </c>
      <c r="E1913" s="6">
        <v>40.299999999999997</v>
      </c>
      <c r="F1913" s="5">
        <v>45727</v>
      </c>
      <c r="G1913" s="5">
        <v>45728</v>
      </c>
      <c r="H1913" s="3" t="s">
        <v>94</v>
      </c>
      <c r="I1913" s="4" t="s">
        <v>40</v>
      </c>
      <c r="J1913" s="3">
        <v>4</v>
      </c>
      <c r="K1913" s="3" t="s">
        <v>38</v>
      </c>
      <c r="L1913" s="3">
        <v>1</v>
      </c>
      <c r="M1913" s="3">
        <v>11</v>
      </c>
      <c r="N1913" s="3" t="s">
        <v>95</v>
      </c>
    </row>
    <row r="1914" spans="1:14" x14ac:dyDescent="0.3">
      <c r="A1914" s="7" t="s">
        <v>1997</v>
      </c>
      <c r="B1914" s="7" t="s">
        <v>44</v>
      </c>
      <c r="C1914" s="7">
        <v>2</v>
      </c>
      <c r="D1914" s="10">
        <v>108.8</v>
      </c>
      <c r="E1914" s="10">
        <v>217.6</v>
      </c>
      <c r="F1914" s="9">
        <v>45727</v>
      </c>
      <c r="G1914" s="9">
        <v>45732</v>
      </c>
      <c r="H1914" s="7" t="s">
        <v>26</v>
      </c>
      <c r="I1914" s="8" t="s">
        <v>21</v>
      </c>
      <c r="J1914" s="7">
        <v>5</v>
      </c>
      <c r="K1914" s="7" t="s">
        <v>60</v>
      </c>
      <c r="L1914" s="7">
        <v>5</v>
      </c>
      <c r="M1914" s="7">
        <v>11</v>
      </c>
      <c r="N1914" s="7" t="s">
        <v>28</v>
      </c>
    </row>
    <row r="1915" spans="1:14" x14ac:dyDescent="0.3">
      <c r="A1915" s="3" t="s">
        <v>1998</v>
      </c>
      <c r="B1915" s="3" t="s">
        <v>49</v>
      </c>
      <c r="C1915" s="3">
        <v>3</v>
      </c>
      <c r="D1915" s="6">
        <v>48.2</v>
      </c>
      <c r="E1915" s="6">
        <v>144.6</v>
      </c>
      <c r="F1915" s="5">
        <v>45727</v>
      </c>
      <c r="G1915" s="5">
        <v>45732</v>
      </c>
      <c r="H1915" s="3" t="s">
        <v>31</v>
      </c>
      <c r="I1915" s="4" t="s">
        <v>75</v>
      </c>
      <c r="J1915" s="3">
        <v>4</v>
      </c>
      <c r="K1915" s="3" t="s">
        <v>64</v>
      </c>
      <c r="L1915" s="3">
        <v>5</v>
      </c>
      <c r="M1915" s="3">
        <v>11</v>
      </c>
      <c r="N1915" s="3" t="s">
        <v>33</v>
      </c>
    </row>
    <row r="1916" spans="1:14" x14ac:dyDescent="0.3">
      <c r="A1916" s="7" t="s">
        <v>1999</v>
      </c>
      <c r="B1916" s="7" t="s">
        <v>30</v>
      </c>
      <c r="C1916" s="7">
        <v>3</v>
      </c>
      <c r="D1916" s="10">
        <v>104.7</v>
      </c>
      <c r="E1916" s="10">
        <v>314.10000000000002</v>
      </c>
      <c r="F1916" s="9">
        <v>45727</v>
      </c>
      <c r="G1916" s="9">
        <v>45729</v>
      </c>
      <c r="H1916" s="7" t="s">
        <v>31</v>
      </c>
      <c r="I1916" s="8" t="s">
        <v>21</v>
      </c>
      <c r="J1916" s="7">
        <v>3</v>
      </c>
      <c r="K1916" s="7" t="s">
        <v>64</v>
      </c>
      <c r="L1916" s="7">
        <v>2</v>
      </c>
      <c r="M1916" s="7">
        <v>11</v>
      </c>
      <c r="N1916" s="7" t="s">
        <v>33</v>
      </c>
    </row>
    <row r="1917" spans="1:14" x14ac:dyDescent="0.3">
      <c r="A1917" s="3" t="s">
        <v>2000</v>
      </c>
      <c r="B1917" s="3" t="s">
        <v>25</v>
      </c>
      <c r="C1917" s="3">
        <v>2</v>
      </c>
      <c r="D1917" s="6">
        <v>80.599999999999994</v>
      </c>
      <c r="E1917" s="6">
        <v>161.19999999999999</v>
      </c>
      <c r="F1917" s="5">
        <v>45727</v>
      </c>
      <c r="G1917" s="5">
        <v>45727</v>
      </c>
      <c r="H1917" s="3" t="s">
        <v>31</v>
      </c>
      <c r="I1917" s="4" t="s">
        <v>40</v>
      </c>
      <c r="J1917" s="3">
        <v>4</v>
      </c>
      <c r="K1917" s="3" t="s">
        <v>67</v>
      </c>
      <c r="L1917" s="3">
        <v>0</v>
      </c>
      <c r="M1917" s="3">
        <v>11</v>
      </c>
      <c r="N1917" s="3" t="s">
        <v>33</v>
      </c>
    </row>
    <row r="1918" spans="1:14" x14ac:dyDescent="0.3">
      <c r="A1918" s="7" t="s">
        <v>2001</v>
      </c>
      <c r="B1918" s="7" t="s">
        <v>44</v>
      </c>
      <c r="C1918" s="7">
        <v>1</v>
      </c>
      <c r="D1918" s="10">
        <v>65.5</v>
      </c>
      <c r="E1918" s="10">
        <v>65.5</v>
      </c>
      <c r="F1918" s="9">
        <v>45727</v>
      </c>
      <c r="G1918" s="9">
        <v>45729</v>
      </c>
      <c r="H1918" s="7" t="s">
        <v>94</v>
      </c>
      <c r="I1918" s="8" t="s">
        <v>40</v>
      </c>
      <c r="J1918" s="7">
        <v>4</v>
      </c>
      <c r="K1918" s="7" t="s">
        <v>67</v>
      </c>
      <c r="L1918" s="7">
        <v>2</v>
      </c>
      <c r="M1918" s="7">
        <v>11</v>
      </c>
      <c r="N1918" s="7" t="s">
        <v>95</v>
      </c>
    </row>
    <row r="1919" spans="1:14" x14ac:dyDescent="0.3">
      <c r="A1919" s="3" t="s">
        <v>2002</v>
      </c>
      <c r="B1919" s="3" t="s">
        <v>51</v>
      </c>
      <c r="C1919" s="3">
        <v>3</v>
      </c>
      <c r="D1919" s="6">
        <v>61.4</v>
      </c>
      <c r="E1919" s="6">
        <v>184.2</v>
      </c>
      <c r="F1919" s="5">
        <v>45727</v>
      </c>
      <c r="G1919" s="5">
        <v>45729</v>
      </c>
      <c r="H1919" s="3" t="s">
        <v>31</v>
      </c>
      <c r="I1919" s="4" t="s">
        <v>75</v>
      </c>
      <c r="J1919" s="3">
        <v>5</v>
      </c>
      <c r="K1919" s="3" t="s">
        <v>67</v>
      </c>
      <c r="L1919" s="3">
        <v>2</v>
      </c>
      <c r="M1919" s="3">
        <v>11</v>
      </c>
      <c r="N1919" s="3" t="s">
        <v>33</v>
      </c>
    </row>
    <row r="1920" spans="1:14" x14ac:dyDescent="0.3">
      <c r="A1920" s="7" t="s">
        <v>2003</v>
      </c>
      <c r="B1920" s="7" t="s">
        <v>20</v>
      </c>
      <c r="C1920" s="7">
        <v>1</v>
      </c>
      <c r="D1920" s="10">
        <v>12.5</v>
      </c>
      <c r="E1920" s="10">
        <v>12.5</v>
      </c>
      <c r="F1920" s="9">
        <v>45728</v>
      </c>
      <c r="G1920" s="9">
        <v>45731</v>
      </c>
      <c r="H1920" s="7" t="s">
        <v>31</v>
      </c>
      <c r="I1920" s="8" t="s">
        <v>21</v>
      </c>
      <c r="J1920" s="7">
        <v>3</v>
      </c>
      <c r="K1920" s="7" t="s">
        <v>67</v>
      </c>
      <c r="L1920" s="7">
        <v>3</v>
      </c>
      <c r="M1920" s="7">
        <v>11</v>
      </c>
      <c r="N1920" s="7" t="s">
        <v>33</v>
      </c>
    </row>
    <row r="1921" spans="1:14" x14ac:dyDescent="0.3">
      <c r="A1921" s="3" t="s">
        <v>2004</v>
      </c>
      <c r="B1921" s="3" t="s">
        <v>37</v>
      </c>
      <c r="C1921" s="3">
        <v>4</v>
      </c>
      <c r="D1921" s="6">
        <v>35.1</v>
      </c>
      <c r="E1921" s="6">
        <v>140.4</v>
      </c>
      <c r="F1921" s="5">
        <v>45728</v>
      </c>
      <c r="G1921" s="5">
        <v>45729</v>
      </c>
      <c r="H1921" s="3" t="s">
        <v>26</v>
      </c>
      <c r="I1921" s="4" t="s">
        <v>45</v>
      </c>
      <c r="J1921" s="3">
        <v>3</v>
      </c>
      <c r="K1921" s="3" t="s">
        <v>109</v>
      </c>
      <c r="L1921" s="3">
        <v>1</v>
      </c>
      <c r="M1921" s="3">
        <v>11</v>
      </c>
      <c r="N1921" s="3" t="s">
        <v>28</v>
      </c>
    </row>
    <row r="1922" spans="1:14" x14ac:dyDescent="0.3">
      <c r="A1922" s="7" t="s">
        <v>2005</v>
      </c>
      <c r="B1922" s="7" t="s">
        <v>42</v>
      </c>
      <c r="C1922" s="7">
        <v>2</v>
      </c>
      <c r="D1922" s="10">
        <v>55.7</v>
      </c>
      <c r="E1922" s="10">
        <v>111.4</v>
      </c>
      <c r="F1922" s="9">
        <v>45728</v>
      </c>
      <c r="G1922" s="9">
        <v>45729</v>
      </c>
      <c r="H1922" s="7" t="s">
        <v>26</v>
      </c>
      <c r="I1922" s="8" t="s">
        <v>21</v>
      </c>
      <c r="J1922" s="7">
        <v>3</v>
      </c>
      <c r="K1922" s="7" t="s">
        <v>207</v>
      </c>
      <c r="L1922" s="7">
        <v>1</v>
      </c>
      <c r="M1922" s="7">
        <v>11</v>
      </c>
      <c r="N1922" s="7" t="s">
        <v>28</v>
      </c>
    </row>
    <row r="1923" spans="1:14" x14ac:dyDescent="0.3">
      <c r="A1923" s="3" t="s">
        <v>2006</v>
      </c>
      <c r="B1923" s="3" t="s">
        <v>47</v>
      </c>
      <c r="C1923" s="3">
        <v>2</v>
      </c>
      <c r="D1923" s="6">
        <v>57.7</v>
      </c>
      <c r="E1923" s="6">
        <v>115.4</v>
      </c>
      <c r="F1923" s="5">
        <v>45728</v>
      </c>
      <c r="G1923" s="5">
        <v>45730</v>
      </c>
      <c r="H1923" s="3" t="s">
        <v>26</v>
      </c>
      <c r="I1923" s="4" t="s">
        <v>75</v>
      </c>
      <c r="J1923" s="3">
        <v>3</v>
      </c>
      <c r="K1923" s="3" t="s">
        <v>77</v>
      </c>
      <c r="L1923" s="3">
        <v>2</v>
      </c>
      <c r="M1923" s="3">
        <v>11</v>
      </c>
      <c r="N1923" s="3" t="s">
        <v>28</v>
      </c>
    </row>
    <row r="1924" spans="1:14" x14ac:dyDescent="0.3">
      <c r="A1924" s="7" t="s">
        <v>2007</v>
      </c>
      <c r="B1924" s="7" t="s">
        <v>30</v>
      </c>
      <c r="C1924" s="7">
        <v>6</v>
      </c>
      <c r="D1924" s="10">
        <v>85.7</v>
      </c>
      <c r="E1924" s="10">
        <v>514.20000000000005</v>
      </c>
      <c r="F1924" s="9">
        <v>45728</v>
      </c>
      <c r="G1924" s="9">
        <v>45729</v>
      </c>
      <c r="H1924" s="7" t="s">
        <v>26</v>
      </c>
      <c r="I1924" s="8" t="s">
        <v>56</v>
      </c>
      <c r="J1924" s="7">
        <v>5</v>
      </c>
      <c r="K1924" s="7" t="s">
        <v>77</v>
      </c>
      <c r="L1924" s="7">
        <v>1</v>
      </c>
      <c r="M1924" s="7">
        <v>11</v>
      </c>
      <c r="N1924" s="7" t="s">
        <v>28</v>
      </c>
    </row>
    <row r="1925" spans="1:14" x14ac:dyDescent="0.3">
      <c r="A1925" s="3" t="s">
        <v>2008</v>
      </c>
      <c r="B1925" s="3" t="s">
        <v>30</v>
      </c>
      <c r="C1925" s="3">
        <v>3</v>
      </c>
      <c r="D1925" s="6">
        <v>86.9</v>
      </c>
      <c r="E1925" s="6">
        <v>260.7</v>
      </c>
      <c r="F1925" s="5">
        <v>45728</v>
      </c>
      <c r="G1925" s="5">
        <v>45730</v>
      </c>
      <c r="H1925" s="3" t="s">
        <v>31</v>
      </c>
      <c r="I1925" s="4" t="s">
        <v>40</v>
      </c>
      <c r="J1925" s="3">
        <v>4</v>
      </c>
      <c r="K1925" s="3" t="s">
        <v>82</v>
      </c>
      <c r="L1925" s="3">
        <v>2</v>
      </c>
      <c r="M1925" s="3">
        <v>11</v>
      </c>
      <c r="N1925" s="3" t="s">
        <v>33</v>
      </c>
    </row>
    <row r="1926" spans="1:14" x14ac:dyDescent="0.3">
      <c r="A1926" s="7" t="s">
        <v>2009</v>
      </c>
      <c r="B1926" s="7" t="s">
        <v>152</v>
      </c>
      <c r="C1926" s="7">
        <v>2</v>
      </c>
      <c r="D1926" s="10">
        <v>46.4</v>
      </c>
      <c r="E1926" s="10">
        <v>92.8</v>
      </c>
      <c r="F1926" s="9">
        <v>45728</v>
      </c>
      <c r="G1926" s="9">
        <v>45731</v>
      </c>
      <c r="H1926" s="7" t="s">
        <v>31</v>
      </c>
      <c r="I1926" s="8" t="s">
        <v>75</v>
      </c>
      <c r="J1926" s="7">
        <v>4</v>
      </c>
      <c r="K1926" s="7" t="s">
        <v>82</v>
      </c>
      <c r="L1926" s="7">
        <v>3</v>
      </c>
      <c r="M1926" s="7">
        <v>11</v>
      </c>
      <c r="N1926" s="7" t="s">
        <v>33</v>
      </c>
    </row>
    <row r="1927" spans="1:14" x14ac:dyDescent="0.3">
      <c r="A1927" s="3" t="s">
        <v>2010</v>
      </c>
      <c r="B1927" s="3" t="s">
        <v>42</v>
      </c>
      <c r="C1927" s="3">
        <v>3</v>
      </c>
      <c r="D1927" s="6">
        <v>25.4</v>
      </c>
      <c r="E1927" s="6">
        <v>76.199999999999989</v>
      </c>
      <c r="F1927" s="5">
        <v>45728</v>
      </c>
      <c r="G1927" s="5">
        <v>45728</v>
      </c>
      <c r="H1927" s="3" t="s">
        <v>31</v>
      </c>
      <c r="I1927" s="4" t="s">
        <v>45</v>
      </c>
      <c r="J1927" s="3">
        <v>5</v>
      </c>
      <c r="K1927" s="3" t="s">
        <v>114</v>
      </c>
      <c r="L1927" s="3">
        <v>0</v>
      </c>
      <c r="M1927" s="3">
        <v>11</v>
      </c>
      <c r="N1927" s="3" t="s">
        <v>33</v>
      </c>
    </row>
    <row r="1928" spans="1:14" x14ac:dyDescent="0.3">
      <c r="A1928" s="7" t="s">
        <v>2011</v>
      </c>
      <c r="B1928" s="7" t="s">
        <v>59</v>
      </c>
      <c r="C1928" s="7">
        <v>3</v>
      </c>
      <c r="D1928" s="10">
        <v>47.8</v>
      </c>
      <c r="E1928" s="10">
        <v>143.4</v>
      </c>
      <c r="F1928" s="9">
        <v>45728</v>
      </c>
      <c r="G1928" s="9">
        <v>45728</v>
      </c>
      <c r="H1928" s="7"/>
      <c r="I1928" s="8" t="s">
        <v>45</v>
      </c>
      <c r="J1928" s="7">
        <v>5</v>
      </c>
      <c r="K1928" s="7" t="s">
        <v>116</v>
      </c>
      <c r="L1928" s="7">
        <v>0</v>
      </c>
      <c r="M1928" s="7">
        <v>11</v>
      </c>
      <c r="N1928" s="7" t="s">
        <v>23</v>
      </c>
    </row>
    <row r="1929" spans="1:14" x14ac:dyDescent="0.3">
      <c r="A1929" s="3" t="s">
        <v>2012</v>
      </c>
      <c r="B1929" s="3" t="s">
        <v>49</v>
      </c>
      <c r="C1929" s="3">
        <v>19</v>
      </c>
      <c r="D1929" s="6">
        <v>18.399999999999999</v>
      </c>
      <c r="E1929" s="6">
        <v>349.6</v>
      </c>
      <c r="F1929" s="5">
        <v>45728</v>
      </c>
      <c r="G1929" s="5">
        <v>45730</v>
      </c>
      <c r="H1929" s="3" t="s">
        <v>94</v>
      </c>
      <c r="I1929" s="4" t="s">
        <v>45</v>
      </c>
      <c r="J1929" s="3">
        <v>4</v>
      </c>
      <c r="K1929" s="3" t="s">
        <v>119</v>
      </c>
      <c r="L1929" s="3">
        <v>2</v>
      </c>
      <c r="M1929" s="3">
        <v>11</v>
      </c>
      <c r="N1929" s="3" t="s">
        <v>95</v>
      </c>
    </row>
    <row r="1930" spans="1:14" x14ac:dyDescent="0.3">
      <c r="A1930" s="7" t="s">
        <v>2013</v>
      </c>
      <c r="B1930" s="7" t="s">
        <v>74</v>
      </c>
      <c r="C1930" s="7">
        <v>3</v>
      </c>
      <c r="D1930" s="10">
        <v>65.5</v>
      </c>
      <c r="E1930" s="10">
        <v>196.5</v>
      </c>
      <c r="F1930" s="9">
        <v>45728</v>
      </c>
      <c r="G1930" s="9">
        <v>45736</v>
      </c>
      <c r="H1930" s="7" t="s">
        <v>31</v>
      </c>
      <c r="I1930" s="8" t="s">
        <v>21</v>
      </c>
      <c r="J1930" s="7">
        <v>4</v>
      </c>
      <c r="K1930" s="7" t="s">
        <v>121</v>
      </c>
      <c r="L1930" s="7">
        <v>8</v>
      </c>
      <c r="M1930" s="7">
        <v>11</v>
      </c>
      <c r="N1930" s="7" t="s">
        <v>33</v>
      </c>
    </row>
    <row r="1931" spans="1:14" x14ac:dyDescent="0.3">
      <c r="A1931" s="3" t="s">
        <v>2014</v>
      </c>
      <c r="B1931" s="3" t="s">
        <v>59</v>
      </c>
      <c r="C1931" s="3">
        <v>2</v>
      </c>
      <c r="D1931" s="6">
        <v>50.6</v>
      </c>
      <c r="E1931" s="6">
        <v>101.2</v>
      </c>
      <c r="F1931" s="5">
        <v>45728</v>
      </c>
      <c r="G1931" s="5">
        <v>45731</v>
      </c>
      <c r="H1931" s="3" t="s">
        <v>26</v>
      </c>
      <c r="I1931" s="4" t="s">
        <v>45</v>
      </c>
      <c r="J1931" s="3">
        <v>2</v>
      </c>
      <c r="K1931" s="3" t="s">
        <v>121</v>
      </c>
      <c r="L1931" s="3">
        <v>3</v>
      </c>
      <c r="M1931" s="3">
        <v>11</v>
      </c>
      <c r="N1931" s="3" t="s">
        <v>28</v>
      </c>
    </row>
    <row r="1932" spans="1:14" x14ac:dyDescent="0.3">
      <c r="A1932" s="7" t="s">
        <v>2015</v>
      </c>
      <c r="B1932" s="7" t="s">
        <v>35</v>
      </c>
      <c r="C1932" s="7">
        <v>5</v>
      </c>
      <c r="D1932" s="10">
        <v>69</v>
      </c>
      <c r="E1932" s="10">
        <v>345</v>
      </c>
      <c r="F1932" s="9">
        <v>45728</v>
      </c>
      <c r="G1932" s="9">
        <v>45732</v>
      </c>
      <c r="H1932" s="7" t="s">
        <v>26</v>
      </c>
      <c r="I1932" s="8" t="s">
        <v>56</v>
      </c>
      <c r="J1932" s="7">
        <v>4</v>
      </c>
      <c r="K1932" s="7" t="s">
        <v>121</v>
      </c>
      <c r="L1932" s="7">
        <v>4</v>
      </c>
      <c r="M1932" s="7">
        <v>11</v>
      </c>
      <c r="N1932" s="7" t="s">
        <v>28</v>
      </c>
    </row>
    <row r="1933" spans="1:14" x14ac:dyDescent="0.3">
      <c r="A1933" s="3" t="s">
        <v>2016</v>
      </c>
      <c r="B1933" s="3" t="s">
        <v>51</v>
      </c>
      <c r="C1933" s="3">
        <v>8</v>
      </c>
      <c r="D1933" s="6">
        <v>51.1</v>
      </c>
      <c r="E1933" s="6">
        <v>408.8</v>
      </c>
      <c r="F1933" s="5">
        <v>45728</v>
      </c>
      <c r="G1933" s="5">
        <v>45730</v>
      </c>
      <c r="H1933" s="3" t="s">
        <v>31</v>
      </c>
      <c r="I1933" s="4" t="s">
        <v>21</v>
      </c>
      <c r="J1933" s="3">
        <v>4</v>
      </c>
      <c r="K1933" s="3" t="s">
        <v>27</v>
      </c>
      <c r="L1933" s="3">
        <v>2</v>
      </c>
      <c r="M1933" s="3">
        <v>11</v>
      </c>
      <c r="N1933" s="3" t="s">
        <v>33</v>
      </c>
    </row>
    <row r="1934" spans="1:14" x14ac:dyDescent="0.3">
      <c r="A1934" s="7" t="s">
        <v>2017</v>
      </c>
      <c r="B1934" s="7" t="s">
        <v>51</v>
      </c>
      <c r="C1934" s="7">
        <v>1</v>
      </c>
      <c r="D1934" s="10">
        <v>36.1</v>
      </c>
      <c r="E1934" s="10">
        <v>36.1</v>
      </c>
      <c r="F1934" s="9">
        <v>45728</v>
      </c>
      <c r="G1934" s="9">
        <v>45729</v>
      </c>
      <c r="H1934" s="7" t="s">
        <v>31</v>
      </c>
      <c r="I1934" s="8" t="s">
        <v>21</v>
      </c>
      <c r="J1934" s="7">
        <v>5</v>
      </c>
      <c r="K1934" s="7" t="s">
        <v>22</v>
      </c>
      <c r="L1934" s="7">
        <v>1</v>
      </c>
      <c r="M1934" s="7">
        <v>11</v>
      </c>
      <c r="N1934" s="7" t="s">
        <v>33</v>
      </c>
    </row>
    <row r="1935" spans="1:14" x14ac:dyDescent="0.3">
      <c r="A1935" s="3" t="s">
        <v>2018</v>
      </c>
      <c r="B1935" s="3" t="s">
        <v>86</v>
      </c>
      <c r="C1935" s="3">
        <v>1</v>
      </c>
      <c r="D1935" s="6">
        <v>18.7</v>
      </c>
      <c r="E1935" s="6">
        <v>18.7</v>
      </c>
      <c r="F1935" s="5">
        <v>45728</v>
      </c>
      <c r="G1935" s="5">
        <v>45729</v>
      </c>
      <c r="H1935" s="3" t="s">
        <v>26</v>
      </c>
      <c r="I1935" s="4" t="s">
        <v>21</v>
      </c>
      <c r="J1935" s="3">
        <v>4</v>
      </c>
      <c r="K1935" s="3" t="s">
        <v>38</v>
      </c>
      <c r="L1935" s="3">
        <v>1</v>
      </c>
      <c r="M1935" s="3">
        <v>11</v>
      </c>
      <c r="N1935" s="3" t="s">
        <v>28</v>
      </c>
    </row>
    <row r="1936" spans="1:14" x14ac:dyDescent="0.3">
      <c r="A1936" s="7" t="s">
        <v>2019</v>
      </c>
      <c r="B1936" s="7" t="s">
        <v>141</v>
      </c>
      <c r="C1936" s="7">
        <v>1</v>
      </c>
      <c r="D1936" s="10">
        <v>30.1</v>
      </c>
      <c r="E1936" s="10">
        <v>30.1</v>
      </c>
      <c r="F1936" s="9">
        <v>45728</v>
      </c>
      <c r="G1936" s="9">
        <v>45731</v>
      </c>
      <c r="H1936" s="7" t="s">
        <v>31</v>
      </c>
      <c r="I1936" s="8" t="s">
        <v>56</v>
      </c>
      <c r="J1936" s="7">
        <v>3</v>
      </c>
      <c r="K1936" s="7" t="s">
        <v>38</v>
      </c>
      <c r="L1936" s="7">
        <v>3</v>
      </c>
      <c r="M1936" s="7">
        <v>11</v>
      </c>
      <c r="N1936" s="7" t="s">
        <v>33</v>
      </c>
    </row>
    <row r="1937" spans="1:14" x14ac:dyDescent="0.3">
      <c r="A1937" s="3" t="s">
        <v>2020</v>
      </c>
      <c r="B1937" s="3" t="s">
        <v>49</v>
      </c>
      <c r="C1937" s="3">
        <v>1</v>
      </c>
      <c r="D1937" s="6">
        <v>16.3</v>
      </c>
      <c r="E1937" s="6">
        <v>16.3</v>
      </c>
      <c r="F1937" s="5">
        <v>45728</v>
      </c>
      <c r="G1937" s="5">
        <v>45729</v>
      </c>
      <c r="H1937" s="3" t="s">
        <v>26</v>
      </c>
      <c r="I1937" s="4" t="s">
        <v>56</v>
      </c>
      <c r="J1937" s="3">
        <v>4</v>
      </c>
      <c r="K1937" s="3" t="s">
        <v>38</v>
      </c>
      <c r="L1937" s="3">
        <v>1</v>
      </c>
      <c r="M1937" s="3">
        <v>11</v>
      </c>
      <c r="N1937" s="3" t="s">
        <v>28</v>
      </c>
    </row>
    <row r="1938" spans="1:14" x14ac:dyDescent="0.3">
      <c r="A1938" s="7" t="s">
        <v>2021</v>
      </c>
      <c r="B1938" s="7" t="s">
        <v>25</v>
      </c>
      <c r="C1938" s="7">
        <v>3</v>
      </c>
      <c r="D1938" s="10">
        <v>63.8</v>
      </c>
      <c r="E1938" s="10">
        <v>191.4</v>
      </c>
      <c r="F1938" s="9">
        <v>45728</v>
      </c>
      <c r="G1938" s="9">
        <v>45733</v>
      </c>
      <c r="H1938" s="7" t="s">
        <v>31</v>
      </c>
      <c r="I1938" s="8" t="s">
        <v>45</v>
      </c>
      <c r="J1938" s="7">
        <v>3</v>
      </c>
      <c r="K1938" s="7" t="s">
        <v>38</v>
      </c>
      <c r="L1938" s="7">
        <v>5</v>
      </c>
      <c r="M1938" s="7">
        <v>11</v>
      </c>
      <c r="N1938" s="7" t="s">
        <v>33</v>
      </c>
    </row>
    <row r="1939" spans="1:14" x14ac:dyDescent="0.3">
      <c r="A1939" s="3" t="s">
        <v>2022</v>
      </c>
      <c r="B1939" s="3" t="s">
        <v>25</v>
      </c>
      <c r="C1939" s="3">
        <v>7</v>
      </c>
      <c r="D1939" s="6">
        <v>73.900000000000006</v>
      </c>
      <c r="E1939" s="6">
        <v>517.30000000000007</v>
      </c>
      <c r="F1939" s="5">
        <v>45728</v>
      </c>
      <c r="G1939" s="5">
        <v>45728</v>
      </c>
      <c r="H1939" s="3" t="s">
        <v>31</v>
      </c>
      <c r="I1939" s="4" t="s">
        <v>21</v>
      </c>
      <c r="J1939" s="3">
        <v>3</v>
      </c>
      <c r="K1939" s="3" t="s">
        <v>38</v>
      </c>
      <c r="L1939" s="3">
        <v>0</v>
      </c>
      <c r="M1939" s="3">
        <v>11</v>
      </c>
      <c r="N1939" s="3" t="s">
        <v>33</v>
      </c>
    </row>
    <row r="1940" spans="1:14" x14ac:dyDescent="0.3">
      <c r="A1940" s="7" t="s">
        <v>2023</v>
      </c>
      <c r="B1940" s="7" t="s">
        <v>20</v>
      </c>
      <c r="C1940" s="7">
        <v>2</v>
      </c>
      <c r="D1940" s="10">
        <v>20.2</v>
      </c>
      <c r="E1940" s="10">
        <v>40.4</v>
      </c>
      <c r="F1940" s="9">
        <v>45728</v>
      </c>
      <c r="G1940" s="9">
        <v>45729</v>
      </c>
      <c r="H1940" s="7" t="s">
        <v>26</v>
      </c>
      <c r="I1940" s="8" t="s">
        <v>21</v>
      </c>
      <c r="J1940" s="7">
        <v>3</v>
      </c>
      <c r="K1940" s="7" t="s">
        <v>38</v>
      </c>
      <c r="L1940" s="7">
        <v>1</v>
      </c>
      <c r="M1940" s="7">
        <v>11</v>
      </c>
      <c r="N1940" s="7" t="s">
        <v>28</v>
      </c>
    </row>
    <row r="1941" spans="1:14" x14ac:dyDescent="0.3">
      <c r="A1941" s="3" t="s">
        <v>2024</v>
      </c>
      <c r="B1941" s="3" t="s">
        <v>72</v>
      </c>
      <c r="C1941" s="3">
        <v>11</v>
      </c>
      <c r="D1941" s="6">
        <v>29.5</v>
      </c>
      <c r="E1941" s="6">
        <v>324.5</v>
      </c>
      <c r="F1941" s="5">
        <v>45728</v>
      </c>
      <c r="G1941" s="5">
        <v>45729</v>
      </c>
      <c r="H1941" s="3" t="s">
        <v>26</v>
      </c>
      <c r="I1941" s="4" t="s">
        <v>21</v>
      </c>
      <c r="J1941" s="3">
        <v>4</v>
      </c>
      <c r="K1941" s="3" t="s">
        <v>38</v>
      </c>
      <c r="L1941" s="3">
        <v>1</v>
      </c>
      <c r="M1941" s="3">
        <v>11</v>
      </c>
      <c r="N1941" s="3" t="s">
        <v>28</v>
      </c>
    </row>
    <row r="1942" spans="1:14" x14ac:dyDescent="0.3">
      <c r="A1942" s="7" t="s">
        <v>2025</v>
      </c>
      <c r="B1942" s="7" t="s">
        <v>129</v>
      </c>
      <c r="C1942" s="7">
        <v>7</v>
      </c>
      <c r="D1942" s="10">
        <v>37.9</v>
      </c>
      <c r="E1942" s="10">
        <v>265.3</v>
      </c>
      <c r="F1942" s="9">
        <v>45728</v>
      </c>
      <c r="G1942" s="9">
        <v>45729</v>
      </c>
      <c r="H1942" s="7" t="s">
        <v>26</v>
      </c>
      <c r="I1942" s="8" t="s">
        <v>40</v>
      </c>
      <c r="J1942" s="7">
        <v>4</v>
      </c>
      <c r="K1942" s="7" t="s">
        <v>38</v>
      </c>
      <c r="L1942" s="7">
        <v>1</v>
      </c>
      <c r="M1942" s="7">
        <v>11</v>
      </c>
      <c r="N1942" s="7" t="s">
        <v>28</v>
      </c>
    </row>
    <row r="1943" spans="1:14" x14ac:dyDescent="0.3">
      <c r="A1943" s="3" t="s">
        <v>2026</v>
      </c>
      <c r="B1943" s="3" t="s">
        <v>30</v>
      </c>
      <c r="C1943" s="3">
        <v>1</v>
      </c>
      <c r="D1943" s="6">
        <v>56.5</v>
      </c>
      <c r="E1943" s="6">
        <v>56.5</v>
      </c>
      <c r="F1943" s="5">
        <v>45728</v>
      </c>
      <c r="G1943" s="5">
        <v>45729</v>
      </c>
      <c r="H1943" s="3" t="s">
        <v>31</v>
      </c>
      <c r="I1943" s="4" t="s">
        <v>45</v>
      </c>
      <c r="J1943" s="3">
        <v>3</v>
      </c>
      <c r="K1943" s="3" t="s">
        <v>38</v>
      </c>
      <c r="L1943" s="3">
        <v>1</v>
      </c>
      <c r="M1943" s="3">
        <v>11</v>
      </c>
      <c r="N1943" s="3" t="s">
        <v>33</v>
      </c>
    </row>
    <row r="1944" spans="1:14" x14ac:dyDescent="0.3">
      <c r="A1944" s="7" t="s">
        <v>2027</v>
      </c>
      <c r="B1944" s="7" t="s">
        <v>30</v>
      </c>
      <c r="C1944" s="7">
        <v>2</v>
      </c>
      <c r="D1944" s="10">
        <v>66.900000000000006</v>
      </c>
      <c r="E1944" s="10">
        <v>133.80000000000001</v>
      </c>
      <c r="F1944" s="9">
        <v>45728</v>
      </c>
      <c r="G1944" s="9">
        <v>45734</v>
      </c>
      <c r="H1944" s="7" t="s">
        <v>26</v>
      </c>
      <c r="I1944" s="8" t="s">
        <v>40</v>
      </c>
      <c r="J1944" s="7">
        <v>2</v>
      </c>
      <c r="K1944" s="7" t="s">
        <v>194</v>
      </c>
      <c r="L1944" s="7">
        <v>6</v>
      </c>
      <c r="M1944" s="7">
        <v>11</v>
      </c>
      <c r="N1944" s="7" t="s">
        <v>28</v>
      </c>
    </row>
    <row r="1945" spans="1:14" x14ac:dyDescent="0.3">
      <c r="A1945" s="3" t="s">
        <v>2028</v>
      </c>
      <c r="B1945" s="3" t="s">
        <v>30</v>
      </c>
      <c r="C1945" s="3">
        <v>5</v>
      </c>
      <c r="D1945" s="6">
        <v>51.9</v>
      </c>
      <c r="E1945" s="6">
        <v>259.5</v>
      </c>
      <c r="F1945" s="5">
        <v>45728</v>
      </c>
      <c r="G1945" s="5">
        <v>45731</v>
      </c>
      <c r="H1945" s="3" t="s">
        <v>26</v>
      </c>
      <c r="I1945" s="4" t="s">
        <v>40</v>
      </c>
      <c r="J1945" s="3">
        <v>4</v>
      </c>
      <c r="K1945" s="3" t="s">
        <v>64</v>
      </c>
      <c r="L1945" s="3">
        <v>3</v>
      </c>
      <c r="M1945" s="3">
        <v>11</v>
      </c>
      <c r="N1945" s="3" t="s">
        <v>28</v>
      </c>
    </row>
    <row r="1946" spans="1:14" x14ac:dyDescent="0.3">
      <c r="A1946" s="7" t="s">
        <v>2029</v>
      </c>
      <c r="B1946" s="7" t="s">
        <v>30</v>
      </c>
      <c r="C1946" s="7">
        <v>2</v>
      </c>
      <c r="D1946" s="10">
        <v>75.599999999999994</v>
      </c>
      <c r="E1946" s="10">
        <v>151.19999999999999</v>
      </c>
      <c r="F1946" s="9">
        <v>45728</v>
      </c>
      <c r="G1946" s="9">
        <v>45731</v>
      </c>
      <c r="H1946" s="7" t="s">
        <v>26</v>
      </c>
      <c r="I1946" s="8" t="s">
        <v>40</v>
      </c>
      <c r="J1946" s="7">
        <v>4</v>
      </c>
      <c r="K1946" s="7" t="s">
        <v>67</v>
      </c>
      <c r="L1946" s="7">
        <v>3</v>
      </c>
      <c r="M1946" s="7">
        <v>11</v>
      </c>
      <c r="N1946" s="7" t="s">
        <v>28</v>
      </c>
    </row>
    <row r="1947" spans="1:14" x14ac:dyDescent="0.3">
      <c r="A1947" s="3" t="s">
        <v>2030</v>
      </c>
      <c r="B1947" s="3" t="s">
        <v>74</v>
      </c>
      <c r="C1947" s="3">
        <v>6</v>
      </c>
      <c r="D1947" s="6">
        <v>47.3</v>
      </c>
      <c r="E1947" s="6">
        <v>283.8</v>
      </c>
      <c r="F1947" s="5">
        <v>45728</v>
      </c>
      <c r="G1947" s="5">
        <v>45739</v>
      </c>
      <c r="H1947" s="3" t="s">
        <v>26</v>
      </c>
      <c r="I1947" s="4" t="s">
        <v>21</v>
      </c>
      <c r="J1947" s="3">
        <v>4</v>
      </c>
      <c r="K1947" s="3" t="s">
        <v>67</v>
      </c>
      <c r="L1947" s="3">
        <v>11</v>
      </c>
      <c r="M1947" s="3">
        <v>11</v>
      </c>
      <c r="N1947" s="3" t="s">
        <v>28</v>
      </c>
    </row>
    <row r="1948" spans="1:14" x14ac:dyDescent="0.3">
      <c r="A1948" s="7" t="s">
        <v>2031</v>
      </c>
      <c r="B1948" s="7" t="s">
        <v>37</v>
      </c>
      <c r="C1948" s="7">
        <v>1</v>
      </c>
      <c r="D1948" s="10">
        <v>20.6</v>
      </c>
      <c r="E1948" s="10">
        <v>20.6</v>
      </c>
      <c r="F1948" s="9">
        <v>45728</v>
      </c>
      <c r="G1948" s="9">
        <v>45729</v>
      </c>
      <c r="H1948" s="7"/>
      <c r="I1948" s="8" t="s">
        <v>21</v>
      </c>
      <c r="J1948" s="7">
        <v>3</v>
      </c>
      <c r="K1948" s="7" t="s">
        <v>67</v>
      </c>
      <c r="L1948" s="7">
        <v>1</v>
      </c>
      <c r="M1948" s="7">
        <v>11</v>
      </c>
      <c r="N1948" s="7" t="s">
        <v>23</v>
      </c>
    </row>
    <row r="1949" spans="1:14" x14ac:dyDescent="0.3">
      <c r="A1949" s="3" t="s">
        <v>2032</v>
      </c>
      <c r="B1949" s="3" t="s">
        <v>44</v>
      </c>
      <c r="C1949" s="3">
        <v>3</v>
      </c>
      <c r="D1949" s="6">
        <v>49.7</v>
      </c>
      <c r="E1949" s="6">
        <v>149.1</v>
      </c>
      <c r="F1949" s="5">
        <v>45728</v>
      </c>
      <c r="G1949" s="5">
        <v>45730</v>
      </c>
      <c r="H1949" s="3" t="s">
        <v>26</v>
      </c>
      <c r="I1949" s="4" t="s">
        <v>21</v>
      </c>
      <c r="J1949" s="3">
        <v>3</v>
      </c>
      <c r="K1949" s="3" t="s">
        <v>67</v>
      </c>
      <c r="L1949" s="3">
        <v>2</v>
      </c>
      <c r="M1949" s="3">
        <v>11</v>
      </c>
      <c r="N1949" s="3" t="s">
        <v>28</v>
      </c>
    </row>
    <row r="1950" spans="1:14" x14ac:dyDescent="0.3">
      <c r="A1950" s="7" t="s">
        <v>2033</v>
      </c>
      <c r="B1950" s="7" t="s">
        <v>35</v>
      </c>
      <c r="C1950" s="7">
        <v>1</v>
      </c>
      <c r="D1950" s="10">
        <v>37.9</v>
      </c>
      <c r="E1950" s="10">
        <v>37.9</v>
      </c>
      <c r="F1950" s="9">
        <v>45728</v>
      </c>
      <c r="G1950" s="9">
        <v>45730</v>
      </c>
      <c r="H1950" s="7" t="s">
        <v>31</v>
      </c>
      <c r="I1950" s="8" t="s">
        <v>21</v>
      </c>
      <c r="J1950" s="7">
        <v>4</v>
      </c>
      <c r="K1950" s="7" t="s">
        <v>67</v>
      </c>
      <c r="L1950" s="7">
        <v>2</v>
      </c>
      <c r="M1950" s="7">
        <v>11</v>
      </c>
      <c r="N1950" s="7" t="s">
        <v>33</v>
      </c>
    </row>
    <row r="1951" spans="1:14" x14ac:dyDescent="0.3">
      <c r="A1951" s="3" t="s">
        <v>2034</v>
      </c>
      <c r="B1951" s="3" t="s">
        <v>81</v>
      </c>
      <c r="C1951" s="3">
        <v>15</v>
      </c>
      <c r="D1951" s="6">
        <v>32</v>
      </c>
      <c r="E1951" s="6">
        <v>480</v>
      </c>
      <c r="F1951" s="5">
        <v>45728</v>
      </c>
      <c r="G1951" s="5">
        <v>45730</v>
      </c>
      <c r="H1951" s="3" t="s">
        <v>31</v>
      </c>
      <c r="I1951" s="4" t="s">
        <v>75</v>
      </c>
      <c r="J1951" s="3">
        <v>4</v>
      </c>
      <c r="K1951" s="3" t="s">
        <v>82</v>
      </c>
      <c r="L1951" s="3">
        <v>2</v>
      </c>
      <c r="M1951" s="3">
        <v>11</v>
      </c>
      <c r="N1951" s="3" t="s">
        <v>33</v>
      </c>
    </row>
    <row r="1952" spans="1:14" x14ac:dyDescent="0.3">
      <c r="A1952" s="7" t="s">
        <v>2035</v>
      </c>
      <c r="B1952" s="7" t="s">
        <v>59</v>
      </c>
      <c r="C1952" s="7">
        <v>18</v>
      </c>
      <c r="D1952" s="10">
        <v>38.5</v>
      </c>
      <c r="E1952" s="10">
        <v>693</v>
      </c>
      <c r="F1952" s="9">
        <v>45729</v>
      </c>
      <c r="G1952" s="9">
        <v>45730</v>
      </c>
      <c r="H1952" s="7" t="s">
        <v>26</v>
      </c>
      <c r="I1952" s="8" t="s">
        <v>21</v>
      </c>
      <c r="J1952" s="7">
        <v>5</v>
      </c>
      <c r="K1952" s="7" t="s">
        <v>82</v>
      </c>
      <c r="L1952" s="7">
        <v>1</v>
      </c>
      <c r="M1952" s="7">
        <v>11</v>
      </c>
      <c r="N1952" s="7" t="s">
        <v>28</v>
      </c>
    </row>
    <row r="1953" spans="1:14" x14ac:dyDescent="0.3">
      <c r="A1953" s="3" t="s">
        <v>2036</v>
      </c>
      <c r="B1953" s="3" t="s">
        <v>20</v>
      </c>
      <c r="C1953" s="3">
        <v>4</v>
      </c>
      <c r="D1953" s="6">
        <v>11.7</v>
      </c>
      <c r="E1953" s="6">
        <v>46.8</v>
      </c>
      <c r="F1953" s="5">
        <v>45729</v>
      </c>
      <c r="G1953" s="5">
        <v>45731</v>
      </c>
      <c r="H1953" s="3" t="s">
        <v>31</v>
      </c>
      <c r="I1953" s="4" t="s">
        <v>40</v>
      </c>
      <c r="J1953" s="3">
        <v>4</v>
      </c>
      <c r="K1953" s="3" t="s">
        <v>119</v>
      </c>
      <c r="L1953" s="3">
        <v>2</v>
      </c>
      <c r="M1953" s="3">
        <v>11</v>
      </c>
      <c r="N1953" s="3" t="s">
        <v>33</v>
      </c>
    </row>
    <row r="1954" spans="1:14" x14ac:dyDescent="0.3">
      <c r="A1954" s="7" t="s">
        <v>2037</v>
      </c>
      <c r="B1954" s="7" t="s">
        <v>35</v>
      </c>
      <c r="C1954" s="7">
        <v>6</v>
      </c>
      <c r="D1954" s="10">
        <v>83.8</v>
      </c>
      <c r="E1954" s="10">
        <v>502.8</v>
      </c>
      <c r="F1954" s="9">
        <v>45729</v>
      </c>
      <c r="G1954" s="9">
        <v>45730</v>
      </c>
      <c r="H1954" s="7" t="s">
        <v>26</v>
      </c>
      <c r="I1954" s="8" t="s">
        <v>21</v>
      </c>
      <c r="J1954" s="7">
        <v>4</v>
      </c>
      <c r="K1954" s="7" t="s">
        <v>121</v>
      </c>
      <c r="L1954" s="7">
        <v>1</v>
      </c>
      <c r="M1954" s="7">
        <v>11</v>
      </c>
      <c r="N1954" s="7" t="s">
        <v>28</v>
      </c>
    </row>
    <row r="1955" spans="1:14" x14ac:dyDescent="0.3">
      <c r="A1955" s="3" t="s">
        <v>2038</v>
      </c>
      <c r="B1955" s="3" t="s">
        <v>20</v>
      </c>
      <c r="C1955" s="3">
        <v>7</v>
      </c>
      <c r="D1955" s="6">
        <v>14</v>
      </c>
      <c r="E1955" s="6">
        <v>98</v>
      </c>
      <c r="F1955" s="5">
        <v>45729</v>
      </c>
      <c r="G1955" s="5">
        <v>45732</v>
      </c>
      <c r="H1955" s="3" t="s">
        <v>26</v>
      </c>
      <c r="I1955" s="4" t="s">
        <v>21</v>
      </c>
      <c r="J1955" s="3">
        <v>3</v>
      </c>
      <c r="K1955" s="3" t="s">
        <v>153</v>
      </c>
      <c r="L1955" s="3">
        <v>3</v>
      </c>
      <c r="M1955" s="3">
        <v>11</v>
      </c>
      <c r="N1955" s="3" t="s">
        <v>28</v>
      </c>
    </row>
    <row r="1956" spans="1:14" x14ac:dyDescent="0.3">
      <c r="A1956" s="7" t="s">
        <v>2039</v>
      </c>
      <c r="B1956" s="7" t="s">
        <v>134</v>
      </c>
      <c r="C1956" s="7">
        <v>4</v>
      </c>
      <c r="D1956" s="10">
        <v>77.3</v>
      </c>
      <c r="E1956" s="10">
        <v>309.2</v>
      </c>
      <c r="F1956" s="9">
        <v>45729</v>
      </c>
      <c r="G1956" s="9">
        <v>45731</v>
      </c>
      <c r="H1956" s="7" t="s">
        <v>31</v>
      </c>
      <c r="I1956" s="8" t="s">
        <v>75</v>
      </c>
      <c r="J1956" s="7">
        <v>5</v>
      </c>
      <c r="K1956" s="7" t="s">
        <v>38</v>
      </c>
      <c r="L1956" s="7">
        <v>2</v>
      </c>
      <c r="M1956" s="7">
        <v>11</v>
      </c>
      <c r="N1956" s="7" t="s">
        <v>33</v>
      </c>
    </row>
    <row r="1957" spans="1:14" x14ac:dyDescent="0.3">
      <c r="A1957" s="3" t="s">
        <v>2040</v>
      </c>
      <c r="B1957" s="3" t="s">
        <v>30</v>
      </c>
      <c r="C1957" s="3">
        <v>2</v>
      </c>
      <c r="D1957" s="6">
        <v>76.900000000000006</v>
      </c>
      <c r="E1957" s="6">
        <v>153.80000000000001</v>
      </c>
      <c r="F1957" s="5">
        <v>45729</v>
      </c>
      <c r="G1957" s="5">
        <v>45733</v>
      </c>
      <c r="H1957" s="3" t="s">
        <v>31</v>
      </c>
      <c r="I1957" s="4" t="s">
        <v>21</v>
      </c>
      <c r="J1957" s="3">
        <v>3</v>
      </c>
      <c r="K1957" s="3" t="s">
        <v>38</v>
      </c>
      <c r="L1957" s="3">
        <v>4</v>
      </c>
      <c r="M1957" s="3">
        <v>11</v>
      </c>
      <c r="N1957" s="3" t="s">
        <v>33</v>
      </c>
    </row>
    <row r="1958" spans="1:14" x14ac:dyDescent="0.3">
      <c r="A1958" s="7" t="s">
        <v>2041</v>
      </c>
      <c r="B1958" s="7" t="s">
        <v>25</v>
      </c>
      <c r="C1958" s="7">
        <v>1</v>
      </c>
      <c r="D1958" s="10">
        <v>48</v>
      </c>
      <c r="E1958" s="10">
        <v>48</v>
      </c>
      <c r="F1958" s="9">
        <v>45729</v>
      </c>
      <c r="G1958" s="9">
        <v>45731</v>
      </c>
      <c r="H1958" s="7" t="s">
        <v>31</v>
      </c>
      <c r="I1958" s="8" t="s">
        <v>40</v>
      </c>
      <c r="J1958" s="7">
        <v>5</v>
      </c>
      <c r="K1958" s="7" t="s">
        <v>38</v>
      </c>
      <c r="L1958" s="7">
        <v>2</v>
      </c>
      <c r="M1958" s="7">
        <v>11</v>
      </c>
      <c r="N1958" s="7" t="s">
        <v>33</v>
      </c>
    </row>
    <row r="1959" spans="1:14" x14ac:dyDescent="0.3">
      <c r="A1959" s="3" t="s">
        <v>2042</v>
      </c>
      <c r="B1959" s="3" t="s">
        <v>30</v>
      </c>
      <c r="C1959" s="3">
        <v>1</v>
      </c>
      <c r="D1959" s="6">
        <v>94.5</v>
      </c>
      <c r="E1959" s="6">
        <v>94.5</v>
      </c>
      <c r="F1959" s="5">
        <v>45729</v>
      </c>
      <c r="G1959" s="5">
        <v>45732</v>
      </c>
      <c r="H1959" s="3" t="s">
        <v>26</v>
      </c>
      <c r="I1959" s="4" t="s">
        <v>40</v>
      </c>
      <c r="J1959" s="3">
        <v>3</v>
      </c>
      <c r="K1959" s="3" t="s">
        <v>38</v>
      </c>
      <c r="L1959" s="3">
        <v>3</v>
      </c>
      <c r="M1959" s="3">
        <v>11</v>
      </c>
      <c r="N1959" s="3" t="s">
        <v>28</v>
      </c>
    </row>
    <row r="1960" spans="1:14" x14ac:dyDescent="0.3">
      <c r="A1960" s="7" t="s">
        <v>2043</v>
      </c>
      <c r="B1960" s="7" t="s">
        <v>59</v>
      </c>
      <c r="C1960" s="7">
        <v>3</v>
      </c>
      <c r="D1960" s="10">
        <v>58.4</v>
      </c>
      <c r="E1960" s="10">
        <v>175.2</v>
      </c>
      <c r="F1960" s="9">
        <v>45729</v>
      </c>
      <c r="G1960" s="9">
        <v>45731</v>
      </c>
      <c r="H1960" s="7" t="s">
        <v>31</v>
      </c>
      <c r="I1960" s="8" t="s">
        <v>40</v>
      </c>
      <c r="J1960" s="7">
        <v>5</v>
      </c>
      <c r="K1960" s="7" t="s">
        <v>38</v>
      </c>
      <c r="L1960" s="7">
        <v>2</v>
      </c>
      <c r="M1960" s="7">
        <v>11</v>
      </c>
      <c r="N1960" s="7" t="s">
        <v>33</v>
      </c>
    </row>
    <row r="1961" spans="1:14" x14ac:dyDescent="0.3">
      <c r="A1961" s="3" t="s">
        <v>2044</v>
      </c>
      <c r="B1961" s="3" t="s">
        <v>47</v>
      </c>
      <c r="C1961" s="3">
        <v>13</v>
      </c>
      <c r="D1961" s="6">
        <v>42.2</v>
      </c>
      <c r="E1961" s="6">
        <v>548.6</v>
      </c>
      <c r="F1961" s="5">
        <v>45729</v>
      </c>
      <c r="G1961" s="5">
        <v>45729</v>
      </c>
      <c r="H1961" s="3" t="s">
        <v>26</v>
      </c>
      <c r="I1961" s="4" t="s">
        <v>21</v>
      </c>
      <c r="J1961" s="3">
        <v>4</v>
      </c>
      <c r="K1961" s="3" t="s">
        <v>194</v>
      </c>
      <c r="L1961" s="3">
        <v>0</v>
      </c>
      <c r="M1961" s="3">
        <v>11</v>
      </c>
      <c r="N1961" s="3" t="s">
        <v>28</v>
      </c>
    </row>
    <row r="1962" spans="1:14" x14ac:dyDescent="0.3">
      <c r="A1962" s="7" t="s">
        <v>2045</v>
      </c>
      <c r="B1962" s="7" t="s">
        <v>44</v>
      </c>
      <c r="C1962" s="7">
        <v>2</v>
      </c>
      <c r="D1962" s="10">
        <v>152.19999999999999</v>
      </c>
      <c r="E1962" s="10">
        <v>304.39999999999998</v>
      </c>
      <c r="F1962" s="9">
        <v>45729</v>
      </c>
      <c r="G1962" s="9">
        <v>45730</v>
      </c>
      <c r="H1962" s="7" t="s">
        <v>26</v>
      </c>
      <c r="I1962" s="8" t="s">
        <v>75</v>
      </c>
      <c r="J1962" s="7">
        <v>3</v>
      </c>
      <c r="K1962" s="7" t="s">
        <v>194</v>
      </c>
      <c r="L1962" s="7">
        <v>1</v>
      </c>
      <c r="M1962" s="7">
        <v>11</v>
      </c>
      <c r="N1962" s="7" t="s">
        <v>28</v>
      </c>
    </row>
    <row r="1963" spans="1:14" x14ac:dyDescent="0.3">
      <c r="A1963" s="3" t="s">
        <v>2046</v>
      </c>
      <c r="B1963" s="3" t="s">
        <v>44</v>
      </c>
      <c r="C1963" s="3">
        <v>24</v>
      </c>
      <c r="D1963" s="6">
        <v>72</v>
      </c>
      <c r="E1963" s="6">
        <v>1728</v>
      </c>
      <c r="F1963" s="5">
        <v>45729</v>
      </c>
      <c r="G1963" s="5">
        <v>45730</v>
      </c>
      <c r="H1963" s="3" t="s">
        <v>26</v>
      </c>
      <c r="I1963" s="4" t="s">
        <v>21</v>
      </c>
      <c r="J1963" s="3">
        <v>3</v>
      </c>
      <c r="K1963" s="3" t="s">
        <v>60</v>
      </c>
      <c r="L1963" s="3">
        <v>1</v>
      </c>
      <c r="M1963" s="3">
        <v>11</v>
      </c>
      <c r="N1963" s="3" t="s">
        <v>28</v>
      </c>
    </row>
    <row r="1964" spans="1:14" x14ac:dyDescent="0.3">
      <c r="A1964" s="7" t="s">
        <v>2047</v>
      </c>
      <c r="B1964" s="7" t="s">
        <v>25</v>
      </c>
      <c r="C1964" s="7">
        <v>23</v>
      </c>
      <c r="D1964" s="10">
        <v>70.900000000000006</v>
      </c>
      <c r="E1964" s="10">
        <v>1630.7</v>
      </c>
      <c r="F1964" s="9">
        <v>45729</v>
      </c>
      <c r="G1964" s="9">
        <v>45730</v>
      </c>
      <c r="H1964" s="7" t="s">
        <v>31</v>
      </c>
      <c r="I1964" s="8" t="s">
        <v>45</v>
      </c>
      <c r="J1964" s="7">
        <v>4</v>
      </c>
      <c r="K1964" s="7" t="s">
        <v>67</v>
      </c>
      <c r="L1964" s="7">
        <v>1</v>
      </c>
      <c r="M1964" s="7">
        <v>11</v>
      </c>
      <c r="N1964" s="7" t="s">
        <v>33</v>
      </c>
    </row>
    <row r="1965" spans="1:14" x14ac:dyDescent="0.3">
      <c r="A1965" s="3" t="s">
        <v>2048</v>
      </c>
      <c r="B1965" s="3" t="s">
        <v>30</v>
      </c>
      <c r="C1965" s="3">
        <v>2</v>
      </c>
      <c r="D1965" s="6">
        <v>53.7</v>
      </c>
      <c r="E1965" s="6">
        <v>107.4</v>
      </c>
      <c r="F1965" s="5">
        <v>45729</v>
      </c>
      <c r="G1965" s="5">
        <v>45730</v>
      </c>
      <c r="H1965" s="3" t="s">
        <v>26</v>
      </c>
      <c r="I1965" s="4" t="s">
        <v>45</v>
      </c>
      <c r="J1965" s="3">
        <v>5</v>
      </c>
      <c r="K1965" s="3" t="s">
        <v>67</v>
      </c>
      <c r="L1965" s="3">
        <v>1</v>
      </c>
      <c r="M1965" s="3">
        <v>11</v>
      </c>
      <c r="N1965" s="3" t="s">
        <v>28</v>
      </c>
    </row>
    <row r="1966" spans="1:14" x14ac:dyDescent="0.3">
      <c r="A1966" s="7" t="s">
        <v>2049</v>
      </c>
      <c r="B1966" s="7" t="s">
        <v>51</v>
      </c>
      <c r="C1966" s="7">
        <v>4</v>
      </c>
      <c r="D1966" s="10">
        <v>42.9</v>
      </c>
      <c r="E1966" s="10">
        <v>171.6</v>
      </c>
      <c r="F1966" s="9">
        <v>45729</v>
      </c>
      <c r="G1966" s="9">
        <v>45730</v>
      </c>
      <c r="H1966" s="7" t="s">
        <v>31</v>
      </c>
      <c r="I1966" s="8" t="s">
        <v>45</v>
      </c>
      <c r="J1966" s="7">
        <v>2</v>
      </c>
      <c r="K1966" s="7" t="s">
        <v>77</v>
      </c>
      <c r="L1966" s="7">
        <v>1</v>
      </c>
      <c r="M1966" s="7">
        <v>11</v>
      </c>
      <c r="N1966" s="7" t="s">
        <v>33</v>
      </c>
    </row>
    <row r="1967" spans="1:14" x14ac:dyDescent="0.3">
      <c r="A1967" s="3" t="s">
        <v>2050</v>
      </c>
      <c r="B1967" s="3" t="s">
        <v>30</v>
      </c>
      <c r="C1967" s="3">
        <v>7</v>
      </c>
      <c r="D1967" s="6">
        <v>107.5</v>
      </c>
      <c r="E1967" s="6">
        <v>752.5</v>
      </c>
      <c r="F1967" s="5">
        <v>45729</v>
      </c>
      <c r="G1967" s="5">
        <v>45730</v>
      </c>
      <c r="H1967" s="3" t="s">
        <v>26</v>
      </c>
      <c r="I1967" s="4" t="s">
        <v>40</v>
      </c>
      <c r="J1967" s="3">
        <v>4</v>
      </c>
      <c r="K1967" s="3" t="s">
        <v>82</v>
      </c>
      <c r="L1967" s="3">
        <v>1</v>
      </c>
      <c r="M1967" s="3">
        <v>11</v>
      </c>
      <c r="N1967" s="3" t="s">
        <v>28</v>
      </c>
    </row>
    <row r="1968" spans="1:14" x14ac:dyDescent="0.3">
      <c r="A1968" s="7" t="s">
        <v>2051</v>
      </c>
      <c r="B1968" s="7" t="s">
        <v>141</v>
      </c>
      <c r="C1968" s="7">
        <v>16</v>
      </c>
      <c r="D1968" s="10">
        <v>21.5</v>
      </c>
      <c r="E1968" s="10">
        <v>344</v>
      </c>
      <c r="F1968" s="9">
        <v>45729</v>
      </c>
      <c r="G1968" s="9">
        <v>45730</v>
      </c>
      <c r="H1968" s="7" t="s">
        <v>26</v>
      </c>
      <c r="I1968" s="8" t="s">
        <v>40</v>
      </c>
      <c r="J1968" s="7">
        <v>3</v>
      </c>
      <c r="K1968" s="7" t="s">
        <v>315</v>
      </c>
      <c r="L1968" s="7">
        <v>1</v>
      </c>
      <c r="M1968" s="7">
        <v>11</v>
      </c>
      <c r="N1968" s="7" t="s">
        <v>28</v>
      </c>
    </row>
    <row r="1969" spans="1:14" x14ac:dyDescent="0.3">
      <c r="A1969" s="3" t="s">
        <v>2052</v>
      </c>
      <c r="B1969" s="3" t="s">
        <v>35</v>
      </c>
      <c r="C1969" s="3">
        <v>5</v>
      </c>
      <c r="D1969" s="6">
        <v>85.3</v>
      </c>
      <c r="E1969" s="6">
        <v>426.5</v>
      </c>
      <c r="F1969" s="5">
        <v>45729</v>
      </c>
      <c r="G1969" s="5">
        <v>45731</v>
      </c>
      <c r="H1969" s="3" t="s">
        <v>31</v>
      </c>
      <c r="I1969" s="4" t="s">
        <v>56</v>
      </c>
      <c r="J1969" s="3">
        <v>4</v>
      </c>
      <c r="K1969" s="3" t="s">
        <v>114</v>
      </c>
      <c r="L1969" s="3">
        <v>2</v>
      </c>
      <c r="M1969" s="3">
        <v>11</v>
      </c>
      <c r="N1969" s="3" t="s">
        <v>33</v>
      </c>
    </row>
    <row r="1970" spans="1:14" x14ac:dyDescent="0.3">
      <c r="A1970" s="7" t="s">
        <v>2053</v>
      </c>
      <c r="B1970" s="7" t="s">
        <v>47</v>
      </c>
      <c r="C1970" s="7">
        <v>5</v>
      </c>
      <c r="D1970" s="10">
        <v>80.8</v>
      </c>
      <c r="E1970" s="10">
        <v>404</v>
      </c>
      <c r="F1970" s="9">
        <v>45729</v>
      </c>
      <c r="G1970" s="9">
        <v>45737</v>
      </c>
      <c r="H1970" s="7" t="s">
        <v>94</v>
      </c>
      <c r="I1970" s="8" t="s">
        <v>40</v>
      </c>
      <c r="J1970" s="7">
        <v>3</v>
      </c>
      <c r="K1970" s="7" t="s">
        <v>116</v>
      </c>
      <c r="L1970" s="7">
        <v>8</v>
      </c>
      <c r="M1970" s="7">
        <v>11</v>
      </c>
      <c r="N1970" s="7" t="s">
        <v>95</v>
      </c>
    </row>
    <row r="1971" spans="1:14" x14ac:dyDescent="0.3">
      <c r="A1971" s="3" t="s">
        <v>2054</v>
      </c>
      <c r="B1971" s="3" t="s">
        <v>30</v>
      </c>
      <c r="C1971" s="3">
        <v>3</v>
      </c>
      <c r="D1971" s="6">
        <v>123.1</v>
      </c>
      <c r="E1971" s="6">
        <v>369.3</v>
      </c>
      <c r="F1971" s="5">
        <v>45729</v>
      </c>
      <c r="G1971" s="5">
        <v>45731</v>
      </c>
      <c r="H1971" s="3"/>
      <c r="I1971" s="4" t="s">
        <v>45</v>
      </c>
      <c r="J1971" s="3">
        <v>4</v>
      </c>
      <c r="K1971" s="3" t="s">
        <v>121</v>
      </c>
      <c r="L1971" s="3">
        <v>2</v>
      </c>
      <c r="M1971" s="3">
        <v>11</v>
      </c>
      <c r="N1971" s="3" t="s">
        <v>23</v>
      </c>
    </row>
    <row r="1972" spans="1:14" x14ac:dyDescent="0.3">
      <c r="A1972" s="7" t="s">
        <v>2055</v>
      </c>
      <c r="B1972" s="7" t="s">
        <v>49</v>
      </c>
      <c r="C1972" s="7">
        <v>2</v>
      </c>
      <c r="D1972" s="10">
        <v>36.9</v>
      </c>
      <c r="E1972" s="10">
        <v>73.8</v>
      </c>
      <c r="F1972" s="9">
        <v>45729</v>
      </c>
      <c r="G1972" s="9">
        <v>45731</v>
      </c>
      <c r="H1972" s="7" t="s">
        <v>31</v>
      </c>
      <c r="I1972" s="8" t="s">
        <v>45</v>
      </c>
      <c r="J1972" s="7">
        <v>2</v>
      </c>
      <c r="K1972" s="7" t="s">
        <v>214</v>
      </c>
      <c r="L1972" s="7">
        <v>2</v>
      </c>
      <c r="M1972" s="7">
        <v>11</v>
      </c>
      <c r="N1972" s="7" t="s">
        <v>33</v>
      </c>
    </row>
    <row r="1973" spans="1:14" x14ac:dyDescent="0.3">
      <c r="A1973" s="3" t="s">
        <v>2056</v>
      </c>
      <c r="B1973" s="3" t="s">
        <v>72</v>
      </c>
      <c r="C1973" s="3">
        <v>5</v>
      </c>
      <c r="D1973" s="6">
        <v>40</v>
      </c>
      <c r="E1973" s="6">
        <v>200</v>
      </c>
      <c r="F1973" s="5">
        <v>45729</v>
      </c>
      <c r="G1973" s="5">
        <v>45730</v>
      </c>
      <c r="H1973" s="3" t="s">
        <v>26</v>
      </c>
      <c r="I1973" s="4" t="s">
        <v>21</v>
      </c>
      <c r="J1973" s="3">
        <v>4</v>
      </c>
      <c r="K1973" s="3" t="s">
        <v>27</v>
      </c>
      <c r="L1973" s="3">
        <v>1</v>
      </c>
      <c r="M1973" s="3">
        <v>11</v>
      </c>
      <c r="N1973" s="3" t="s">
        <v>28</v>
      </c>
    </row>
    <row r="1974" spans="1:14" x14ac:dyDescent="0.3">
      <c r="A1974" s="7" t="s">
        <v>2057</v>
      </c>
      <c r="B1974" s="7" t="s">
        <v>44</v>
      </c>
      <c r="C1974" s="7">
        <v>3</v>
      </c>
      <c r="D1974" s="10">
        <v>55.5</v>
      </c>
      <c r="E1974" s="10">
        <v>166.5</v>
      </c>
      <c r="F1974" s="9">
        <v>45729</v>
      </c>
      <c r="G1974" s="9">
        <v>45730</v>
      </c>
      <c r="H1974" s="7" t="s">
        <v>26</v>
      </c>
      <c r="I1974" s="8" t="s">
        <v>75</v>
      </c>
      <c r="J1974" s="7">
        <v>5</v>
      </c>
      <c r="K1974" s="7" t="s">
        <v>27</v>
      </c>
      <c r="L1974" s="7">
        <v>1</v>
      </c>
      <c r="M1974" s="7">
        <v>11</v>
      </c>
      <c r="N1974" s="7" t="s">
        <v>28</v>
      </c>
    </row>
    <row r="1975" spans="1:14" x14ac:dyDescent="0.3">
      <c r="A1975" s="3" t="s">
        <v>2058</v>
      </c>
      <c r="B1975" s="3" t="s">
        <v>20</v>
      </c>
      <c r="C1975" s="3">
        <v>4</v>
      </c>
      <c r="D1975" s="6">
        <v>20.5</v>
      </c>
      <c r="E1975" s="6">
        <v>82</v>
      </c>
      <c r="F1975" s="5">
        <v>45729</v>
      </c>
      <c r="G1975" s="5">
        <v>45733</v>
      </c>
      <c r="H1975" s="3" t="s">
        <v>31</v>
      </c>
      <c r="I1975" s="4" t="s">
        <v>75</v>
      </c>
      <c r="J1975" s="3">
        <v>4</v>
      </c>
      <c r="K1975" s="3" t="s">
        <v>27</v>
      </c>
      <c r="L1975" s="3">
        <v>4</v>
      </c>
      <c r="M1975" s="3">
        <v>11</v>
      </c>
      <c r="N1975" s="3" t="s">
        <v>33</v>
      </c>
    </row>
    <row r="1976" spans="1:14" x14ac:dyDescent="0.3">
      <c r="A1976" s="7" t="s">
        <v>2059</v>
      </c>
      <c r="B1976" s="7" t="s">
        <v>152</v>
      </c>
      <c r="C1976" s="7">
        <v>4</v>
      </c>
      <c r="D1976" s="10">
        <v>50.1</v>
      </c>
      <c r="E1976" s="10">
        <v>200.4</v>
      </c>
      <c r="F1976" s="9">
        <v>45729</v>
      </c>
      <c r="G1976" s="9">
        <v>45730</v>
      </c>
      <c r="H1976" s="7" t="s">
        <v>31</v>
      </c>
      <c r="I1976" s="8" t="s">
        <v>75</v>
      </c>
      <c r="J1976" s="7">
        <v>4</v>
      </c>
      <c r="K1976" s="7" t="s">
        <v>27</v>
      </c>
      <c r="L1976" s="7">
        <v>1</v>
      </c>
      <c r="M1976" s="7">
        <v>11</v>
      </c>
      <c r="N1976" s="7" t="s">
        <v>33</v>
      </c>
    </row>
    <row r="1977" spans="1:14" x14ac:dyDescent="0.3">
      <c r="A1977" s="3" t="s">
        <v>2060</v>
      </c>
      <c r="B1977" s="3" t="s">
        <v>51</v>
      </c>
      <c r="C1977" s="3">
        <v>1</v>
      </c>
      <c r="D1977" s="6">
        <v>35.9</v>
      </c>
      <c r="E1977" s="6">
        <v>35.9</v>
      </c>
      <c r="F1977" s="5">
        <v>45729</v>
      </c>
      <c r="G1977" s="5">
        <v>45731</v>
      </c>
      <c r="H1977" s="3" t="s">
        <v>26</v>
      </c>
      <c r="I1977" s="4" t="s">
        <v>40</v>
      </c>
      <c r="J1977" s="3">
        <v>5</v>
      </c>
      <c r="K1977" s="3" t="s">
        <v>27</v>
      </c>
      <c r="L1977" s="3">
        <v>2</v>
      </c>
      <c r="M1977" s="3">
        <v>11</v>
      </c>
      <c r="N1977" s="3" t="s">
        <v>28</v>
      </c>
    </row>
    <row r="1978" spans="1:14" x14ac:dyDescent="0.3">
      <c r="A1978" s="7" t="s">
        <v>2061</v>
      </c>
      <c r="B1978" s="7" t="s">
        <v>81</v>
      </c>
      <c r="C1978" s="7">
        <v>4</v>
      </c>
      <c r="D1978" s="10">
        <v>29.4</v>
      </c>
      <c r="E1978" s="10">
        <v>117.6</v>
      </c>
      <c r="F1978" s="9">
        <v>45730</v>
      </c>
      <c r="G1978" s="9">
        <v>45731</v>
      </c>
      <c r="H1978" s="7" t="s">
        <v>26</v>
      </c>
      <c r="I1978" s="8" t="s">
        <v>45</v>
      </c>
      <c r="J1978" s="7">
        <v>5</v>
      </c>
      <c r="K1978" s="7" t="s">
        <v>337</v>
      </c>
      <c r="L1978" s="7">
        <v>1</v>
      </c>
      <c r="M1978" s="7">
        <v>11</v>
      </c>
      <c r="N1978" s="7" t="s">
        <v>28</v>
      </c>
    </row>
    <row r="1979" spans="1:14" x14ac:dyDescent="0.3">
      <c r="A1979" s="3" t="s">
        <v>2062</v>
      </c>
      <c r="B1979" s="3" t="s">
        <v>49</v>
      </c>
      <c r="C1979" s="3">
        <v>5</v>
      </c>
      <c r="D1979" s="6">
        <v>29.1</v>
      </c>
      <c r="E1979" s="6">
        <v>145.5</v>
      </c>
      <c r="F1979" s="5">
        <v>45730</v>
      </c>
      <c r="G1979" s="5">
        <v>45738</v>
      </c>
      <c r="H1979" s="3" t="s">
        <v>94</v>
      </c>
      <c r="I1979" s="4" t="s">
        <v>45</v>
      </c>
      <c r="J1979" s="3">
        <v>3</v>
      </c>
      <c r="K1979" s="3" t="s">
        <v>337</v>
      </c>
      <c r="L1979" s="3">
        <v>8</v>
      </c>
      <c r="M1979" s="3">
        <v>11</v>
      </c>
      <c r="N1979" s="3" t="s">
        <v>95</v>
      </c>
    </row>
    <row r="1980" spans="1:14" x14ac:dyDescent="0.3">
      <c r="A1980" s="7" t="s">
        <v>2063</v>
      </c>
      <c r="B1980" s="7" t="s">
        <v>49</v>
      </c>
      <c r="C1980" s="7">
        <v>3</v>
      </c>
      <c r="D1980" s="10">
        <v>33.5</v>
      </c>
      <c r="E1980" s="10">
        <v>100.5</v>
      </c>
      <c r="F1980" s="9">
        <v>45730</v>
      </c>
      <c r="G1980" s="9">
        <v>45742</v>
      </c>
      <c r="H1980" s="7" t="s">
        <v>26</v>
      </c>
      <c r="I1980" s="8" t="s">
        <v>21</v>
      </c>
      <c r="J1980" s="7">
        <v>5</v>
      </c>
      <c r="K1980" s="7" t="s">
        <v>153</v>
      </c>
      <c r="L1980" s="7">
        <v>12</v>
      </c>
      <c r="M1980" s="7">
        <v>11</v>
      </c>
      <c r="N1980" s="7" t="s">
        <v>28</v>
      </c>
    </row>
    <row r="1981" spans="1:14" x14ac:dyDescent="0.3">
      <c r="A1981" s="3" t="s">
        <v>2064</v>
      </c>
      <c r="B1981" s="3" t="s">
        <v>37</v>
      </c>
      <c r="C1981" s="3">
        <v>10</v>
      </c>
      <c r="D1981" s="6">
        <v>36</v>
      </c>
      <c r="E1981" s="6">
        <v>360</v>
      </c>
      <c r="F1981" s="5">
        <v>45730</v>
      </c>
      <c r="G1981" s="5">
        <v>45730</v>
      </c>
      <c r="H1981" s="3" t="s">
        <v>26</v>
      </c>
      <c r="I1981" s="4" t="s">
        <v>56</v>
      </c>
      <c r="J1981" s="3">
        <v>5</v>
      </c>
      <c r="K1981" s="3" t="s">
        <v>38</v>
      </c>
      <c r="L1981" s="3">
        <v>0</v>
      </c>
      <c r="M1981" s="3">
        <v>11</v>
      </c>
      <c r="N1981" s="3" t="s">
        <v>28</v>
      </c>
    </row>
    <row r="1982" spans="1:14" x14ac:dyDescent="0.3">
      <c r="A1982" s="7" t="s">
        <v>2065</v>
      </c>
      <c r="B1982" s="7" t="s">
        <v>134</v>
      </c>
      <c r="C1982" s="7">
        <v>3</v>
      </c>
      <c r="D1982" s="10">
        <v>57.3</v>
      </c>
      <c r="E1982" s="10">
        <v>171.9</v>
      </c>
      <c r="F1982" s="9">
        <v>45730</v>
      </c>
      <c r="G1982" s="9">
        <v>45734</v>
      </c>
      <c r="H1982" s="7" t="s">
        <v>31</v>
      </c>
      <c r="I1982" s="8" t="s">
        <v>21</v>
      </c>
      <c r="J1982" s="7">
        <v>5</v>
      </c>
      <c r="K1982" s="7" t="s">
        <v>38</v>
      </c>
      <c r="L1982" s="7">
        <v>4</v>
      </c>
      <c r="M1982" s="7">
        <v>11</v>
      </c>
      <c r="N1982" s="7" t="s">
        <v>33</v>
      </c>
    </row>
    <row r="1983" spans="1:14" x14ac:dyDescent="0.3">
      <c r="A1983" s="3" t="s">
        <v>2066</v>
      </c>
      <c r="B1983" s="3" t="s">
        <v>25</v>
      </c>
      <c r="C1983" s="3">
        <v>1</v>
      </c>
      <c r="D1983" s="6">
        <v>81.400000000000006</v>
      </c>
      <c r="E1983" s="6">
        <v>81.400000000000006</v>
      </c>
      <c r="F1983" s="5">
        <v>45730</v>
      </c>
      <c r="G1983" s="5">
        <v>45731</v>
      </c>
      <c r="H1983" s="3" t="s">
        <v>31</v>
      </c>
      <c r="I1983" s="4" t="s">
        <v>45</v>
      </c>
      <c r="J1983" s="3">
        <v>5</v>
      </c>
      <c r="K1983" s="3" t="s">
        <v>38</v>
      </c>
      <c r="L1983" s="3">
        <v>1</v>
      </c>
      <c r="M1983" s="3">
        <v>11</v>
      </c>
      <c r="N1983" s="3" t="s">
        <v>33</v>
      </c>
    </row>
    <row r="1984" spans="1:14" x14ac:dyDescent="0.3">
      <c r="A1984" s="7" t="s">
        <v>2067</v>
      </c>
      <c r="B1984" s="7" t="s">
        <v>59</v>
      </c>
      <c r="C1984" s="7">
        <v>2</v>
      </c>
      <c r="D1984" s="10">
        <v>35.299999999999997</v>
      </c>
      <c r="E1984" s="10">
        <v>70.599999999999994</v>
      </c>
      <c r="F1984" s="9">
        <v>45730</v>
      </c>
      <c r="G1984" s="9">
        <v>45734</v>
      </c>
      <c r="H1984" s="7" t="s">
        <v>26</v>
      </c>
      <c r="I1984" s="8" t="s">
        <v>21</v>
      </c>
      <c r="J1984" s="7">
        <v>5</v>
      </c>
      <c r="K1984" s="7" t="s">
        <v>38</v>
      </c>
      <c r="L1984" s="7">
        <v>4</v>
      </c>
      <c r="M1984" s="7">
        <v>11</v>
      </c>
      <c r="N1984" s="7" t="s">
        <v>28</v>
      </c>
    </row>
    <row r="1985" spans="1:14" x14ac:dyDescent="0.3">
      <c r="A1985" s="3" t="s">
        <v>2068</v>
      </c>
      <c r="B1985" s="3" t="s">
        <v>35</v>
      </c>
      <c r="C1985" s="3">
        <v>1</v>
      </c>
      <c r="D1985" s="6">
        <v>36.1</v>
      </c>
      <c r="E1985" s="6">
        <v>36.1</v>
      </c>
      <c r="F1985" s="5">
        <v>45730</v>
      </c>
      <c r="G1985" s="5">
        <v>45731</v>
      </c>
      <c r="H1985" s="3" t="s">
        <v>31</v>
      </c>
      <c r="I1985" s="4" t="s">
        <v>75</v>
      </c>
      <c r="J1985" s="3">
        <v>4</v>
      </c>
      <c r="K1985" s="3" t="s">
        <v>38</v>
      </c>
      <c r="L1985" s="3">
        <v>1</v>
      </c>
      <c r="M1985" s="3">
        <v>11</v>
      </c>
      <c r="N1985" s="3" t="s">
        <v>33</v>
      </c>
    </row>
    <row r="1986" spans="1:14" x14ac:dyDescent="0.3">
      <c r="A1986" s="7" t="s">
        <v>2069</v>
      </c>
      <c r="B1986" s="7" t="s">
        <v>25</v>
      </c>
      <c r="C1986" s="7">
        <v>2</v>
      </c>
      <c r="D1986" s="10">
        <v>36.700000000000003</v>
      </c>
      <c r="E1986" s="10">
        <v>73.400000000000006</v>
      </c>
      <c r="F1986" s="9">
        <v>45730</v>
      </c>
      <c r="G1986" s="9">
        <v>45732</v>
      </c>
      <c r="H1986" s="7" t="s">
        <v>31</v>
      </c>
      <c r="I1986" s="8" t="s">
        <v>21</v>
      </c>
      <c r="J1986" s="7">
        <v>5</v>
      </c>
      <c r="K1986" s="7" t="s">
        <v>38</v>
      </c>
      <c r="L1986" s="7">
        <v>2</v>
      </c>
      <c r="M1986" s="7">
        <v>11</v>
      </c>
      <c r="N1986" s="7" t="s">
        <v>33</v>
      </c>
    </row>
    <row r="1987" spans="1:14" x14ac:dyDescent="0.3">
      <c r="A1987" s="3" t="s">
        <v>2070</v>
      </c>
      <c r="B1987" s="3" t="s">
        <v>59</v>
      </c>
      <c r="C1987" s="3">
        <v>1</v>
      </c>
      <c r="D1987" s="6">
        <v>20.9</v>
      </c>
      <c r="E1987" s="6">
        <v>20.9</v>
      </c>
      <c r="F1987" s="5">
        <v>45730</v>
      </c>
      <c r="G1987" s="5">
        <v>45732</v>
      </c>
      <c r="H1987" s="3" t="s">
        <v>31</v>
      </c>
      <c r="I1987" s="4" t="s">
        <v>21</v>
      </c>
      <c r="J1987" s="3">
        <v>2</v>
      </c>
      <c r="K1987" s="3" t="s">
        <v>38</v>
      </c>
      <c r="L1987" s="3">
        <v>2</v>
      </c>
      <c r="M1987" s="3">
        <v>11</v>
      </c>
      <c r="N1987" s="3" t="s">
        <v>33</v>
      </c>
    </row>
    <row r="1988" spans="1:14" x14ac:dyDescent="0.3">
      <c r="A1988" s="7" t="s">
        <v>2071</v>
      </c>
      <c r="B1988" s="7" t="s">
        <v>74</v>
      </c>
      <c r="C1988" s="7">
        <v>3</v>
      </c>
      <c r="D1988" s="10">
        <v>58.8</v>
      </c>
      <c r="E1988" s="10">
        <v>176.4</v>
      </c>
      <c r="F1988" s="9">
        <v>45730</v>
      </c>
      <c r="G1988" s="9">
        <v>45734</v>
      </c>
      <c r="H1988" s="7" t="s">
        <v>26</v>
      </c>
      <c r="I1988" s="8" t="s">
        <v>21</v>
      </c>
      <c r="J1988" s="7">
        <v>5</v>
      </c>
      <c r="K1988" s="7" t="s">
        <v>194</v>
      </c>
      <c r="L1988" s="7">
        <v>4</v>
      </c>
      <c r="M1988" s="7">
        <v>11</v>
      </c>
      <c r="N1988" s="7" t="s">
        <v>28</v>
      </c>
    </row>
    <row r="1989" spans="1:14" x14ac:dyDescent="0.3">
      <c r="A1989" s="3" t="s">
        <v>2072</v>
      </c>
      <c r="B1989" s="3" t="s">
        <v>30</v>
      </c>
      <c r="C1989" s="3">
        <v>3</v>
      </c>
      <c r="D1989" s="6">
        <v>97.6</v>
      </c>
      <c r="E1989" s="6">
        <v>292.8</v>
      </c>
      <c r="F1989" s="5">
        <v>45731</v>
      </c>
      <c r="G1989" s="5">
        <v>45733</v>
      </c>
      <c r="H1989" s="3"/>
      <c r="I1989" s="4" t="s">
        <v>21</v>
      </c>
      <c r="J1989" s="3">
        <v>4</v>
      </c>
      <c r="K1989" s="3" t="s">
        <v>60</v>
      </c>
      <c r="L1989" s="3">
        <v>2</v>
      </c>
      <c r="M1989" s="3">
        <v>11</v>
      </c>
      <c r="N1989" s="3" t="s">
        <v>23</v>
      </c>
    </row>
    <row r="1990" spans="1:14" x14ac:dyDescent="0.3">
      <c r="A1990" s="7" t="s">
        <v>2073</v>
      </c>
      <c r="B1990" s="7" t="s">
        <v>25</v>
      </c>
      <c r="C1990" s="7">
        <v>2</v>
      </c>
      <c r="D1990" s="10">
        <v>58.7</v>
      </c>
      <c r="E1990" s="10">
        <v>117.4</v>
      </c>
      <c r="F1990" s="9">
        <v>45731</v>
      </c>
      <c r="G1990" s="9">
        <v>45734</v>
      </c>
      <c r="H1990" s="7" t="s">
        <v>31</v>
      </c>
      <c r="I1990" s="8" t="s">
        <v>21</v>
      </c>
      <c r="J1990" s="7">
        <v>3</v>
      </c>
      <c r="K1990" s="7" t="s">
        <v>60</v>
      </c>
      <c r="L1990" s="7">
        <v>3</v>
      </c>
      <c r="M1990" s="7">
        <v>11</v>
      </c>
      <c r="N1990" s="7" t="s">
        <v>33</v>
      </c>
    </row>
    <row r="1991" spans="1:14" x14ac:dyDescent="0.3">
      <c r="A1991" s="3" t="s">
        <v>2074</v>
      </c>
      <c r="B1991" s="3" t="s">
        <v>44</v>
      </c>
      <c r="C1991" s="3">
        <v>5</v>
      </c>
      <c r="D1991" s="6">
        <v>71.900000000000006</v>
      </c>
      <c r="E1991" s="6">
        <v>359.5</v>
      </c>
      <c r="F1991" s="5">
        <v>45731</v>
      </c>
      <c r="G1991" s="5">
        <v>45732</v>
      </c>
      <c r="H1991" s="3"/>
      <c r="I1991" s="4" t="s">
        <v>21</v>
      </c>
      <c r="J1991" s="3">
        <v>3</v>
      </c>
      <c r="K1991" s="3" t="s">
        <v>60</v>
      </c>
      <c r="L1991" s="3">
        <v>1</v>
      </c>
      <c r="M1991" s="3">
        <v>11</v>
      </c>
      <c r="N1991" s="3" t="s">
        <v>23</v>
      </c>
    </row>
    <row r="1992" spans="1:14" x14ac:dyDescent="0.3">
      <c r="A1992" s="7" t="s">
        <v>2075</v>
      </c>
      <c r="B1992" s="7" t="s">
        <v>25</v>
      </c>
      <c r="C1992" s="7">
        <v>2</v>
      </c>
      <c r="D1992" s="10">
        <v>62.4</v>
      </c>
      <c r="E1992" s="10">
        <v>124.8</v>
      </c>
      <c r="F1992" s="9">
        <v>45731</v>
      </c>
      <c r="G1992" s="9">
        <v>45733</v>
      </c>
      <c r="H1992" s="7"/>
      <c r="I1992" s="8" t="s">
        <v>21</v>
      </c>
      <c r="J1992" s="7">
        <v>3</v>
      </c>
      <c r="K1992" s="7" t="s">
        <v>67</v>
      </c>
      <c r="L1992" s="7">
        <v>2</v>
      </c>
      <c r="M1992" s="7">
        <v>11</v>
      </c>
      <c r="N1992" s="7" t="s">
        <v>23</v>
      </c>
    </row>
    <row r="1993" spans="1:14" x14ac:dyDescent="0.3">
      <c r="A1993" s="3" t="s">
        <v>2076</v>
      </c>
      <c r="B1993" s="3" t="s">
        <v>44</v>
      </c>
      <c r="C1993" s="3">
        <v>16</v>
      </c>
      <c r="D1993" s="6">
        <v>53.8</v>
      </c>
      <c r="E1993" s="6">
        <v>860.8</v>
      </c>
      <c r="F1993" s="5">
        <v>45731</v>
      </c>
      <c r="G1993" s="5">
        <v>45732</v>
      </c>
      <c r="H1993" s="3" t="s">
        <v>31</v>
      </c>
      <c r="I1993" s="4" t="s">
        <v>40</v>
      </c>
      <c r="J1993" s="3">
        <v>4</v>
      </c>
      <c r="K1993" s="3" t="s">
        <v>67</v>
      </c>
      <c r="L1993" s="3">
        <v>1</v>
      </c>
      <c r="M1993" s="3">
        <v>11</v>
      </c>
      <c r="N1993" s="3" t="s">
        <v>33</v>
      </c>
    </row>
    <row r="1994" spans="1:14" x14ac:dyDescent="0.3">
      <c r="A1994" s="7" t="s">
        <v>2077</v>
      </c>
      <c r="B1994" s="7" t="s">
        <v>51</v>
      </c>
      <c r="C1994" s="7">
        <v>1</v>
      </c>
      <c r="D1994" s="10">
        <v>43.8</v>
      </c>
      <c r="E1994" s="10">
        <v>43.8</v>
      </c>
      <c r="F1994" s="9">
        <v>45731</v>
      </c>
      <c r="G1994" s="9">
        <v>45738</v>
      </c>
      <c r="H1994" s="7" t="s">
        <v>31</v>
      </c>
      <c r="I1994" s="8" t="s">
        <v>21</v>
      </c>
      <c r="J1994" s="7">
        <v>5</v>
      </c>
      <c r="K1994" s="7" t="s">
        <v>67</v>
      </c>
      <c r="L1994" s="7">
        <v>7</v>
      </c>
      <c r="M1994" s="7">
        <v>11</v>
      </c>
      <c r="N1994" s="7" t="s">
        <v>33</v>
      </c>
    </row>
    <row r="1995" spans="1:14" x14ac:dyDescent="0.3">
      <c r="A1995" s="3" t="s">
        <v>2078</v>
      </c>
      <c r="B1995" s="3" t="s">
        <v>42</v>
      </c>
      <c r="C1995" s="3">
        <v>3</v>
      </c>
      <c r="D1995" s="6">
        <v>53.6</v>
      </c>
      <c r="E1995" s="6">
        <v>160.80000000000001</v>
      </c>
      <c r="F1995" s="5">
        <v>45731</v>
      </c>
      <c r="G1995" s="5">
        <v>45732</v>
      </c>
      <c r="H1995" s="3" t="s">
        <v>26</v>
      </c>
      <c r="I1995" s="4" t="s">
        <v>56</v>
      </c>
      <c r="J1995" s="3">
        <v>4</v>
      </c>
      <c r="K1995" s="3" t="s">
        <v>67</v>
      </c>
      <c r="L1995" s="3">
        <v>1</v>
      </c>
      <c r="M1995" s="3">
        <v>11</v>
      </c>
      <c r="N1995" s="3" t="s">
        <v>28</v>
      </c>
    </row>
    <row r="1996" spans="1:14" x14ac:dyDescent="0.3">
      <c r="A1996" s="7" t="s">
        <v>2079</v>
      </c>
      <c r="B1996" s="7" t="s">
        <v>74</v>
      </c>
      <c r="C1996" s="7">
        <v>2</v>
      </c>
      <c r="D1996" s="10">
        <v>84.3</v>
      </c>
      <c r="E1996" s="10">
        <v>168.6</v>
      </c>
      <c r="F1996" s="9">
        <v>45731</v>
      </c>
      <c r="G1996" s="9">
        <v>45734</v>
      </c>
      <c r="H1996" s="7" t="s">
        <v>26</v>
      </c>
      <c r="I1996" s="8" t="s">
        <v>75</v>
      </c>
      <c r="J1996" s="7">
        <v>3</v>
      </c>
      <c r="K1996" s="7" t="s">
        <v>67</v>
      </c>
      <c r="L1996" s="7">
        <v>3</v>
      </c>
      <c r="M1996" s="7">
        <v>11</v>
      </c>
      <c r="N1996" s="7" t="s">
        <v>28</v>
      </c>
    </row>
    <row r="1997" spans="1:14" x14ac:dyDescent="0.3">
      <c r="A1997" s="3" t="s">
        <v>2080</v>
      </c>
      <c r="B1997" s="3" t="s">
        <v>44</v>
      </c>
      <c r="C1997" s="3">
        <v>9</v>
      </c>
      <c r="D1997" s="6">
        <v>117.9</v>
      </c>
      <c r="E1997" s="6">
        <v>1061.0999999999999</v>
      </c>
      <c r="F1997" s="5">
        <v>45731</v>
      </c>
      <c r="G1997" s="5">
        <v>45732</v>
      </c>
      <c r="H1997" s="3" t="s">
        <v>31</v>
      </c>
      <c r="I1997" s="4" t="s">
        <v>40</v>
      </c>
      <c r="J1997" s="3">
        <v>5</v>
      </c>
      <c r="K1997" s="3" t="s">
        <v>67</v>
      </c>
      <c r="L1997" s="3">
        <v>1</v>
      </c>
      <c r="M1997" s="3">
        <v>11</v>
      </c>
      <c r="N1997" s="3" t="s">
        <v>33</v>
      </c>
    </row>
    <row r="1998" spans="1:14" x14ac:dyDescent="0.3">
      <c r="A1998" s="7" t="s">
        <v>2081</v>
      </c>
      <c r="B1998" s="7" t="s">
        <v>37</v>
      </c>
      <c r="C1998" s="7">
        <v>8</v>
      </c>
      <c r="D1998" s="10">
        <v>30</v>
      </c>
      <c r="E1998" s="10">
        <v>240</v>
      </c>
      <c r="F1998" s="9">
        <v>45731</v>
      </c>
      <c r="G1998" s="9">
        <v>45732</v>
      </c>
      <c r="H1998" s="7" t="s">
        <v>31</v>
      </c>
      <c r="I1998" s="8" t="s">
        <v>40</v>
      </c>
      <c r="J1998" s="7">
        <v>4</v>
      </c>
      <c r="K1998" s="7" t="s">
        <v>207</v>
      </c>
      <c r="L1998" s="7">
        <v>1</v>
      </c>
      <c r="M1998" s="7">
        <v>11</v>
      </c>
      <c r="N1998" s="7" t="s">
        <v>33</v>
      </c>
    </row>
    <row r="1999" spans="1:14" x14ac:dyDescent="0.3">
      <c r="A1999" s="3" t="s">
        <v>2082</v>
      </c>
      <c r="B1999" s="3" t="s">
        <v>86</v>
      </c>
      <c r="C1999" s="3">
        <v>3</v>
      </c>
      <c r="D1999" s="6">
        <v>37.299999999999997</v>
      </c>
      <c r="E1999" s="6">
        <v>111.9</v>
      </c>
      <c r="F1999" s="5">
        <v>45731</v>
      </c>
      <c r="G1999" s="5">
        <v>45732</v>
      </c>
      <c r="H1999" s="3" t="s">
        <v>26</v>
      </c>
      <c r="I1999" s="4" t="s">
        <v>45</v>
      </c>
      <c r="J1999" s="3">
        <v>4</v>
      </c>
      <c r="K1999" s="3" t="s">
        <v>77</v>
      </c>
      <c r="L1999" s="3">
        <v>1</v>
      </c>
      <c r="M1999" s="3">
        <v>11</v>
      </c>
      <c r="N1999" s="3" t="s">
        <v>28</v>
      </c>
    </row>
    <row r="2000" spans="1:14" x14ac:dyDescent="0.3">
      <c r="A2000" s="7" t="s">
        <v>2083</v>
      </c>
      <c r="B2000" s="7" t="s">
        <v>37</v>
      </c>
      <c r="C2000" s="7">
        <v>9</v>
      </c>
      <c r="D2000" s="10">
        <v>25.1</v>
      </c>
      <c r="E2000" s="10">
        <v>225.9</v>
      </c>
      <c r="F2000" s="9">
        <v>45731</v>
      </c>
      <c r="G2000" s="9">
        <v>45733</v>
      </c>
      <c r="H2000" s="7" t="s">
        <v>26</v>
      </c>
      <c r="I2000" s="8" t="s">
        <v>40</v>
      </c>
      <c r="J2000" s="7">
        <v>5</v>
      </c>
      <c r="K2000" s="7" t="s">
        <v>82</v>
      </c>
      <c r="L2000" s="7">
        <v>2</v>
      </c>
      <c r="M2000" s="7">
        <v>11</v>
      </c>
      <c r="N2000" s="7" t="s">
        <v>28</v>
      </c>
    </row>
    <row r="2001" spans="1:14" x14ac:dyDescent="0.3">
      <c r="A2001" s="3" t="s">
        <v>2084</v>
      </c>
      <c r="B2001" s="3" t="s">
        <v>49</v>
      </c>
      <c r="C2001" s="3">
        <v>11</v>
      </c>
      <c r="D2001" s="6">
        <v>36</v>
      </c>
      <c r="E2001" s="6">
        <v>396</v>
      </c>
      <c r="F2001" s="5">
        <v>45731</v>
      </c>
      <c r="G2001" s="5">
        <v>45741</v>
      </c>
      <c r="H2001" s="3" t="s">
        <v>26</v>
      </c>
      <c r="I2001" s="4" t="s">
        <v>40</v>
      </c>
      <c r="J2001" s="3">
        <v>4</v>
      </c>
      <c r="K2001" s="3" t="s">
        <v>114</v>
      </c>
      <c r="L2001" s="3">
        <v>10</v>
      </c>
      <c r="M2001" s="3">
        <v>11</v>
      </c>
      <c r="N2001" s="3" t="s">
        <v>28</v>
      </c>
    </row>
    <row r="2002" spans="1:14" x14ac:dyDescent="0.3">
      <c r="A2002" s="7" t="s">
        <v>2085</v>
      </c>
      <c r="B2002" s="7" t="s">
        <v>134</v>
      </c>
      <c r="C2002" s="7">
        <v>3</v>
      </c>
      <c r="D2002" s="10">
        <v>48.5</v>
      </c>
      <c r="E2002" s="10">
        <v>145.5</v>
      </c>
      <c r="F2002" s="9">
        <v>45731</v>
      </c>
      <c r="G2002" s="9">
        <v>45735</v>
      </c>
      <c r="H2002" s="7" t="s">
        <v>31</v>
      </c>
      <c r="I2002" s="8" t="s">
        <v>40</v>
      </c>
      <c r="J2002" s="7">
        <v>4</v>
      </c>
      <c r="K2002" s="7" t="s">
        <v>116</v>
      </c>
      <c r="L2002" s="7">
        <v>4</v>
      </c>
      <c r="M2002" s="7">
        <v>11</v>
      </c>
      <c r="N2002" s="7" t="s">
        <v>33</v>
      </c>
    </row>
    <row r="2003" spans="1:14" x14ac:dyDescent="0.3">
      <c r="A2003" s="3" t="s">
        <v>2086</v>
      </c>
      <c r="B2003" s="3" t="s">
        <v>141</v>
      </c>
      <c r="C2003" s="3">
        <v>6</v>
      </c>
      <c r="D2003" s="6">
        <v>21.1</v>
      </c>
      <c r="E2003" s="6">
        <v>126.6</v>
      </c>
      <c r="F2003" s="5">
        <v>45731</v>
      </c>
      <c r="G2003" s="5">
        <v>45732</v>
      </c>
      <c r="H2003" s="3" t="s">
        <v>26</v>
      </c>
      <c r="I2003" s="4" t="s">
        <v>40</v>
      </c>
      <c r="J2003" s="3">
        <v>5</v>
      </c>
      <c r="K2003" s="3" t="s">
        <v>121</v>
      </c>
      <c r="L2003" s="3">
        <v>1</v>
      </c>
      <c r="M2003" s="3">
        <v>11</v>
      </c>
      <c r="N2003" s="3" t="s">
        <v>28</v>
      </c>
    </row>
    <row r="2004" spans="1:14" x14ac:dyDescent="0.3">
      <c r="A2004" s="7" t="s">
        <v>2087</v>
      </c>
      <c r="B2004" s="7" t="s">
        <v>129</v>
      </c>
      <c r="C2004" s="7">
        <v>14</v>
      </c>
      <c r="D2004" s="10">
        <v>43.2</v>
      </c>
      <c r="E2004" s="10">
        <v>604.80000000000007</v>
      </c>
      <c r="F2004" s="9">
        <v>45731</v>
      </c>
      <c r="G2004" s="9">
        <v>45732</v>
      </c>
      <c r="H2004" s="7" t="s">
        <v>94</v>
      </c>
      <c r="I2004" s="8" t="s">
        <v>21</v>
      </c>
      <c r="J2004" s="7">
        <v>3</v>
      </c>
      <c r="K2004" s="7" t="s">
        <v>121</v>
      </c>
      <c r="L2004" s="7">
        <v>1</v>
      </c>
      <c r="M2004" s="7">
        <v>11</v>
      </c>
      <c r="N2004" s="7" t="s">
        <v>95</v>
      </c>
    </row>
    <row r="2005" spans="1:14" x14ac:dyDescent="0.3">
      <c r="A2005" s="3" t="s">
        <v>2088</v>
      </c>
      <c r="B2005" s="3" t="s">
        <v>51</v>
      </c>
      <c r="C2005" s="3">
        <v>2</v>
      </c>
      <c r="D2005" s="6">
        <v>21.1</v>
      </c>
      <c r="E2005" s="6">
        <v>42.2</v>
      </c>
      <c r="F2005" s="5">
        <v>45731</v>
      </c>
      <c r="G2005" s="5">
        <v>45732</v>
      </c>
      <c r="H2005" s="3"/>
      <c r="I2005" s="4" t="s">
        <v>56</v>
      </c>
      <c r="J2005" s="3">
        <v>3</v>
      </c>
      <c r="K2005" s="3" t="s">
        <v>121</v>
      </c>
      <c r="L2005" s="3">
        <v>1</v>
      </c>
      <c r="M2005" s="3">
        <v>11</v>
      </c>
      <c r="N2005" s="3" t="s">
        <v>23</v>
      </c>
    </row>
    <row r="2006" spans="1:14" x14ac:dyDescent="0.3">
      <c r="A2006" s="7" t="s">
        <v>2089</v>
      </c>
      <c r="B2006" s="7" t="s">
        <v>44</v>
      </c>
      <c r="C2006" s="7">
        <v>4</v>
      </c>
      <c r="D2006" s="10">
        <v>41.3</v>
      </c>
      <c r="E2006" s="10">
        <v>165.2</v>
      </c>
      <c r="F2006" s="9">
        <v>45731</v>
      </c>
      <c r="G2006" s="9">
        <v>45733</v>
      </c>
      <c r="H2006" s="7" t="s">
        <v>31</v>
      </c>
      <c r="I2006" s="8" t="s">
        <v>56</v>
      </c>
      <c r="J2006" s="7">
        <v>5</v>
      </c>
      <c r="K2006" s="7" t="s">
        <v>27</v>
      </c>
      <c r="L2006" s="7">
        <v>2</v>
      </c>
      <c r="M2006" s="7">
        <v>11</v>
      </c>
      <c r="N2006" s="7" t="s">
        <v>33</v>
      </c>
    </row>
    <row r="2007" spans="1:14" x14ac:dyDescent="0.3">
      <c r="A2007" s="3" t="s">
        <v>2090</v>
      </c>
      <c r="B2007" s="3" t="s">
        <v>49</v>
      </c>
      <c r="C2007" s="3">
        <v>2</v>
      </c>
      <c r="D2007" s="6">
        <v>15.3</v>
      </c>
      <c r="E2007" s="6">
        <v>30.6</v>
      </c>
      <c r="F2007" s="5">
        <v>45731</v>
      </c>
      <c r="G2007" s="5">
        <v>45734</v>
      </c>
      <c r="H2007" s="3"/>
      <c r="I2007" s="4" t="s">
        <v>45</v>
      </c>
      <c r="J2007" s="3">
        <v>5</v>
      </c>
      <c r="K2007" s="3" t="s">
        <v>27</v>
      </c>
      <c r="L2007" s="3">
        <v>3</v>
      </c>
      <c r="M2007" s="3">
        <v>11</v>
      </c>
      <c r="N2007" s="3" t="s">
        <v>23</v>
      </c>
    </row>
    <row r="2008" spans="1:14" x14ac:dyDescent="0.3">
      <c r="A2008" s="7" t="s">
        <v>2091</v>
      </c>
      <c r="B2008" s="7" t="s">
        <v>25</v>
      </c>
      <c r="C2008" s="7">
        <v>1</v>
      </c>
      <c r="D2008" s="10">
        <v>54.6</v>
      </c>
      <c r="E2008" s="10">
        <v>54.6</v>
      </c>
      <c r="F2008" s="9">
        <v>45731</v>
      </c>
      <c r="G2008" s="9">
        <v>45733</v>
      </c>
      <c r="H2008" s="7" t="s">
        <v>26</v>
      </c>
      <c r="I2008" s="8" t="s">
        <v>40</v>
      </c>
      <c r="J2008" s="7">
        <v>3</v>
      </c>
      <c r="K2008" s="7" t="s">
        <v>32</v>
      </c>
      <c r="L2008" s="7">
        <v>2</v>
      </c>
      <c r="M2008" s="7">
        <v>11</v>
      </c>
      <c r="N2008" s="7" t="s">
        <v>28</v>
      </c>
    </row>
    <row r="2009" spans="1:14" x14ac:dyDescent="0.3">
      <c r="A2009" s="3" t="s">
        <v>2092</v>
      </c>
      <c r="B2009" s="3" t="s">
        <v>49</v>
      </c>
      <c r="C2009" s="3">
        <v>1</v>
      </c>
      <c r="D2009" s="6">
        <v>15.9</v>
      </c>
      <c r="E2009" s="6">
        <v>15.9</v>
      </c>
      <c r="F2009" s="5">
        <v>45731</v>
      </c>
      <c r="G2009" s="5">
        <v>45732</v>
      </c>
      <c r="H2009" s="3" t="s">
        <v>26</v>
      </c>
      <c r="I2009" s="4" t="s">
        <v>21</v>
      </c>
      <c r="J2009" s="3">
        <v>3</v>
      </c>
      <c r="K2009" s="3" t="s">
        <v>153</v>
      </c>
      <c r="L2009" s="3">
        <v>1</v>
      </c>
      <c r="M2009" s="3">
        <v>11</v>
      </c>
      <c r="N2009" s="3" t="s">
        <v>28</v>
      </c>
    </row>
    <row r="2010" spans="1:14" x14ac:dyDescent="0.3">
      <c r="A2010" s="7" t="s">
        <v>2093</v>
      </c>
      <c r="B2010" s="7" t="s">
        <v>51</v>
      </c>
      <c r="C2010" s="7">
        <v>1</v>
      </c>
      <c r="D2010" s="10">
        <v>50.2</v>
      </c>
      <c r="E2010" s="10">
        <v>50.2</v>
      </c>
      <c r="F2010" s="9">
        <v>45731</v>
      </c>
      <c r="G2010" s="9">
        <v>45733</v>
      </c>
      <c r="H2010" s="7" t="s">
        <v>31</v>
      </c>
      <c r="I2010" s="8" t="s">
        <v>56</v>
      </c>
      <c r="J2010" s="7">
        <v>5</v>
      </c>
      <c r="K2010" s="7" t="s">
        <v>22</v>
      </c>
      <c r="L2010" s="7">
        <v>2</v>
      </c>
      <c r="M2010" s="7">
        <v>11</v>
      </c>
      <c r="N2010" s="7" t="s">
        <v>33</v>
      </c>
    </row>
    <row r="2011" spans="1:14" x14ac:dyDescent="0.3">
      <c r="A2011" s="3" t="s">
        <v>2094</v>
      </c>
      <c r="B2011" s="3" t="s">
        <v>72</v>
      </c>
      <c r="C2011" s="3">
        <v>4</v>
      </c>
      <c r="D2011" s="6">
        <v>85.1</v>
      </c>
      <c r="E2011" s="6">
        <v>340.4</v>
      </c>
      <c r="F2011" s="5">
        <v>45731</v>
      </c>
      <c r="G2011" s="5">
        <v>45732</v>
      </c>
      <c r="H2011" s="3" t="s">
        <v>31</v>
      </c>
      <c r="I2011" s="4" t="s">
        <v>56</v>
      </c>
      <c r="J2011" s="3">
        <v>2</v>
      </c>
      <c r="K2011" s="3" t="s">
        <v>22</v>
      </c>
      <c r="L2011" s="3">
        <v>1</v>
      </c>
      <c r="M2011" s="3">
        <v>11</v>
      </c>
      <c r="N2011" s="3" t="s">
        <v>33</v>
      </c>
    </row>
    <row r="2012" spans="1:14" x14ac:dyDescent="0.3">
      <c r="A2012" s="7" t="s">
        <v>2095</v>
      </c>
      <c r="B2012" s="7" t="s">
        <v>72</v>
      </c>
      <c r="C2012" s="7">
        <v>2</v>
      </c>
      <c r="D2012" s="10">
        <v>41.4</v>
      </c>
      <c r="E2012" s="10">
        <v>82.8</v>
      </c>
      <c r="F2012" s="9">
        <v>45731</v>
      </c>
      <c r="G2012" s="9">
        <v>45732</v>
      </c>
      <c r="H2012" s="7" t="s">
        <v>31</v>
      </c>
      <c r="I2012" s="8" t="s">
        <v>21</v>
      </c>
      <c r="J2012" s="7">
        <v>5</v>
      </c>
      <c r="K2012" s="7" t="s">
        <v>38</v>
      </c>
      <c r="L2012" s="7">
        <v>1</v>
      </c>
      <c r="M2012" s="7">
        <v>11</v>
      </c>
      <c r="N2012" s="7" t="s">
        <v>33</v>
      </c>
    </row>
    <row r="2013" spans="1:14" x14ac:dyDescent="0.3">
      <c r="A2013" s="3" t="s">
        <v>2096</v>
      </c>
      <c r="B2013" s="3" t="s">
        <v>37</v>
      </c>
      <c r="C2013" s="3">
        <v>7</v>
      </c>
      <c r="D2013" s="6">
        <v>32.700000000000003</v>
      </c>
      <c r="E2013" s="6">
        <v>228.9</v>
      </c>
      <c r="F2013" s="5">
        <v>45731</v>
      </c>
      <c r="G2013" s="5">
        <v>45732</v>
      </c>
      <c r="H2013" s="3" t="s">
        <v>31</v>
      </c>
      <c r="I2013" s="4" t="s">
        <v>45</v>
      </c>
      <c r="J2013" s="3">
        <v>3</v>
      </c>
      <c r="K2013" s="3" t="s">
        <v>38</v>
      </c>
      <c r="L2013" s="3">
        <v>1</v>
      </c>
      <c r="M2013" s="3">
        <v>11</v>
      </c>
      <c r="N2013" s="3" t="s">
        <v>33</v>
      </c>
    </row>
    <row r="2014" spans="1:14" x14ac:dyDescent="0.3">
      <c r="A2014" s="7" t="s">
        <v>2097</v>
      </c>
      <c r="B2014" s="7" t="s">
        <v>37</v>
      </c>
      <c r="C2014" s="7">
        <v>2</v>
      </c>
      <c r="D2014" s="10">
        <v>41.6</v>
      </c>
      <c r="E2014" s="10">
        <v>83.2</v>
      </c>
      <c r="F2014" s="9">
        <v>45731</v>
      </c>
      <c r="G2014" s="9">
        <v>45733</v>
      </c>
      <c r="H2014" s="7" t="s">
        <v>26</v>
      </c>
      <c r="I2014" s="8" t="s">
        <v>75</v>
      </c>
      <c r="J2014" s="7">
        <v>3</v>
      </c>
      <c r="K2014" s="7" t="s">
        <v>38</v>
      </c>
      <c r="L2014" s="7">
        <v>2</v>
      </c>
      <c r="M2014" s="7">
        <v>11</v>
      </c>
      <c r="N2014" s="7" t="s">
        <v>28</v>
      </c>
    </row>
    <row r="2015" spans="1:14" x14ac:dyDescent="0.3">
      <c r="A2015" s="3" t="s">
        <v>2098</v>
      </c>
      <c r="B2015" s="3" t="s">
        <v>42</v>
      </c>
      <c r="C2015" s="3">
        <v>4</v>
      </c>
      <c r="D2015" s="6">
        <v>64.8</v>
      </c>
      <c r="E2015" s="6">
        <v>259.2</v>
      </c>
      <c r="F2015" s="5">
        <v>45731</v>
      </c>
      <c r="G2015" s="5">
        <v>45732</v>
      </c>
      <c r="H2015" s="3"/>
      <c r="I2015" s="4" t="s">
        <v>45</v>
      </c>
      <c r="J2015" s="3">
        <v>4</v>
      </c>
      <c r="K2015" s="3" t="s">
        <v>38</v>
      </c>
      <c r="L2015" s="3">
        <v>1</v>
      </c>
      <c r="M2015" s="3">
        <v>11</v>
      </c>
      <c r="N2015" s="3" t="s">
        <v>23</v>
      </c>
    </row>
    <row r="2016" spans="1:14" x14ac:dyDescent="0.3">
      <c r="A2016" s="7" t="s">
        <v>2099</v>
      </c>
      <c r="B2016" s="7" t="s">
        <v>129</v>
      </c>
      <c r="C2016" s="7">
        <v>2</v>
      </c>
      <c r="D2016" s="10">
        <v>33.6</v>
      </c>
      <c r="E2016" s="10">
        <v>67.2</v>
      </c>
      <c r="F2016" s="9">
        <v>45731</v>
      </c>
      <c r="G2016" s="9">
        <v>45732</v>
      </c>
      <c r="H2016" s="7" t="s">
        <v>26</v>
      </c>
      <c r="I2016" s="8" t="s">
        <v>21</v>
      </c>
      <c r="J2016" s="7">
        <v>5</v>
      </c>
      <c r="K2016" s="7" t="s">
        <v>38</v>
      </c>
      <c r="L2016" s="7">
        <v>1</v>
      </c>
      <c r="M2016" s="7">
        <v>11</v>
      </c>
      <c r="N2016" s="7" t="s">
        <v>28</v>
      </c>
    </row>
    <row r="2017" spans="1:14" x14ac:dyDescent="0.3">
      <c r="A2017" s="3" t="s">
        <v>2100</v>
      </c>
      <c r="B2017" s="3" t="s">
        <v>44</v>
      </c>
      <c r="C2017" s="3">
        <v>3</v>
      </c>
      <c r="D2017" s="6">
        <v>100.7</v>
      </c>
      <c r="E2017" s="6">
        <v>302.10000000000002</v>
      </c>
      <c r="F2017" s="5">
        <v>45731</v>
      </c>
      <c r="G2017" s="5">
        <v>45732</v>
      </c>
      <c r="H2017" s="3"/>
      <c r="I2017" s="4" t="s">
        <v>40</v>
      </c>
      <c r="J2017" s="3">
        <v>4</v>
      </c>
      <c r="K2017" s="3" t="s">
        <v>38</v>
      </c>
      <c r="L2017" s="3">
        <v>1</v>
      </c>
      <c r="M2017" s="3">
        <v>11</v>
      </c>
      <c r="N2017" s="3" t="s">
        <v>23</v>
      </c>
    </row>
    <row r="2018" spans="1:14" x14ac:dyDescent="0.3">
      <c r="A2018" s="7" t="s">
        <v>2101</v>
      </c>
      <c r="B2018" s="7" t="s">
        <v>37</v>
      </c>
      <c r="C2018" s="7">
        <v>2</v>
      </c>
      <c r="D2018" s="10">
        <v>49.3</v>
      </c>
      <c r="E2018" s="10">
        <v>98.6</v>
      </c>
      <c r="F2018" s="9">
        <v>45732</v>
      </c>
      <c r="G2018" s="9">
        <v>45734</v>
      </c>
      <c r="H2018" s="7" t="s">
        <v>31</v>
      </c>
      <c r="I2018" s="8" t="s">
        <v>75</v>
      </c>
      <c r="J2018" s="7">
        <v>5</v>
      </c>
      <c r="K2018" s="7" t="s">
        <v>38</v>
      </c>
      <c r="L2018" s="7">
        <v>2</v>
      </c>
      <c r="M2018" s="7">
        <v>12</v>
      </c>
      <c r="N2018" s="7" t="s">
        <v>33</v>
      </c>
    </row>
    <row r="2019" spans="1:14" x14ac:dyDescent="0.3">
      <c r="A2019" s="3" t="s">
        <v>2102</v>
      </c>
      <c r="B2019" s="3" t="s">
        <v>30</v>
      </c>
      <c r="C2019" s="3">
        <v>6</v>
      </c>
      <c r="D2019" s="6">
        <v>97</v>
      </c>
      <c r="E2019" s="6">
        <v>582</v>
      </c>
      <c r="F2019" s="5">
        <v>45732</v>
      </c>
      <c r="G2019" s="5">
        <v>45735</v>
      </c>
      <c r="H2019" s="3" t="s">
        <v>26</v>
      </c>
      <c r="I2019" s="4" t="s">
        <v>45</v>
      </c>
      <c r="J2019" s="3">
        <v>5</v>
      </c>
      <c r="K2019" s="3" t="s">
        <v>38</v>
      </c>
      <c r="L2019" s="3">
        <v>3</v>
      </c>
      <c r="M2019" s="3">
        <v>12</v>
      </c>
      <c r="N2019" s="3" t="s">
        <v>28</v>
      </c>
    </row>
    <row r="2020" spans="1:14" x14ac:dyDescent="0.3">
      <c r="A2020" s="7" t="s">
        <v>2103</v>
      </c>
      <c r="B2020" s="7" t="s">
        <v>20</v>
      </c>
      <c r="C2020" s="7">
        <v>6</v>
      </c>
      <c r="D2020" s="10">
        <v>25.2</v>
      </c>
      <c r="E2020" s="10">
        <v>151.19999999999999</v>
      </c>
      <c r="F2020" s="9">
        <v>45732</v>
      </c>
      <c r="G2020" s="9">
        <v>45735</v>
      </c>
      <c r="H2020" s="7" t="s">
        <v>31</v>
      </c>
      <c r="I2020" s="8" t="s">
        <v>75</v>
      </c>
      <c r="J2020" s="7">
        <v>5</v>
      </c>
      <c r="K2020" s="7" t="s">
        <v>38</v>
      </c>
      <c r="L2020" s="7">
        <v>3</v>
      </c>
      <c r="M2020" s="7">
        <v>12</v>
      </c>
      <c r="N2020" s="7" t="s">
        <v>33</v>
      </c>
    </row>
    <row r="2021" spans="1:14" x14ac:dyDescent="0.3">
      <c r="A2021" s="3" t="s">
        <v>2104</v>
      </c>
      <c r="B2021" s="3" t="s">
        <v>20</v>
      </c>
      <c r="C2021" s="3">
        <v>11</v>
      </c>
      <c r="D2021" s="6">
        <v>12.2</v>
      </c>
      <c r="E2021" s="6">
        <v>134.19999999999999</v>
      </c>
      <c r="F2021" s="5">
        <v>45732</v>
      </c>
      <c r="G2021" s="5">
        <v>45733</v>
      </c>
      <c r="H2021" s="3"/>
      <c r="I2021" s="4" t="s">
        <v>21</v>
      </c>
      <c r="J2021" s="3">
        <v>3</v>
      </c>
      <c r="K2021" s="3" t="s">
        <v>38</v>
      </c>
      <c r="L2021" s="3">
        <v>1</v>
      </c>
      <c r="M2021" s="3">
        <v>12</v>
      </c>
      <c r="N2021" s="3" t="s">
        <v>23</v>
      </c>
    </row>
    <row r="2022" spans="1:14" x14ac:dyDescent="0.3">
      <c r="A2022" s="7" t="s">
        <v>2105</v>
      </c>
      <c r="B2022" s="7" t="s">
        <v>49</v>
      </c>
      <c r="C2022" s="7">
        <v>7</v>
      </c>
      <c r="D2022" s="10">
        <v>38.799999999999997</v>
      </c>
      <c r="E2022" s="10">
        <v>271.60000000000002</v>
      </c>
      <c r="F2022" s="9">
        <v>45732</v>
      </c>
      <c r="G2022" s="9">
        <v>45734</v>
      </c>
      <c r="H2022" s="7" t="s">
        <v>31</v>
      </c>
      <c r="I2022" s="8" t="s">
        <v>40</v>
      </c>
      <c r="J2022" s="7">
        <v>3</v>
      </c>
      <c r="K2022" s="7" t="s">
        <v>164</v>
      </c>
      <c r="L2022" s="7">
        <v>2</v>
      </c>
      <c r="M2022" s="7">
        <v>12</v>
      </c>
      <c r="N2022" s="7" t="s">
        <v>33</v>
      </c>
    </row>
    <row r="2023" spans="1:14" x14ac:dyDescent="0.3">
      <c r="A2023" s="3" t="s">
        <v>2106</v>
      </c>
      <c r="B2023" s="3" t="s">
        <v>30</v>
      </c>
      <c r="C2023" s="3">
        <v>4</v>
      </c>
      <c r="D2023" s="6">
        <v>53.2</v>
      </c>
      <c r="E2023" s="6">
        <v>212.8</v>
      </c>
      <c r="F2023" s="5">
        <v>45732</v>
      </c>
      <c r="G2023" s="5">
        <v>45733</v>
      </c>
      <c r="H2023" s="3" t="s">
        <v>26</v>
      </c>
      <c r="I2023" s="4" t="s">
        <v>21</v>
      </c>
      <c r="J2023" s="3">
        <v>5</v>
      </c>
      <c r="K2023" s="3" t="s">
        <v>67</v>
      </c>
      <c r="L2023" s="3">
        <v>1</v>
      </c>
      <c r="M2023" s="3">
        <v>12</v>
      </c>
      <c r="N2023" s="3" t="s">
        <v>28</v>
      </c>
    </row>
    <row r="2024" spans="1:14" x14ac:dyDescent="0.3">
      <c r="A2024" s="7" t="s">
        <v>2107</v>
      </c>
      <c r="B2024" s="7" t="s">
        <v>44</v>
      </c>
      <c r="C2024" s="7">
        <v>7</v>
      </c>
      <c r="D2024" s="10">
        <v>151</v>
      </c>
      <c r="E2024" s="10">
        <v>1057</v>
      </c>
      <c r="F2024" s="9">
        <v>45732</v>
      </c>
      <c r="G2024" s="9">
        <v>45733</v>
      </c>
      <c r="H2024" s="7" t="s">
        <v>94</v>
      </c>
      <c r="I2024" s="8" t="s">
        <v>40</v>
      </c>
      <c r="J2024" s="7">
        <v>3</v>
      </c>
      <c r="K2024" s="7" t="s">
        <v>67</v>
      </c>
      <c r="L2024" s="7">
        <v>1</v>
      </c>
      <c r="M2024" s="7">
        <v>12</v>
      </c>
      <c r="N2024" s="7" t="s">
        <v>95</v>
      </c>
    </row>
    <row r="2025" spans="1:14" x14ac:dyDescent="0.3">
      <c r="A2025" s="3" t="s">
        <v>2108</v>
      </c>
      <c r="B2025" s="3" t="s">
        <v>25</v>
      </c>
      <c r="C2025" s="3">
        <v>2</v>
      </c>
      <c r="D2025" s="6">
        <v>37.1</v>
      </c>
      <c r="E2025" s="6">
        <v>74.2</v>
      </c>
      <c r="F2025" s="5">
        <v>45732</v>
      </c>
      <c r="G2025" s="5">
        <v>45733</v>
      </c>
      <c r="H2025" s="3" t="s">
        <v>31</v>
      </c>
      <c r="I2025" s="4" t="s">
        <v>75</v>
      </c>
      <c r="J2025" s="3">
        <v>4</v>
      </c>
      <c r="K2025" s="3" t="s">
        <v>67</v>
      </c>
      <c r="L2025" s="3">
        <v>1</v>
      </c>
      <c r="M2025" s="3">
        <v>12</v>
      </c>
      <c r="N2025" s="3" t="s">
        <v>33</v>
      </c>
    </row>
    <row r="2026" spans="1:14" x14ac:dyDescent="0.3">
      <c r="A2026" s="7" t="s">
        <v>2109</v>
      </c>
      <c r="B2026" s="7" t="s">
        <v>42</v>
      </c>
      <c r="C2026" s="7">
        <v>2</v>
      </c>
      <c r="D2026" s="10">
        <v>38.9</v>
      </c>
      <c r="E2026" s="10">
        <v>77.8</v>
      </c>
      <c r="F2026" s="9">
        <v>45732</v>
      </c>
      <c r="G2026" s="9">
        <v>45733</v>
      </c>
      <c r="H2026" s="7" t="s">
        <v>26</v>
      </c>
      <c r="I2026" s="8" t="s">
        <v>75</v>
      </c>
      <c r="J2026" s="7">
        <v>4</v>
      </c>
      <c r="K2026" s="7" t="s">
        <v>67</v>
      </c>
      <c r="L2026" s="7">
        <v>1</v>
      </c>
      <c r="M2026" s="7">
        <v>12</v>
      </c>
      <c r="N2026" s="7" t="s">
        <v>28</v>
      </c>
    </row>
    <row r="2027" spans="1:14" x14ac:dyDescent="0.3">
      <c r="A2027" s="3" t="s">
        <v>2110</v>
      </c>
      <c r="B2027" s="3" t="s">
        <v>59</v>
      </c>
      <c r="C2027" s="3">
        <v>2</v>
      </c>
      <c r="D2027" s="6">
        <v>35.200000000000003</v>
      </c>
      <c r="E2027" s="6">
        <v>70.400000000000006</v>
      </c>
      <c r="F2027" s="5">
        <v>45732</v>
      </c>
      <c r="G2027" s="5">
        <v>45733</v>
      </c>
      <c r="H2027" s="3" t="s">
        <v>26</v>
      </c>
      <c r="I2027" s="4" t="s">
        <v>21</v>
      </c>
      <c r="J2027" s="3">
        <v>5</v>
      </c>
      <c r="K2027" s="3" t="s">
        <v>109</v>
      </c>
      <c r="L2027" s="3">
        <v>1</v>
      </c>
      <c r="M2027" s="3">
        <v>12</v>
      </c>
      <c r="N2027" s="3" t="s">
        <v>28</v>
      </c>
    </row>
    <row r="2028" spans="1:14" x14ac:dyDescent="0.3">
      <c r="A2028" s="7" t="s">
        <v>2111</v>
      </c>
      <c r="B2028" s="7" t="s">
        <v>20</v>
      </c>
      <c r="C2028" s="7">
        <v>2</v>
      </c>
      <c r="D2028" s="10">
        <v>22.3</v>
      </c>
      <c r="E2028" s="10">
        <v>44.6</v>
      </c>
      <c r="F2028" s="9">
        <v>45732</v>
      </c>
      <c r="G2028" s="9">
        <v>45734</v>
      </c>
      <c r="H2028" s="7" t="s">
        <v>31</v>
      </c>
      <c r="I2028" s="8" t="s">
        <v>40</v>
      </c>
      <c r="J2028" s="7">
        <v>4</v>
      </c>
      <c r="K2028" s="7" t="s">
        <v>77</v>
      </c>
      <c r="L2028" s="7">
        <v>2</v>
      </c>
      <c r="M2028" s="7">
        <v>12</v>
      </c>
      <c r="N2028" s="7" t="s">
        <v>33</v>
      </c>
    </row>
    <row r="2029" spans="1:14" x14ac:dyDescent="0.3">
      <c r="A2029" s="3" t="s">
        <v>2112</v>
      </c>
      <c r="B2029" s="3" t="s">
        <v>51</v>
      </c>
      <c r="C2029" s="3">
        <v>1</v>
      </c>
      <c r="D2029" s="6">
        <v>43.3</v>
      </c>
      <c r="E2029" s="6">
        <v>43.3</v>
      </c>
      <c r="F2029" s="5">
        <v>45732</v>
      </c>
      <c r="G2029" s="5">
        <v>45735</v>
      </c>
      <c r="H2029" s="3" t="s">
        <v>31</v>
      </c>
      <c r="I2029" s="4" t="s">
        <v>21</v>
      </c>
      <c r="J2029" s="3">
        <v>5</v>
      </c>
      <c r="K2029" s="3" t="s">
        <v>82</v>
      </c>
      <c r="L2029" s="3">
        <v>3</v>
      </c>
      <c r="M2029" s="3">
        <v>12</v>
      </c>
      <c r="N2029" s="3" t="s">
        <v>33</v>
      </c>
    </row>
    <row r="2030" spans="1:14" x14ac:dyDescent="0.3">
      <c r="A2030" s="7" t="s">
        <v>2113</v>
      </c>
      <c r="B2030" s="7" t="s">
        <v>44</v>
      </c>
      <c r="C2030" s="7">
        <v>6</v>
      </c>
      <c r="D2030" s="10">
        <v>75.900000000000006</v>
      </c>
      <c r="E2030" s="10">
        <v>455.4</v>
      </c>
      <c r="F2030" s="9">
        <v>45732</v>
      </c>
      <c r="G2030" s="9">
        <v>45738</v>
      </c>
      <c r="H2030" s="7" t="s">
        <v>26</v>
      </c>
      <c r="I2030" s="8" t="s">
        <v>21</v>
      </c>
      <c r="J2030" s="7">
        <v>4</v>
      </c>
      <c r="K2030" s="7" t="s">
        <v>82</v>
      </c>
      <c r="L2030" s="7">
        <v>6</v>
      </c>
      <c r="M2030" s="7">
        <v>12</v>
      </c>
      <c r="N2030" s="7" t="s">
        <v>28</v>
      </c>
    </row>
    <row r="2031" spans="1:14" x14ac:dyDescent="0.3">
      <c r="A2031" s="3" t="s">
        <v>2114</v>
      </c>
      <c r="B2031" s="3" t="s">
        <v>44</v>
      </c>
      <c r="C2031" s="3">
        <v>3</v>
      </c>
      <c r="D2031" s="6">
        <v>78.7</v>
      </c>
      <c r="E2031" s="6">
        <v>236.1</v>
      </c>
      <c r="F2031" s="5">
        <v>45732</v>
      </c>
      <c r="G2031" s="5">
        <v>45736</v>
      </c>
      <c r="H2031" s="3" t="s">
        <v>31</v>
      </c>
      <c r="I2031" s="4" t="s">
        <v>45</v>
      </c>
      <c r="J2031" s="3">
        <v>3</v>
      </c>
      <c r="K2031" s="3" t="s">
        <v>82</v>
      </c>
      <c r="L2031" s="3">
        <v>4</v>
      </c>
      <c r="M2031" s="3">
        <v>12</v>
      </c>
      <c r="N2031" s="3" t="s">
        <v>33</v>
      </c>
    </row>
    <row r="2032" spans="1:14" x14ac:dyDescent="0.3">
      <c r="A2032" s="7" t="s">
        <v>2115</v>
      </c>
      <c r="B2032" s="7" t="s">
        <v>25</v>
      </c>
      <c r="C2032" s="7">
        <v>1</v>
      </c>
      <c r="D2032" s="10">
        <v>66.3</v>
      </c>
      <c r="E2032" s="10">
        <v>66.3</v>
      </c>
      <c r="F2032" s="9">
        <v>45732</v>
      </c>
      <c r="G2032" s="9">
        <v>45736</v>
      </c>
      <c r="H2032" s="7" t="s">
        <v>31</v>
      </c>
      <c r="I2032" s="8" t="s">
        <v>21</v>
      </c>
      <c r="J2032" s="7">
        <v>5</v>
      </c>
      <c r="K2032" s="7" t="s">
        <v>116</v>
      </c>
      <c r="L2032" s="7">
        <v>4</v>
      </c>
      <c r="M2032" s="7">
        <v>12</v>
      </c>
      <c r="N2032" s="7" t="s">
        <v>33</v>
      </c>
    </row>
    <row r="2033" spans="1:14" x14ac:dyDescent="0.3">
      <c r="A2033" s="3" t="s">
        <v>2116</v>
      </c>
      <c r="B2033" s="3" t="s">
        <v>49</v>
      </c>
      <c r="C2033" s="3">
        <v>2</v>
      </c>
      <c r="D2033" s="6">
        <v>33.6</v>
      </c>
      <c r="E2033" s="6">
        <v>67.2</v>
      </c>
      <c r="F2033" s="5">
        <v>45732</v>
      </c>
      <c r="G2033" s="5">
        <v>45732</v>
      </c>
      <c r="H2033" s="3" t="s">
        <v>26</v>
      </c>
      <c r="I2033" s="4" t="s">
        <v>21</v>
      </c>
      <c r="J2033" s="3">
        <v>3</v>
      </c>
      <c r="K2033" s="3" t="s">
        <v>116</v>
      </c>
      <c r="L2033" s="3">
        <v>0</v>
      </c>
      <c r="M2033" s="3">
        <v>12</v>
      </c>
      <c r="N2033" s="3" t="s">
        <v>28</v>
      </c>
    </row>
    <row r="2034" spans="1:14" x14ac:dyDescent="0.3">
      <c r="A2034" s="7" t="s">
        <v>2117</v>
      </c>
      <c r="B2034" s="7" t="s">
        <v>30</v>
      </c>
      <c r="C2034" s="7">
        <v>7</v>
      </c>
      <c r="D2034" s="10">
        <v>61.4</v>
      </c>
      <c r="E2034" s="10">
        <v>429.8</v>
      </c>
      <c r="F2034" s="9">
        <v>45732</v>
      </c>
      <c r="G2034" s="9">
        <v>45733</v>
      </c>
      <c r="H2034" s="7" t="s">
        <v>26</v>
      </c>
      <c r="I2034" s="8" t="s">
        <v>75</v>
      </c>
      <c r="J2034" s="7">
        <v>4</v>
      </c>
      <c r="K2034" s="7" t="s">
        <v>116</v>
      </c>
      <c r="L2034" s="7">
        <v>1</v>
      </c>
      <c r="M2034" s="7">
        <v>12</v>
      </c>
      <c r="N2034" s="7" t="s">
        <v>28</v>
      </c>
    </row>
    <row r="2035" spans="1:14" x14ac:dyDescent="0.3">
      <c r="A2035" s="3" t="s">
        <v>2118</v>
      </c>
      <c r="B2035" s="3" t="s">
        <v>49</v>
      </c>
      <c r="C2035" s="3">
        <v>2</v>
      </c>
      <c r="D2035" s="6">
        <v>17.5</v>
      </c>
      <c r="E2035" s="6">
        <v>35</v>
      </c>
      <c r="F2035" s="5">
        <v>45732</v>
      </c>
      <c r="G2035" s="5">
        <v>45735</v>
      </c>
      <c r="H2035" s="3" t="s">
        <v>31</v>
      </c>
      <c r="I2035" s="4" t="s">
        <v>21</v>
      </c>
      <c r="J2035" s="3">
        <v>4</v>
      </c>
      <c r="K2035" s="3" t="s">
        <v>121</v>
      </c>
      <c r="L2035" s="3">
        <v>3</v>
      </c>
      <c r="M2035" s="3">
        <v>12</v>
      </c>
      <c r="N2035" s="3" t="s">
        <v>33</v>
      </c>
    </row>
    <row r="2036" spans="1:14" x14ac:dyDescent="0.3">
      <c r="A2036" s="7" t="s">
        <v>2119</v>
      </c>
      <c r="B2036" s="7" t="s">
        <v>49</v>
      </c>
      <c r="C2036" s="7">
        <v>2</v>
      </c>
      <c r="D2036" s="10">
        <v>32.5</v>
      </c>
      <c r="E2036" s="10">
        <v>65</v>
      </c>
      <c r="F2036" s="9">
        <v>45732</v>
      </c>
      <c r="G2036" s="9">
        <v>45735</v>
      </c>
      <c r="H2036" s="7" t="s">
        <v>31</v>
      </c>
      <c r="I2036" s="8" t="s">
        <v>40</v>
      </c>
      <c r="J2036" s="7">
        <v>4</v>
      </c>
      <c r="K2036" s="7" t="s">
        <v>121</v>
      </c>
      <c r="L2036" s="7">
        <v>3</v>
      </c>
      <c r="M2036" s="7">
        <v>12</v>
      </c>
      <c r="N2036" s="7" t="s">
        <v>33</v>
      </c>
    </row>
    <row r="2037" spans="1:14" x14ac:dyDescent="0.3">
      <c r="A2037" s="3" t="s">
        <v>2120</v>
      </c>
      <c r="B2037" s="3" t="s">
        <v>37</v>
      </c>
      <c r="C2037" s="3">
        <v>1</v>
      </c>
      <c r="D2037" s="6">
        <v>34.6</v>
      </c>
      <c r="E2037" s="6">
        <v>34.6</v>
      </c>
      <c r="F2037" s="5">
        <v>45732</v>
      </c>
      <c r="G2037" s="5">
        <v>45733</v>
      </c>
      <c r="H2037" s="3" t="s">
        <v>31</v>
      </c>
      <c r="I2037" s="4" t="s">
        <v>75</v>
      </c>
      <c r="J2037" s="3">
        <v>4</v>
      </c>
      <c r="K2037" s="3" t="s">
        <v>121</v>
      </c>
      <c r="L2037" s="3">
        <v>1</v>
      </c>
      <c r="M2037" s="3">
        <v>12</v>
      </c>
      <c r="N2037" s="3" t="s">
        <v>33</v>
      </c>
    </row>
    <row r="2038" spans="1:14" x14ac:dyDescent="0.3">
      <c r="A2038" s="7" t="s">
        <v>2121</v>
      </c>
      <c r="B2038" s="7" t="s">
        <v>30</v>
      </c>
      <c r="C2038" s="7">
        <v>1</v>
      </c>
      <c r="D2038" s="10">
        <v>75.900000000000006</v>
      </c>
      <c r="E2038" s="10">
        <v>75.900000000000006</v>
      </c>
      <c r="F2038" s="9">
        <v>45732</v>
      </c>
      <c r="G2038" s="9">
        <v>45732</v>
      </c>
      <c r="H2038" s="7" t="s">
        <v>26</v>
      </c>
      <c r="I2038" s="8" t="s">
        <v>40</v>
      </c>
      <c r="J2038" s="7">
        <v>5</v>
      </c>
      <c r="K2038" s="7" t="s">
        <v>121</v>
      </c>
      <c r="L2038" s="7">
        <v>0</v>
      </c>
      <c r="M2038" s="7">
        <v>12</v>
      </c>
      <c r="N2038" s="7" t="s">
        <v>28</v>
      </c>
    </row>
    <row r="2039" spans="1:14" x14ac:dyDescent="0.3">
      <c r="A2039" s="3" t="s">
        <v>2122</v>
      </c>
      <c r="B2039" s="3" t="s">
        <v>25</v>
      </c>
      <c r="C2039" s="3">
        <v>3</v>
      </c>
      <c r="D2039" s="6">
        <v>42.1</v>
      </c>
      <c r="E2039" s="6">
        <v>126.3</v>
      </c>
      <c r="F2039" s="5">
        <v>45732</v>
      </c>
      <c r="G2039" s="5">
        <v>45735</v>
      </c>
      <c r="H2039" s="3" t="s">
        <v>26</v>
      </c>
      <c r="I2039" s="4" t="s">
        <v>40</v>
      </c>
      <c r="J2039" s="3">
        <v>3</v>
      </c>
      <c r="K2039" s="3" t="s">
        <v>121</v>
      </c>
      <c r="L2039" s="3">
        <v>3</v>
      </c>
      <c r="M2039" s="3">
        <v>12</v>
      </c>
      <c r="N2039" s="3" t="s">
        <v>28</v>
      </c>
    </row>
    <row r="2040" spans="1:14" x14ac:dyDescent="0.3">
      <c r="A2040" s="7" t="s">
        <v>2123</v>
      </c>
      <c r="B2040" s="7" t="s">
        <v>47</v>
      </c>
      <c r="C2040" s="7">
        <v>3</v>
      </c>
      <c r="D2040" s="10">
        <v>65.3</v>
      </c>
      <c r="E2040" s="10">
        <v>195.9</v>
      </c>
      <c r="F2040" s="9">
        <v>45732</v>
      </c>
      <c r="G2040" s="9">
        <v>45739</v>
      </c>
      <c r="H2040" s="7" t="s">
        <v>26</v>
      </c>
      <c r="I2040" s="8" t="s">
        <v>21</v>
      </c>
      <c r="J2040" s="7">
        <v>4</v>
      </c>
      <c r="K2040" s="7" t="s">
        <v>27</v>
      </c>
      <c r="L2040" s="7">
        <v>7</v>
      </c>
      <c r="M2040" s="7">
        <v>12</v>
      </c>
      <c r="N2040" s="7" t="s">
        <v>28</v>
      </c>
    </row>
    <row r="2041" spans="1:14" x14ac:dyDescent="0.3">
      <c r="A2041" s="3" t="s">
        <v>2124</v>
      </c>
      <c r="B2041" s="3" t="s">
        <v>129</v>
      </c>
      <c r="C2041" s="3">
        <v>1</v>
      </c>
      <c r="D2041" s="6">
        <v>20.6</v>
      </c>
      <c r="E2041" s="6">
        <v>20.6</v>
      </c>
      <c r="F2041" s="5">
        <v>45732</v>
      </c>
      <c r="G2041" s="5">
        <v>45735</v>
      </c>
      <c r="H2041" s="3" t="s">
        <v>26</v>
      </c>
      <c r="I2041" s="4" t="s">
        <v>56</v>
      </c>
      <c r="J2041" s="3">
        <v>4</v>
      </c>
      <c r="K2041" s="3" t="s">
        <v>114</v>
      </c>
      <c r="L2041" s="3">
        <v>3</v>
      </c>
      <c r="M2041" s="3">
        <v>12</v>
      </c>
      <c r="N2041" s="3" t="s">
        <v>28</v>
      </c>
    </row>
    <row r="2042" spans="1:14" x14ac:dyDescent="0.3">
      <c r="A2042" s="7" t="s">
        <v>2125</v>
      </c>
      <c r="B2042" s="7" t="s">
        <v>49</v>
      </c>
      <c r="C2042" s="7">
        <v>7</v>
      </c>
      <c r="D2042" s="10">
        <v>16.5</v>
      </c>
      <c r="E2042" s="10">
        <v>115.5</v>
      </c>
      <c r="F2042" s="9">
        <v>45732</v>
      </c>
      <c r="G2042" s="9">
        <v>45733</v>
      </c>
      <c r="H2042" s="7" t="s">
        <v>26</v>
      </c>
      <c r="I2042" s="8" t="s">
        <v>40</v>
      </c>
      <c r="J2042" s="7">
        <v>3</v>
      </c>
      <c r="K2042" s="7" t="s">
        <v>32</v>
      </c>
      <c r="L2042" s="7">
        <v>1</v>
      </c>
      <c r="M2042" s="7">
        <v>12</v>
      </c>
      <c r="N2042" s="7" t="s">
        <v>28</v>
      </c>
    </row>
    <row r="2043" spans="1:14" x14ac:dyDescent="0.3">
      <c r="A2043" s="3" t="s">
        <v>2126</v>
      </c>
      <c r="B2043" s="3" t="s">
        <v>134</v>
      </c>
      <c r="C2043" s="3">
        <v>10</v>
      </c>
      <c r="D2043" s="6">
        <v>36.200000000000003</v>
      </c>
      <c r="E2043" s="6">
        <v>362</v>
      </c>
      <c r="F2043" s="5">
        <v>45732</v>
      </c>
      <c r="G2043" s="5">
        <v>45734</v>
      </c>
      <c r="H2043" s="3" t="s">
        <v>26</v>
      </c>
      <c r="I2043" s="4" t="s">
        <v>21</v>
      </c>
      <c r="J2043" s="3">
        <v>5</v>
      </c>
      <c r="K2043" s="3" t="s">
        <v>32</v>
      </c>
      <c r="L2043" s="3">
        <v>2</v>
      </c>
      <c r="M2043" s="3">
        <v>12</v>
      </c>
      <c r="N2043" s="3" t="s">
        <v>28</v>
      </c>
    </row>
    <row r="2044" spans="1:14" x14ac:dyDescent="0.3">
      <c r="A2044" s="7" t="s">
        <v>2127</v>
      </c>
      <c r="B2044" s="7" t="s">
        <v>44</v>
      </c>
      <c r="C2044" s="7">
        <v>1</v>
      </c>
      <c r="D2044" s="10">
        <v>53.2</v>
      </c>
      <c r="E2044" s="10">
        <v>53.2</v>
      </c>
      <c r="F2044" s="9">
        <v>45732</v>
      </c>
      <c r="G2044" s="9">
        <v>45733</v>
      </c>
      <c r="H2044" s="7" t="s">
        <v>31</v>
      </c>
      <c r="I2044" s="8" t="s">
        <v>21</v>
      </c>
      <c r="J2044" s="7">
        <v>3</v>
      </c>
      <c r="K2044" s="7" t="s">
        <v>153</v>
      </c>
      <c r="L2044" s="7">
        <v>1</v>
      </c>
      <c r="M2044" s="7">
        <v>12</v>
      </c>
      <c r="N2044" s="7" t="s">
        <v>33</v>
      </c>
    </row>
    <row r="2045" spans="1:14" x14ac:dyDescent="0.3">
      <c r="A2045" s="3" t="s">
        <v>2128</v>
      </c>
      <c r="B2045" s="3" t="s">
        <v>30</v>
      </c>
      <c r="C2045" s="3">
        <v>14</v>
      </c>
      <c r="D2045" s="6">
        <v>176</v>
      </c>
      <c r="E2045" s="6">
        <v>2464</v>
      </c>
      <c r="F2045" s="5">
        <v>45732</v>
      </c>
      <c r="G2045" s="5">
        <v>45733</v>
      </c>
      <c r="H2045" s="3" t="s">
        <v>31</v>
      </c>
      <c r="I2045" s="4" t="s">
        <v>21</v>
      </c>
      <c r="J2045" s="3">
        <v>3</v>
      </c>
      <c r="K2045" s="3" t="s">
        <v>38</v>
      </c>
      <c r="L2045" s="3">
        <v>1</v>
      </c>
      <c r="M2045" s="3">
        <v>12</v>
      </c>
      <c r="N2045" s="3" t="s">
        <v>33</v>
      </c>
    </row>
    <row r="2046" spans="1:14" x14ac:dyDescent="0.3">
      <c r="A2046" s="7" t="s">
        <v>2129</v>
      </c>
      <c r="B2046" s="7" t="s">
        <v>25</v>
      </c>
      <c r="C2046" s="7">
        <v>1</v>
      </c>
      <c r="D2046" s="10">
        <v>52.4</v>
      </c>
      <c r="E2046" s="10">
        <v>52.4</v>
      </c>
      <c r="F2046" s="9">
        <v>45732</v>
      </c>
      <c r="G2046" s="9">
        <v>45733</v>
      </c>
      <c r="H2046" s="7" t="s">
        <v>26</v>
      </c>
      <c r="I2046" s="8" t="s">
        <v>40</v>
      </c>
      <c r="J2046" s="7">
        <v>4</v>
      </c>
      <c r="K2046" s="7" t="s">
        <v>38</v>
      </c>
      <c r="L2046" s="7">
        <v>1</v>
      </c>
      <c r="M2046" s="7">
        <v>12</v>
      </c>
      <c r="N2046" s="7" t="s">
        <v>28</v>
      </c>
    </row>
    <row r="2047" spans="1:14" x14ac:dyDescent="0.3">
      <c r="A2047" s="3" t="s">
        <v>2130</v>
      </c>
      <c r="B2047" s="3" t="s">
        <v>59</v>
      </c>
      <c r="C2047" s="3">
        <v>3</v>
      </c>
      <c r="D2047" s="6">
        <v>48.2</v>
      </c>
      <c r="E2047" s="6">
        <v>144.6</v>
      </c>
      <c r="F2047" s="5">
        <v>45732</v>
      </c>
      <c r="G2047" s="5">
        <v>45733</v>
      </c>
      <c r="H2047" s="3" t="s">
        <v>31</v>
      </c>
      <c r="I2047" s="4" t="s">
        <v>40</v>
      </c>
      <c r="J2047" s="3">
        <v>5</v>
      </c>
      <c r="K2047" s="3" t="s">
        <v>38</v>
      </c>
      <c r="L2047" s="3">
        <v>1</v>
      </c>
      <c r="M2047" s="3">
        <v>12</v>
      </c>
      <c r="N2047" s="3" t="s">
        <v>33</v>
      </c>
    </row>
    <row r="2048" spans="1:14" x14ac:dyDescent="0.3">
      <c r="A2048" s="7" t="s">
        <v>2131</v>
      </c>
      <c r="B2048" s="7" t="s">
        <v>129</v>
      </c>
      <c r="C2048" s="7">
        <v>1</v>
      </c>
      <c r="D2048" s="10">
        <v>51.6</v>
      </c>
      <c r="E2048" s="10">
        <v>51.6</v>
      </c>
      <c r="F2048" s="9">
        <v>45732</v>
      </c>
      <c r="G2048" s="9">
        <v>45736</v>
      </c>
      <c r="H2048" s="7" t="s">
        <v>31</v>
      </c>
      <c r="I2048" s="8" t="s">
        <v>45</v>
      </c>
      <c r="J2048" s="7">
        <v>3</v>
      </c>
      <c r="K2048" s="7" t="s">
        <v>38</v>
      </c>
      <c r="L2048" s="7">
        <v>4</v>
      </c>
      <c r="M2048" s="7">
        <v>12</v>
      </c>
      <c r="N2048" s="7" t="s">
        <v>33</v>
      </c>
    </row>
    <row r="2049" spans="1:14" x14ac:dyDescent="0.3">
      <c r="A2049" s="3" t="s">
        <v>2132</v>
      </c>
      <c r="B2049" s="3" t="s">
        <v>20</v>
      </c>
      <c r="C2049" s="3">
        <v>4</v>
      </c>
      <c r="D2049" s="6">
        <v>33.700000000000003</v>
      </c>
      <c r="E2049" s="6">
        <v>134.80000000000001</v>
      </c>
      <c r="F2049" s="5">
        <v>45733</v>
      </c>
      <c r="G2049" s="5">
        <v>45734</v>
      </c>
      <c r="H2049" s="3" t="s">
        <v>26</v>
      </c>
      <c r="I2049" s="4" t="s">
        <v>21</v>
      </c>
      <c r="J2049" s="3">
        <v>4</v>
      </c>
      <c r="K2049" s="3" t="s">
        <v>38</v>
      </c>
      <c r="L2049" s="3">
        <v>1</v>
      </c>
      <c r="M2049" s="3">
        <v>12</v>
      </c>
      <c r="N2049" s="3" t="s">
        <v>28</v>
      </c>
    </row>
    <row r="2050" spans="1:14" x14ac:dyDescent="0.3">
      <c r="A2050" s="7" t="s">
        <v>2133</v>
      </c>
      <c r="B2050" s="7" t="s">
        <v>37</v>
      </c>
      <c r="C2050" s="7">
        <v>10</v>
      </c>
      <c r="D2050" s="10">
        <v>36.299999999999997</v>
      </c>
      <c r="E2050" s="10">
        <v>363</v>
      </c>
      <c r="F2050" s="9">
        <v>45733</v>
      </c>
      <c r="G2050" s="9">
        <v>45735</v>
      </c>
      <c r="H2050" s="7" t="s">
        <v>31</v>
      </c>
      <c r="I2050" s="8" t="s">
        <v>75</v>
      </c>
      <c r="J2050" s="7">
        <v>3</v>
      </c>
      <c r="K2050" s="7" t="s">
        <v>38</v>
      </c>
      <c r="L2050" s="7">
        <v>2</v>
      </c>
      <c r="M2050" s="7">
        <v>12</v>
      </c>
      <c r="N2050" s="7" t="s">
        <v>33</v>
      </c>
    </row>
    <row r="2051" spans="1:14" x14ac:dyDescent="0.3">
      <c r="A2051" s="3" t="s">
        <v>2134</v>
      </c>
      <c r="B2051" s="3" t="s">
        <v>49</v>
      </c>
      <c r="C2051" s="3">
        <v>1</v>
      </c>
      <c r="D2051" s="6">
        <v>23.4</v>
      </c>
      <c r="E2051" s="6">
        <v>23.4</v>
      </c>
      <c r="F2051" s="5">
        <v>45733</v>
      </c>
      <c r="G2051" s="5">
        <v>45738</v>
      </c>
      <c r="H2051" s="3" t="s">
        <v>31</v>
      </c>
      <c r="I2051" s="4" t="s">
        <v>40</v>
      </c>
      <c r="J2051" s="3">
        <v>5</v>
      </c>
      <c r="K2051" s="3" t="s">
        <v>38</v>
      </c>
      <c r="L2051" s="3">
        <v>5</v>
      </c>
      <c r="M2051" s="3">
        <v>12</v>
      </c>
      <c r="N2051" s="3" t="s">
        <v>33</v>
      </c>
    </row>
    <row r="2052" spans="1:14" x14ac:dyDescent="0.3">
      <c r="A2052" s="7" t="s">
        <v>2135</v>
      </c>
      <c r="B2052" s="7" t="s">
        <v>129</v>
      </c>
      <c r="C2052" s="7">
        <v>8</v>
      </c>
      <c r="D2052" s="10">
        <v>56.6</v>
      </c>
      <c r="E2052" s="10">
        <v>452.8</v>
      </c>
      <c r="F2052" s="9">
        <v>45733</v>
      </c>
      <c r="G2052" s="9">
        <v>45735</v>
      </c>
      <c r="H2052" s="7" t="s">
        <v>31</v>
      </c>
      <c r="I2052" s="8" t="s">
        <v>40</v>
      </c>
      <c r="J2052" s="7">
        <v>4</v>
      </c>
      <c r="K2052" s="7" t="s">
        <v>38</v>
      </c>
      <c r="L2052" s="7">
        <v>2</v>
      </c>
      <c r="M2052" s="7">
        <v>12</v>
      </c>
      <c r="N2052" s="7" t="s">
        <v>33</v>
      </c>
    </row>
    <row r="2053" spans="1:14" x14ac:dyDescent="0.3">
      <c r="A2053" s="3" t="s">
        <v>2136</v>
      </c>
      <c r="B2053" s="3" t="s">
        <v>129</v>
      </c>
      <c r="C2053" s="3">
        <v>2</v>
      </c>
      <c r="D2053" s="6">
        <v>26.8</v>
      </c>
      <c r="E2053" s="6">
        <v>53.6</v>
      </c>
      <c r="F2053" s="5">
        <v>45733</v>
      </c>
      <c r="G2053" s="5">
        <v>45734</v>
      </c>
      <c r="H2053" s="3" t="s">
        <v>26</v>
      </c>
      <c r="I2053" s="4" t="s">
        <v>21</v>
      </c>
      <c r="J2053" s="3">
        <v>4</v>
      </c>
      <c r="K2053" s="3" t="s">
        <v>54</v>
      </c>
      <c r="L2053" s="3">
        <v>1</v>
      </c>
      <c r="M2053" s="3">
        <v>12</v>
      </c>
      <c r="N2053" s="3" t="s">
        <v>28</v>
      </c>
    </row>
    <row r="2054" spans="1:14" x14ac:dyDescent="0.3">
      <c r="A2054" s="7" t="s">
        <v>2137</v>
      </c>
      <c r="B2054" s="7" t="s">
        <v>20</v>
      </c>
      <c r="C2054" s="7">
        <v>3</v>
      </c>
      <c r="D2054" s="10">
        <v>11.3</v>
      </c>
      <c r="E2054" s="10">
        <v>33.900000000000013</v>
      </c>
      <c r="F2054" s="9">
        <v>45733</v>
      </c>
      <c r="G2054" s="9">
        <v>45735</v>
      </c>
      <c r="H2054" s="7" t="s">
        <v>26</v>
      </c>
      <c r="I2054" s="8" t="s">
        <v>45</v>
      </c>
      <c r="J2054" s="7">
        <v>4</v>
      </c>
      <c r="K2054" s="7" t="s">
        <v>194</v>
      </c>
      <c r="L2054" s="7">
        <v>2</v>
      </c>
      <c r="M2054" s="7">
        <v>12</v>
      </c>
      <c r="N2054" s="7" t="s">
        <v>28</v>
      </c>
    </row>
    <row r="2055" spans="1:14" x14ac:dyDescent="0.3">
      <c r="A2055" s="3" t="s">
        <v>2138</v>
      </c>
      <c r="B2055" s="3" t="s">
        <v>44</v>
      </c>
      <c r="C2055" s="3">
        <v>3</v>
      </c>
      <c r="D2055" s="6">
        <v>60.1</v>
      </c>
      <c r="E2055" s="6">
        <v>180.3</v>
      </c>
      <c r="F2055" s="5">
        <v>45733</v>
      </c>
      <c r="G2055" s="5">
        <v>45736</v>
      </c>
      <c r="H2055" s="3" t="s">
        <v>31</v>
      </c>
      <c r="I2055" s="4" t="s">
        <v>21</v>
      </c>
      <c r="J2055" s="3">
        <v>4</v>
      </c>
      <c r="K2055" s="3" t="s">
        <v>64</v>
      </c>
      <c r="L2055" s="3">
        <v>3</v>
      </c>
      <c r="M2055" s="3">
        <v>12</v>
      </c>
      <c r="N2055" s="3" t="s">
        <v>33</v>
      </c>
    </row>
    <row r="2056" spans="1:14" x14ac:dyDescent="0.3">
      <c r="A2056" s="7" t="s">
        <v>2139</v>
      </c>
      <c r="B2056" s="7" t="s">
        <v>20</v>
      </c>
      <c r="C2056" s="7">
        <v>11</v>
      </c>
      <c r="D2056" s="10">
        <v>27.7</v>
      </c>
      <c r="E2056" s="10">
        <v>304.7</v>
      </c>
      <c r="F2056" s="9">
        <v>45733</v>
      </c>
      <c r="G2056" s="9">
        <v>45738</v>
      </c>
      <c r="H2056" s="7" t="s">
        <v>31</v>
      </c>
      <c r="I2056" s="8" t="s">
        <v>21</v>
      </c>
      <c r="J2056" s="7">
        <v>4</v>
      </c>
      <c r="K2056" s="7" t="s">
        <v>67</v>
      </c>
      <c r="L2056" s="7">
        <v>5</v>
      </c>
      <c r="M2056" s="7">
        <v>12</v>
      </c>
      <c r="N2056" s="7" t="s">
        <v>33</v>
      </c>
    </row>
    <row r="2057" spans="1:14" x14ac:dyDescent="0.3">
      <c r="A2057" s="3" t="s">
        <v>2140</v>
      </c>
      <c r="B2057" s="3" t="s">
        <v>129</v>
      </c>
      <c r="C2057" s="3">
        <v>1</v>
      </c>
      <c r="D2057" s="6">
        <v>71.400000000000006</v>
      </c>
      <c r="E2057" s="6">
        <v>71.400000000000006</v>
      </c>
      <c r="F2057" s="5">
        <v>45733</v>
      </c>
      <c r="G2057" s="5">
        <v>45736</v>
      </c>
      <c r="H2057" s="3" t="s">
        <v>26</v>
      </c>
      <c r="I2057" s="4" t="s">
        <v>21</v>
      </c>
      <c r="J2057" s="3">
        <v>5</v>
      </c>
      <c r="K2057" s="3" t="s">
        <v>67</v>
      </c>
      <c r="L2057" s="3">
        <v>3</v>
      </c>
      <c r="M2057" s="3">
        <v>12</v>
      </c>
      <c r="N2057" s="3" t="s">
        <v>28</v>
      </c>
    </row>
    <row r="2058" spans="1:14" x14ac:dyDescent="0.3">
      <c r="A2058" s="7" t="s">
        <v>2141</v>
      </c>
      <c r="B2058" s="7" t="s">
        <v>30</v>
      </c>
      <c r="C2058" s="7">
        <v>2</v>
      </c>
      <c r="D2058" s="10">
        <v>66.7</v>
      </c>
      <c r="E2058" s="10">
        <v>133.4</v>
      </c>
      <c r="F2058" s="9">
        <v>45733</v>
      </c>
      <c r="G2058" s="9">
        <v>45734</v>
      </c>
      <c r="H2058" s="7" t="s">
        <v>31</v>
      </c>
      <c r="I2058" s="8" t="s">
        <v>21</v>
      </c>
      <c r="J2058" s="7">
        <v>5</v>
      </c>
      <c r="K2058" s="7" t="s">
        <v>67</v>
      </c>
      <c r="L2058" s="7">
        <v>1</v>
      </c>
      <c r="M2058" s="7">
        <v>12</v>
      </c>
      <c r="N2058" s="7" t="s">
        <v>33</v>
      </c>
    </row>
    <row r="2059" spans="1:14" x14ac:dyDescent="0.3">
      <c r="A2059" s="3" t="s">
        <v>2142</v>
      </c>
      <c r="B2059" s="3" t="s">
        <v>81</v>
      </c>
      <c r="C2059" s="3">
        <v>5</v>
      </c>
      <c r="D2059" s="6">
        <v>39.1</v>
      </c>
      <c r="E2059" s="6">
        <v>195.5</v>
      </c>
      <c r="F2059" s="5">
        <v>45733</v>
      </c>
      <c r="G2059" s="5">
        <v>45734</v>
      </c>
      <c r="H2059" s="3" t="s">
        <v>31</v>
      </c>
      <c r="I2059" s="4" t="s">
        <v>21</v>
      </c>
      <c r="J2059" s="3">
        <v>4</v>
      </c>
      <c r="K2059" s="3" t="s">
        <v>67</v>
      </c>
      <c r="L2059" s="3">
        <v>1</v>
      </c>
      <c r="M2059" s="3">
        <v>12</v>
      </c>
      <c r="N2059" s="3" t="s">
        <v>33</v>
      </c>
    </row>
    <row r="2060" spans="1:14" x14ac:dyDescent="0.3">
      <c r="A2060" s="7" t="s">
        <v>2143</v>
      </c>
      <c r="B2060" s="7" t="s">
        <v>49</v>
      </c>
      <c r="C2060" s="7">
        <v>4</v>
      </c>
      <c r="D2060" s="10">
        <v>24.9</v>
      </c>
      <c r="E2060" s="10">
        <v>99.6</v>
      </c>
      <c r="F2060" s="9">
        <v>45733</v>
      </c>
      <c r="G2060" s="9">
        <v>45738</v>
      </c>
      <c r="H2060" s="7" t="s">
        <v>26</v>
      </c>
      <c r="I2060" s="8" t="s">
        <v>40</v>
      </c>
      <c r="J2060" s="7">
        <v>5</v>
      </c>
      <c r="K2060" s="7" t="s">
        <v>67</v>
      </c>
      <c r="L2060" s="7">
        <v>5</v>
      </c>
      <c r="M2060" s="7">
        <v>12</v>
      </c>
      <c r="N2060" s="7" t="s">
        <v>28</v>
      </c>
    </row>
    <row r="2061" spans="1:14" x14ac:dyDescent="0.3">
      <c r="A2061" s="3" t="s">
        <v>2144</v>
      </c>
      <c r="B2061" s="3" t="s">
        <v>42</v>
      </c>
      <c r="C2061" s="3">
        <v>5</v>
      </c>
      <c r="D2061" s="6">
        <v>29.2</v>
      </c>
      <c r="E2061" s="6">
        <v>146</v>
      </c>
      <c r="F2061" s="5">
        <v>45733</v>
      </c>
      <c r="G2061" s="5">
        <v>45734</v>
      </c>
      <c r="H2061" s="3" t="s">
        <v>26</v>
      </c>
      <c r="I2061" s="4" t="s">
        <v>21</v>
      </c>
      <c r="J2061" s="3">
        <v>5</v>
      </c>
      <c r="K2061" s="3" t="s">
        <v>109</v>
      </c>
      <c r="L2061" s="3">
        <v>1</v>
      </c>
      <c r="M2061" s="3">
        <v>12</v>
      </c>
      <c r="N2061" s="3" t="s">
        <v>28</v>
      </c>
    </row>
    <row r="2062" spans="1:14" x14ac:dyDescent="0.3">
      <c r="A2062" s="7" t="s">
        <v>2145</v>
      </c>
      <c r="B2062" s="7" t="s">
        <v>81</v>
      </c>
      <c r="C2062" s="7">
        <v>14</v>
      </c>
      <c r="D2062" s="10">
        <v>28.3</v>
      </c>
      <c r="E2062" s="10">
        <v>396.2</v>
      </c>
      <c r="F2062" s="9">
        <v>45733</v>
      </c>
      <c r="G2062" s="9">
        <v>45735</v>
      </c>
      <c r="H2062" s="7" t="s">
        <v>31</v>
      </c>
      <c r="I2062" s="8" t="s">
        <v>40</v>
      </c>
      <c r="J2062" s="7">
        <v>4</v>
      </c>
      <c r="K2062" s="7" t="s">
        <v>82</v>
      </c>
      <c r="L2062" s="7">
        <v>2</v>
      </c>
      <c r="M2062" s="7">
        <v>12</v>
      </c>
      <c r="N2062" s="7" t="s">
        <v>33</v>
      </c>
    </row>
    <row r="2063" spans="1:14" x14ac:dyDescent="0.3">
      <c r="A2063" s="3" t="s">
        <v>2146</v>
      </c>
      <c r="B2063" s="3" t="s">
        <v>51</v>
      </c>
      <c r="C2063" s="3">
        <v>3</v>
      </c>
      <c r="D2063" s="6">
        <v>37.799999999999997</v>
      </c>
      <c r="E2063" s="6">
        <v>113.4</v>
      </c>
      <c r="F2063" s="5">
        <v>45733</v>
      </c>
      <c r="G2063" s="5">
        <v>45734</v>
      </c>
      <c r="H2063" s="3" t="s">
        <v>31</v>
      </c>
      <c r="I2063" s="4" t="s">
        <v>21</v>
      </c>
      <c r="J2063" s="3">
        <v>3</v>
      </c>
      <c r="K2063" s="3" t="s">
        <v>82</v>
      </c>
      <c r="L2063" s="3">
        <v>1</v>
      </c>
      <c r="M2063" s="3">
        <v>12</v>
      </c>
      <c r="N2063" s="3" t="s">
        <v>33</v>
      </c>
    </row>
    <row r="2064" spans="1:14" x14ac:dyDescent="0.3">
      <c r="A2064" s="7" t="s">
        <v>2147</v>
      </c>
      <c r="B2064" s="7" t="s">
        <v>86</v>
      </c>
      <c r="C2064" s="7">
        <v>7</v>
      </c>
      <c r="D2064" s="10">
        <v>28.1</v>
      </c>
      <c r="E2064" s="10">
        <v>196.7</v>
      </c>
      <c r="F2064" s="9">
        <v>45733</v>
      </c>
      <c r="G2064" s="9">
        <v>45739</v>
      </c>
      <c r="H2064" s="7" t="s">
        <v>31</v>
      </c>
      <c r="I2064" s="8" t="s">
        <v>45</v>
      </c>
      <c r="J2064" s="7">
        <v>4</v>
      </c>
      <c r="K2064" s="7" t="s">
        <v>82</v>
      </c>
      <c r="L2064" s="7">
        <v>6</v>
      </c>
      <c r="M2064" s="7">
        <v>12</v>
      </c>
      <c r="N2064" s="7" t="s">
        <v>33</v>
      </c>
    </row>
    <row r="2065" spans="1:14" x14ac:dyDescent="0.3">
      <c r="A2065" s="3" t="s">
        <v>2148</v>
      </c>
      <c r="B2065" s="3" t="s">
        <v>25</v>
      </c>
      <c r="C2065" s="3">
        <v>3</v>
      </c>
      <c r="D2065" s="6">
        <v>59.7</v>
      </c>
      <c r="E2065" s="6">
        <v>179.1</v>
      </c>
      <c r="F2065" s="5">
        <v>45733</v>
      </c>
      <c r="G2065" s="5">
        <v>45735</v>
      </c>
      <c r="H2065" s="3" t="s">
        <v>31</v>
      </c>
      <c r="I2065" s="4" t="s">
        <v>45</v>
      </c>
      <c r="J2065" s="3">
        <v>4</v>
      </c>
      <c r="K2065" s="3" t="s">
        <v>82</v>
      </c>
      <c r="L2065" s="3">
        <v>2</v>
      </c>
      <c r="M2065" s="3">
        <v>12</v>
      </c>
      <c r="N2065" s="3" t="s">
        <v>33</v>
      </c>
    </row>
    <row r="2066" spans="1:14" x14ac:dyDescent="0.3">
      <c r="A2066" s="7" t="s">
        <v>2149</v>
      </c>
      <c r="B2066" s="7" t="s">
        <v>134</v>
      </c>
      <c r="C2066" s="7">
        <v>1</v>
      </c>
      <c r="D2066" s="10">
        <v>71.900000000000006</v>
      </c>
      <c r="E2066" s="10">
        <v>71.900000000000006</v>
      </c>
      <c r="F2066" s="9">
        <v>45733</v>
      </c>
      <c r="G2066" s="9">
        <v>45734</v>
      </c>
      <c r="H2066" s="7" t="s">
        <v>26</v>
      </c>
      <c r="I2066" s="8" t="s">
        <v>40</v>
      </c>
      <c r="J2066" s="7">
        <v>3</v>
      </c>
      <c r="K2066" s="7" t="s">
        <v>82</v>
      </c>
      <c r="L2066" s="7">
        <v>1</v>
      </c>
      <c r="M2066" s="7">
        <v>12</v>
      </c>
      <c r="N2066" s="7" t="s">
        <v>28</v>
      </c>
    </row>
    <row r="2067" spans="1:14" x14ac:dyDescent="0.3">
      <c r="A2067" s="3" t="s">
        <v>2150</v>
      </c>
      <c r="B2067" s="3" t="s">
        <v>25</v>
      </c>
      <c r="C2067" s="3">
        <v>2</v>
      </c>
      <c r="D2067" s="6">
        <v>56.9</v>
      </c>
      <c r="E2067" s="6">
        <v>113.8</v>
      </c>
      <c r="F2067" s="5">
        <v>45733</v>
      </c>
      <c r="G2067" s="5">
        <v>45734</v>
      </c>
      <c r="H2067" s="3" t="s">
        <v>26</v>
      </c>
      <c r="I2067" s="4" t="s">
        <v>45</v>
      </c>
      <c r="J2067" s="3">
        <v>4</v>
      </c>
      <c r="K2067" s="3" t="s">
        <v>87</v>
      </c>
      <c r="L2067" s="3">
        <v>1</v>
      </c>
      <c r="M2067" s="3">
        <v>12</v>
      </c>
      <c r="N2067" s="3" t="s">
        <v>28</v>
      </c>
    </row>
    <row r="2068" spans="1:14" x14ac:dyDescent="0.3">
      <c r="A2068" s="7" t="s">
        <v>2151</v>
      </c>
      <c r="B2068" s="7" t="s">
        <v>49</v>
      </c>
      <c r="C2068" s="7">
        <v>2</v>
      </c>
      <c r="D2068" s="10">
        <v>15.8</v>
      </c>
      <c r="E2068" s="10">
        <v>31.6</v>
      </c>
      <c r="F2068" s="9">
        <v>45733</v>
      </c>
      <c r="G2068" s="9">
        <v>45736</v>
      </c>
      <c r="H2068" s="7" t="s">
        <v>31</v>
      </c>
      <c r="I2068" s="8" t="s">
        <v>45</v>
      </c>
      <c r="J2068" s="7">
        <v>3</v>
      </c>
      <c r="K2068" s="7" t="s">
        <v>27</v>
      </c>
      <c r="L2068" s="7">
        <v>3</v>
      </c>
      <c r="M2068" s="7">
        <v>12</v>
      </c>
      <c r="N2068" s="7" t="s">
        <v>33</v>
      </c>
    </row>
    <row r="2069" spans="1:14" x14ac:dyDescent="0.3">
      <c r="A2069" s="3" t="s">
        <v>2152</v>
      </c>
      <c r="B2069" s="3" t="s">
        <v>72</v>
      </c>
      <c r="C2069" s="3">
        <v>4</v>
      </c>
      <c r="D2069" s="6">
        <v>61.7</v>
      </c>
      <c r="E2069" s="6">
        <v>246.8</v>
      </c>
      <c r="F2069" s="5">
        <v>45733</v>
      </c>
      <c r="G2069" s="5">
        <v>45735</v>
      </c>
      <c r="H2069" s="3" t="s">
        <v>31</v>
      </c>
      <c r="I2069" s="4" t="s">
        <v>45</v>
      </c>
      <c r="J2069" s="3">
        <v>4</v>
      </c>
      <c r="K2069" s="3" t="s">
        <v>153</v>
      </c>
      <c r="L2069" s="3">
        <v>2</v>
      </c>
      <c r="M2069" s="3">
        <v>12</v>
      </c>
      <c r="N2069" s="3" t="s">
        <v>33</v>
      </c>
    </row>
    <row r="2070" spans="1:14" x14ac:dyDescent="0.3">
      <c r="A2070" s="7" t="s">
        <v>2153</v>
      </c>
      <c r="B2070" s="7" t="s">
        <v>30</v>
      </c>
      <c r="C2070" s="7">
        <v>10</v>
      </c>
      <c r="D2070" s="10">
        <v>105.2</v>
      </c>
      <c r="E2070" s="10">
        <v>1052</v>
      </c>
      <c r="F2070" s="9">
        <v>45733</v>
      </c>
      <c r="G2070" s="9">
        <v>45735</v>
      </c>
      <c r="H2070" s="7" t="s">
        <v>26</v>
      </c>
      <c r="I2070" s="8" t="s">
        <v>40</v>
      </c>
      <c r="J2070" s="7">
        <v>2</v>
      </c>
      <c r="K2070" s="7" t="s">
        <v>38</v>
      </c>
      <c r="L2070" s="7">
        <v>2</v>
      </c>
      <c r="M2070" s="7">
        <v>12</v>
      </c>
      <c r="N2070" s="7" t="s">
        <v>28</v>
      </c>
    </row>
    <row r="2071" spans="1:14" x14ac:dyDescent="0.3">
      <c r="A2071" s="3" t="s">
        <v>2154</v>
      </c>
      <c r="B2071" s="3" t="s">
        <v>20</v>
      </c>
      <c r="C2071" s="3">
        <v>2</v>
      </c>
      <c r="D2071" s="6">
        <v>17</v>
      </c>
      <c r="E2071" s="6">
        <v>34</v>
      </c>
      <c r="F2071" s="5">
        <v>45733</v>
      </c>
      <c r="G2071" s="5">
        <v>45735</v>
      </c>
      <c r="H2071" s="3" t="s">
        <v>31</v>
      </c>
      <c r="I2071" s="4" t="s">
        <v>45</v>
      </c>
      <c r="J2071" s="3">
        <v>4</v>
      </c>
      <c r="K2071" s="3" t="s">
        <v>38</v>
      </c>
      <c r="L2071" s="3">
        <v>2</v>
      </c>
      <c r="M2071" s="3">
        <v>12</v>
      </c>
      <c r="N2071" s="3" t="s">
        <v>33</v>
      </c>
    </row>
    <row r="2072" spans="1:14" x14ac:dyDescent="0.3">
      <c r="A2072" s="7" t="s">
        <v>2155</v>
      </c>
      <c r="B2072" s="7" t="s">
        <v>44</v>
      </c>
      <c r="C2072" s="7">
        <v>3</v>
      </c>
      <c r="D2072" s="10">
        <v>84.1</v>
      </c>
      <c r="E2072" s="10">
        <v>252.3</v>
      </c>
      <c r="F2072" s="9">
        <v>45733</v>
      </c>
      <c r="G2072" s="9">
        <v>45734</v>
      </c>
      <c r="H2072" s="7" t="s">
        <v>26</v>
      </c>
      <c r="I2072" s="8" t="s">
        <v>45</v>
      </c>
      <c r="J2072" s="7">
        <v>4</v>
      </c>
      <c r="K2072" s="7" t="s">
        <v>38</v>
      </c>
      <c r="L2072" s="7">
        <v>1</v>
      </c>
      <c r="M2072" s="7">
        <v>12</v>
      </c>
      <c r="N2072" s="7" t="s">
        <v>28</v>
      </c>
    </row>
    <row r="2073" spans="1:14" x14ac:dyDescent="0.3">
      <c r="A2073" s="3" t="s">
        <v>2156</v>
      </c>
      <c r="B2073" s="3" t="s">
        <v>35</v>
      </c>
      <c r="C2073" s="3">
        <v>4</v>
      </c>
      <c r="D2073" s="6">
        <v>59.5</v>
      </c>
      <c r="E2073" s="6">
        <v>238</v>
      </c>
      <c r="F2073" s="5">
        <v>45733</v>
      </c>
      <c r="G2073" s="5">
        <v>45738</v>
      </c>
      <c r="H2073" s="3" t="s">
        <v>26</v>
      </c>
      <c r="I2073" s="4" t="s">
        <v>21</v>
      </c>
      <c r="J2073" s="3">
        <v>5</v>
      </c>
      <c r="K2073" s="3" t="s">
        <v>38</v>
      </c>
      <c r="L2073" s="3">
        <v>5</v>
      </c>
      <c r="M2073" s="3">
        <v>12</v>
      </c>
      <c r="N2073" s="3" t="s">
        <v>28</v>
      </c>
    </row>
    <row r="2074" spans="1:14" x14ac:dyDescent="0.3">
      <c r="A2074" s="7" t="s">
        <v>2157</v>
      </c>
      <c r="B2074" s="7" t="s">
        <v>49</v>
      </c>
      <c r="C2074" s="7">
        <v>2</v>
      </c>
      <c r="D2074" s="10">
        <v>57.5</v>
      </c>
      <c r="E2074" s="10">
        <v>115</v>
      </c>
      <c r="F2074" s="9">
        <v>45733</v>
      </c>
      <c r="G2074" s="9">
        <v>45735</v>
      </c>
      <c r="H2074" s="7" t="s">
        <v>26</v>
      </c>
      <c r="I2074" s="8" t="s">
        <v>40</v>
      </c>
      <c r="J2074" s="7">
        <v>5</v>
      </c>
      <c r="K2074" s="7" t="s">
        <v>38</v>
      </c>
      <c r="L2074" s="7">
        <v>2</v>
      </c>
      <c r="M2074" s="7">
        <v>12</v>
      </c>
      <c r="N2074" s="7" t="s">
        <v>28</v>
      </c>
    </row>
    <row r="2075" spans="1:14" x14ac:dyDescent="0.3">
      <c r="A2075" s="3" t="s">
        <v>2158</v>
      </c>
      <c r="B2075" s="3" t="s">
        <v>49</v>
      </c>
      <c r="C2075" s="3">
        <v>1</v>
      </c>
      <c r="D2075" s="6">
        <v>34.299999999999997</v>
      </c>
      <c r="E2075" s="6">
        <v>34.299999999999997</v>
      </c>
      <c r="F2075" s="5">
        <v>45733</v>
      </c>
      <c r="G2075" s="5">
        <v>45734</v>
      </c>
      <c r="H2075" s="3" t="s">
        <v>31</v>
      </c>
      <c r="I2075" s="4" t="s">
        <v>75</v>
      </c>
      <c r="J2075" s="3">
        <v>5</v>
      </c>
      <c r="K2075" s="3" t="s">
        <v>38</v>
      </c>
      <c r="L2075" s="3">
        <v>1</v>
      </c>
      <c r="M2075" s="3">
        <v>12</v>
      </c>
      <c r="N2075" s="3" t="s">
        <v>33</v>
      </c>
    </row>
    <row r="2076" spans="1:14" x14ac:dyDescent="0.3">
      <c r="A2076" s="7" t="s">
        <v>2159</v>
      </c>
      <c r="B2076" s="7" t="s">
        <v>42</v>
      </c>
      <c r="C2076" s="7">
        <v>2</v>
      </c>
      <c r="D2076" s="10">
        <v>27.8</v>
      </c>
      <c r="E2076" s="10">
        <v>55.6</v>
      </c>
      <c r="F2076" s="9">
        <v>45734</v>
      </c>
      <c r="G2076" s="9">
        <v>45736</v>
      </c>
      <c r="H2076" s="7" t="s">
        <v>31</v>
      </c>
      <c r="I2076" s="8" t="s">
        <v>21</v>
      </c>
      <c r="J2076" s="7">
        <v>4</v>
      </c>
      <c r="K2076" s="7" t="s">
        <v>38</v>
      </c>
      <c r="L2076" s="7">
        <v>2</v>
      </c>
      <c r="M2076" s="7">
        <v>12</v>
      </c>
      <c r="N2076" s="7" t="s">
        <v>33</v>
      </c>
    </row>
    <row r="2077" spans="1:14" x14ac:dyDescent="0.3">
      <c r="A2077" s="3" t="s">
        <v>2160</v>
      </c>
      <c r="B2077" s="3" t="s">
        <v>74</v>
      </c>
      <c r="C2077" s="3">
        <v>2</v>
      </c>
      <c r="D2077" s="6">
        <v>85</v>
      </c>
      <c r="E2077" s="6">
        <v>170</v>
      </c>
      <c r="F2077" s="5">
        <v>45734</v>
      </c>
      <c r="G2077" s="5">
        <v>45734</v>
      </c>
      <c r="H2077" s="3" t="s">
        <v>26</v>
      </c>
      <c r="I2077" s="4" t="s">
        <v>45</v>
      </c>
      <c r="J2077" s="3">
        <v>5</v>
      </c>
      <c r="K2077" s="3" t="s">
        <v>38</v>
      </c>
      <c r="L2077" s="3">
        <v>0</v>
      </c>
      <c r="M2077" s="3">
        <v>12</v>
      </c>
      <c r="N2077" s="3" t="s">
        <v>28</v>
      </c>
    </row>
    <row r="2078" spans="1:14" x14ac:dyDescent="0.3">
      <c r="A2078" s="7" t="s">
        <v>2161</v>
      </c>
      <c r="B2078" s="7" t="s">
        <v>44</v>
      </c>
      <c r="C2078" s="7">
        <v>2</v>
      </c>
      <c r="D2078" s="10">
        <v>95</v>
      </c>
      <c r="E2078" s="10">
        <v>190</v>
      </c>
      <c r="F2078" s="9">
        <v>45734</v>
      </c>
      <c r="G2078" s="9">
        <v>45736</v>
      </c>
      <c r="H2078" s="7" t="s">
        <v>31</v>
      </c>
      <c r="I2078" s="8" t="s">
        <v>21</v>
      </c>
      <c r="J2078" s="7">
        <v>4</v>
      </c>
      <c r="K2078" s="7" t="s">
        <v>38</v>
      </c>
      <c r="L2078" s="7">
        <v>2</v>
      </c>
      <c r="M2078" s="7">
        <v>12</v>
      </c>
      <c r="N2078" s="7" t="s">
        <v>33</v>
      </c>
    </row>
    <row r="2079" spans="1:14" x14ac:dyDescent="0.3">
      <c r="A2079" s="3" t="s">
        <v>2162</v>
      </c>
      <c r="B2079" s="3" t="s">
        <v>134</v>
      </c>
      <c r="C2079" s="3">
        <v>2</v>
      </c>
      <c r="D2079" s="6">
        <v>32</v>
      </c>
      <c r="E2079" s="6">
        <v>64</v>
      </c>
      <c r="F2079" s="5">
        <v>45734</v>
      </c>
      <c r="G2079" s="5">
        <v>45736</v>
      </c>
      <c r="H2079" s="3" t="s">
        <v>26</v>
      </c>
      <c r="I2079" s="4" t="s">
        <v>21</v>
      </c>
      <c r="J2079" s="3">
        <v>3</v>
      </c>
      <c r="K2079" s="3" t="s">
        <v>38</v>
      </c>
      <c r="L2079" s="3">
        <v>2</v>
      </c>
      <c r="M2079" s="3">
        <v>12</v>
      </c>
      <c r="N2079" s="3" t="s">
        <v>28</v>
      </c>
    </row>
    <row r="2080" spans="1:14" x14ac:dyDescent="0.3">
      <c r="A2080" s="7" t="s">
        <v>2163</v>
      </c>
      <c r="B2080" s="7" t="s">
        <v>30</v>
      </c>
      <c r="C2080" s="7">
        <v>2</v>
      </c>
      <c r="D2080" s="10">
        <v>65.2</v>
      </c>
      <c r="E2080" s="10">
        <v>130.4</v>
      </c>
      <c r="F2080" s="9">
        <v>45734</v>
      </c>
      <c r="G2080" s="9">
        <v>45735</v>
      </c>
      <c r="H2080" s="7" t="s">
        <v>31</v>
      </c>
      <c r="I2080" s="8" t="s">
        <v>40</v>
      </c>
      <c r="J2080" s="7">
        <v>4</v>
      </c>
      <c r="K2080" s="7" t="s">
        <v>38</v>
      </c>
      <c r="L2080" s="7">
        <v>1</v>
      </c>
      <c r="M2080" s="7">
        <v>12</v>
      </c>
      <c r="N2080" s="7" t="s">
        <v>33</v>
      </c>
    </row>
    <row r="2081" spans="1:14" x14ac:dyDescent="0.3">
      <c r="A2081" s="3" t="s">
        <v>2164</v>
      </c>
      <c r="B2081" s="3" t="s">
        <v>141</v>
      </c>
      <c r="C2081" s="3">
        <v>4</v>
      </c>
      <c r="D2081" s="6">
        <v>22</v>
      </c>
      <c r="E2081" s="6">
        <v>88</v>
      </c>
      <c r="F2081" s="5">
        <v>45734</v>
      </c>
      <c r="G2081" s="5">
        <v>45735</v>
      </c>
      <c r="H2081" s="3" t="s">
        <v>26</v>
      </c>
      <c r="I2081" s="4" t="s">
        <v>40</v>
      </c>
      <c r="J2081" s="3">
        <v>5</v>
      </c>
      <c r="K2081" s="3" t="s">
        <v>38</v>
      </c>
      <c r="L2081" s="3">
        <v>1</v>
      </c>
      <c r="M2081" s="3">
        <v>12</v>
      </c>
      <c r="N2081" s="3" t="s">
        <v>28</v>
      </c>
    </row>
    <row r="2082" spans="1:14" x14ac:dyDescent="0.3">
      <c r="A2082" s="7" t="s">
        <v>2165</v>
      </c>
      <c r="B2082" s="7" t="s">
        <v>129</v>
      </c>
      <c r="C2082" s="7">
        <v>3</v>
      </c>
      <c r="D2082" s="10">
        <v>69.400000000000006</v>
      </c>
      <c r="E2082" s="10">
        <v>208.2</v>
      </c>
      <c r="F2082" s="9">
        <v>45734</v>
      </c>
      <c r="G2082" s="9">
        <v>45737</v>
      </c>
      <c r="H2082" s="7" t="s">
        <v>26</v>
      </c>
      <c r="I2082" s="8" t="s">
        <v>40</v>
      </c>
      <c r="J2082" s="7">
        <v>5</v>
      </c>
      <c r="K2082" s="7" t="s">
        <v>38</v>
      </c>
      <c r="L2082" s="7">
        <v>3</v>
      </c>
      <c r="M2082" s="7">
        <v>12</v>
      </c>
      <c r="N2082" s="7" t="s">
        <v>28</v>
      </c>
    </row>
    <row r="2083" spans="1:14" x14ac:dyDescent="0.3">
      <c r="A2083" s="3" t="s">
        <v>2166</v>
      </c>
      <c r="B2083" s="3" t="s">
        <v>59</v>
      </c>
      <c r="C2083" s="3">
        <v>6</v>
      </c>
      <c r="D2083" s="6">
        <v>31.5</v>
      </c>
      <c r="E2083" s="6">
        <v>189</v>
      </c>
      <c r="F2083" s="5">
        <v>45734</v>
      </c>
      <c r="G2083" s="5">
        <v>45736</v>
      </c>
      <c r="H2083" s="3" t="s">
        <v>31</v>
      </c>
      <c r="I2083" s="4" t="s">
        <v>21</v>
      </c>
      <c r="J2083" s="3">
        <v>5</v>
      </c>
      <c r="K2083" s="3" t="s">
        <v>38</v>
      </c>
      <c r="L2083" s="3">
        <v>2</v>
      </c>
      <c r="M2083" s="3">
        <v>12</v>
      </c>
      <c r="N2083" s="3" t="s">
        <v>33</v>
      </c>
    </row>
    <row r="2084" spans="1:14" x14ac:dyDescent="0.3">
      <c r="A2084" s="7" t="s">
        <v>2167</v>
      </c>
      <c r="B2084" s="7" t="s">
        <v>44</v>
      </c>
      <c r="C2084" s="7">
        <v>1</v>
      </c>
      <c r="D2084" s="10">
        <v>45.8</v>
      </c>
      <c r="E2084" s="10">
        <v>45.8</v>
      </c>
      <c r="F2084" s="9">
        <v>45734</v>
      </c>
      <c r="G2084" s="9">
        <v>45738</v>
      </c>
      <c r="H2084" s="7" t="s">
        <v>94</v>
      </c>
      <c r="I2084" s="8" t="s">
        <v>21</v>
      </c>
      <c r="J2084" s="7">
        <v>4</v>
      </c>
      <c r="K2084" s="7" t="s">
        <v>38</v>
      </c>
      <c r="L2084" s="7">
        <v>4</v>
      </c>
      <c r="M2084" s="7">
        <v>12</v>
      </c>
      <c r="N2084" s="7" t="s">
        <v>95</v>
      </c>
    </row>
    <row r="2085" spans="1:14" x14ac:dyDescent="0.3">
      <c r="A2085" s="3" t="s">
        <v>2168</v>
      </c>
      <c r="B2085" s="3" t="s">
        <v>177</v>
      </c>
      <c r="C2085" s="3">
        <v>4</v>
      </c>
      <c r="D2085" s="6">
        <v>12.8</v>
      </c>
      <c r="E2085" s="6">
        <v>51.2</v>
      </c>
      <c r="F2085" s="5">
        <v>45734</v>
      </c>
      <c r="G2085" s="5">
        <v>45741</v>
      </c>
      <c r="H2085" s="3" t="s">
        <v>31</v>
      </c>
      <c r="I2085" s="4" t="s">
        <v>40</v>
      </c>
      <c r="J2085" s="3">
        <v>3</v>
      </c>
      <c r="K2085" s="3" t="s">
        <v>57</v>
      </c>
      <c r="L2085" s="3">
        <v>7</v>
      </c>
      <c r="M2085" s="3">
        <v>12</v>
      </c>
      <c r="N2085" s="3" t="s">
        <v>33</v>
      </c>
    </row>
    <row r="2086" spans="1:14" x14ac:dyDescent="0.3">
      <c r="A2086" s="7" t="s">
        <v>2169</v>
      </c>
      <c r="B2086" s="7" t="s">
        <v>42</v>
      </c>
      <c r="C2086" s="7">
        <v>3</v>
      </c>
      <c r="D2086" s="10">
        <v>115.3</v>
      </c>
      <c r="E2086" s="10">
        <v>345.9</v>
      </c>
      <c r="F2086" s="9">
        <v>45734</v>
      </c>
      <c r="G2086" s="9">
        <v>45735</v>
      </c>
      <c r="H2086" s="7" t="s">
        <v>31</v>
      </c>
      <c r="I2086" s="8" t="s">
        <v>45</v>
      </c>
      <c r="J2086" s="7">
        <v>5</v>
      </c>
      <c r="K2086" s="7" t="s">
        <v>60</v>
      </c>
      <c r="L2086" s="7">
        <v>1</v>
      </c>
      <c r="M2086" s="7">
        <v>12</v>
      </c>
      <c r="N2086" s="7" t="s">
        <v>33</v>
      </c>
    </row>
    <row r="2087" spans="1:14" x14ac:dyDescent="0.3">
      <c r="A2087" s="3" t="s">
        <v>2170</v>
      </c>
      <c r="B2087" s="3" t="s">
        <v>42</v>
      </c>
      <c r="C2087" s="3">
        <v>2</v>
      </c>
      <c r="D2087" s="6">
        <v>85</v>
      </c>
      <c r="E2087" s="6">
        <v>170</v>
      </c>
      <c r="F2087" s="5">
        <v>45734</v>
      </c>
      <c r="G2087" s="5">
        <v>45736</v>
      </c>
      <c r="H2087" s="3" t="s">
        <v>31</v>
      </c>
      <c r="I2087" s="4" t="s">
        <v>40</v>
      </c>
      <c r="J2087" s="3">
        <v>4</v>
      </c>
      <c r="K2087" s="3" t="s">
        <v>64</v>
      </c>
      <c r="L2087" s="3">
        <v>2</v>
      </c>
      <c r="M2087" s="3">
        <v>12</v>
      </c>
      <c r="N2087" s="3" t="s">
        <v>33</v>
      </c>
    </row>
    <row r="2088" spans="1:14" x14ac:dyDescent="0.3">
      <c r="A2088" s="7" t="s">
        <v>2171</v>
      </c>
      <c r="B2088" s="7" t="s">
        <v>49</v>
      </c>
      <c r="C2088" s="7">
        <v>3</v>
      </c>
      <c r="D2088" s="10">
        <v>56.6</v>
      </c>
      <c r="E2088" s="10">
        <v>169.8</v>
      </c>
      <c r="F2088" s="9">
        <v>45734</v>
      </c>
      <c r="G2088" s="9">
        <v>45735</v>
      </c>
      <c r="H2088" s="7" t="s">
        <v>31</v>
      </c>
      <c r="I2088" s="8" t="s">
        <v>40</v>
      </c>
      <c r="J2088" s="7">
        <v>5</v>
      </c>
      <c r="K2088" s="7" t="s">
        <v>64</v>
      </c>
      <c r="L2088" s="7">
        <v>1</v>
      </c>
      <c r="M2088" s="7">
        <v>12</v>
      </c>
      <c r="N2088" s="7" t="s">
        <v>33</v>
      </c>
    </row>
    <row r="2089" spans="1:14" x14ac:dyDescent="0.3">
      <c r="A2089" s="3" t="s">
        <v>2172</v>
      </c>
      <c r="B2089" s="3" t="s">
        <v>129</v>
      </c>
      <c r="C2089" s="3">
        <v>27</v>
      </c>
      <c r="D2089" s="6">
        <v>46.3</v>
      </c>
      <c r="E2089" s="6">
        <v>1250.0999999999999</v>
      </c>
      <c r="F2089" s="5">
        <v>45734</v>
      </c>
      <c r="G2089" s="5">
        <v>45737</v>
      </c>
      <c r="H2089" s="3" t="s">
        <v>26</v>
      </c>
      <c r="I2089" s="4" t="s">
        <v>21</v>
      </c>
      <c r="J2089" s="3">
        <v>4</v>
      </c>
      <c r="K2089" s="3" t="s">
        <v>64</v>
      </c>
      <c r="L2089" s="3">
        <v>3</v>
      </c>
      <c r="M2089" s="3">
        <v>12</v>
      </c>
      <c r="N2089" s="3" t="s">
        <v>28</v>
      </c>
    </row>
    <row r="2090" spans="1:14" x14ac:dyDescent="0.3">
      <c r="A2090" s="7" t="s">
        <v>2173</v>
      </c>
      <c r="B2090" s="7" t="s">
        <v>86</v>
      </c>
      <c r="C2090" s="7">
        <v>4</v>
      </c>
      <c r="D2090" s="10">
        <v>23</v>
      </c>
      <c r="E2090" s="10">
        <v>92</v>
      </c>
      <c r="F2090" s="9">
        <v>45734</v>
      </c>
      <c r="G2090" s="9">
        <v>45738</v>
      </c>
      <c r="H2090" s="7" t="s">
        <v>26</v>
      </c>
      <c r="I2090" s="8" t="s">
        <v>56</v>
      </c>
      <c r="J2090" s="7">
        <v>5</v>
      </c>
      <c r="K2090" s="7" t="s">
        <v>64</v>
      </c>
      <c r="L2090" s="7">
        <v>4</v>
      </c>
      <c r="M2090" s="7">
        <v>12</v>
      </c>
      <c r="N2090" s="7" t="s">
        <v>28</v>
      </c>
    </row>
    <row r="2091" spans="1:14" x14ac:dyDescent="0.3">
      <c r="A2091" s="3" t="s">
        <v>2174</v>
      </c>
      <c r="B2091" s="3" t="s">
        <v>49</v>
      </c>
      <c r="C2091" s="3">
        <v>6</v>
      </c>
      <c r="D2091" s="6">
        <v>42.1</v>
      </c>
      <c r="E2091" s="6">
        <v>252.6</v>
      </c>
      <c r="F2091" s="5">
        <v>45734</v>
      </c>
      <c r="G2091" s="5">
        <v>45736</v>
      </c>
      <c r="H2091" s="3" t="s">
        <v>26</v>
      </c>
      <c r="I2091" s="4" t="s">
        <v>75</v>
      </c>
      <c r="J2091" s="3">
        <v>4</v>
      </c>
      <c r="K2091" s="3" t="s">
        <v>67</v>
      </c>
      <c r="L2091" s="3">
        <v>2</v>
      </c>
      <c r="M2091" s="3">
        <v>12</v>
      </c>
      <c r="N2091" s="3" t="s">
        <v>28</v>
      </c>
    </row>
    <row r="2092" spans="1:14" x14ac:dyDescent="0.3">
      <c r="A2092" s="7" t="s">
        <v>2175</v>
      </c>
      <c r="B2092" s="7" t="s">
        <v>42</v>
      </c>
      <c r="C2092" s="7">
        <v>7</v>
      </c>
      <c r="D2092" s="10">
        <v>57.4</v>
      </c>
      <c r="E2092" s="10">
        <v>401.8</v>
      </c>
      <c r="F2092" s="9">
        <v>45734</v>
      </c>
      <c r="G2092" s="9">
        <v>45738</v>
      </c>
      <c r="H2092" s="7" t="s">
        <v>31</v>
      </c>
      <c r="I2092" s="8" t="s">
        <v>40</v>
      </c>
      <c r="J2092" s="7">
        <v>2</v>
      </c>
      <c r="K2092" s="7" t="s">
        <v>67</v>
      </c>
      <c r="L2092" s="7">
        <v>4</v>
      </c>
      <c r="M2092" s="7">
        <v>12</v>
      </c>
      <c r="N2092" s="7" t="s">
        <v>33</v>
      </c>
    </row>
    <row r="2093" spans="1:14" x14ac:dyDescent="0.3">
      <c r="A2093" s="3" t="s">
        <v>2176</v>
      </c>
      <c r="B2093" s="3" t="s">
        <v>20</v>
      </c>
      <c r="C2093" s="3">
        <v>6</v>
      </c>
      <c r="D2093" s="6">
        <v>13.2</v>
      </c>
      <c r="E2093" s="6">
        <v>79.199999999999989</v>
      </c>
      <c r="F2093" s="5">
        <v>45734</v>
      </c>
      <c r="G2093" s="5">
        <v>45738</v>
      </c>
      <c r="H2093" s="3" t="s">
        <v>26</v>
      </c>
      <c r="I2093" s="4" t="s">
        <v>45</v>
      </c>
      <c r="J2093" s="3">
        <v>4</v>
      </c>
      <c r="K2093" s="3" t="s">
        <v>67</v>
      </c>
      <c r="L2093" s="3">
        <v>4</v>
      </c>
      <c r="M2093" s="3">
        <v>12</v>
      </c>
      <c r="N2093" s="3" t="s">
        <v>28</v>
      </c>
    </row>
    <row r="2094" spans="1:14" x14ac:dyDescent="0.3">
      <c r="A2094" s="7" t="s">
        <v>2177</v>
      </c>
      <c r="B2094" s="7" t="s">
        <v>44</v>
      </c>
      <c r="C2094" s="7">
        <v>3</v>
      </c>
      <c r="D2094" s="10">
        <v>52.3</v>
      </c>
      <c r="E2094" s="10">
        <v>156.9</v>
      </c>
      <c r="F2094" s="9">
        <v>45734</v>
      </c>
      <c r="G2094" s="9">
        <v>45735</v>
      </c>
      <c r="H2094" s="7" t="s">
        <v>26</v>
      </c>
      <c r="I2094" s="8" t="s">
        <v>40</v>
      </c>
      <c r="J2094" s="7">
        <v>4</v>
      </c>
      <c r="K2094" s="7" t="s">
        <v>67</v>
      </c>
      <c r="L2094" s="7">
        <v>1</v>
      </c>
      <c r="M2094" s="7">
        <v>12</v>
      </c>
      <c r="N2094" s="7" t="s">
        <v>28</v>
      </c>
    </row>
    <row r="2095" spans="1:14" x14ac:dyDescent="0.3">
      <c r="A2095" s="3" t="s">
        <v>2178</v>
      </c>
      <c r="B2095" s="3" t="s">
        <v>49</v>
      </c>
      <c r="C2095" s="3">
        <v>2</v>
      </c>
      <c r="D2095" s="6">
        <v>15.7</v>
      </c>
      <c r="E2095" s="6">
        <v>31.4</v>
      </c>
      <c r="F2095" s="5">
        <v>45734</v>
      </c>
      <c r="G2095" s="5">
        <v>45737</v>
      </c>
      <c r="H2095" s="3" t="s">
        <v>26</v>
      </c>
      <c r="I2095" s="4" t="s">
        <v>40</v>
      </c>
      <c r="J2095" s="3">
        <v>5</v>
      </c>
      <c r="K2095" s="3" t="s">
        <v>67</v>
      </c>
      <c r="L2095" s="3">
        <v>3</v>
      </c>
      <c r="M2095" s="3">
        <v>12</v>
      </c>
      <c r="N2095" s="3" t="s">
        <v>28</v>
      </c>
    </row>
    <row r="2096" spans="1:14" x14ac:dyDescent="0.3">
      <c r="A2096" s="7" t="s">
        <v>2179</v>
      </c>
      <c r="B2096" s="7" t="s">
        <v>47</v>
      </c>
      <c r="C2096" s="7">
        <v>3</v>
      </c>
      <c r="D2096" s="10">
        <v>35</v>
      </c>
      <c r="E2096" s="10">
        <v>105</v>
      </c>
      <c r="F2096" s="9">
        <v>45734</v>
      </c>
      <c r="G2096" s="9">
        <v>45737</v>
      </c>
      <c r="H2096" s="7" t="s">
        <v>31</v>
      </c>
      <c r="I2096" s="8" t="s">
        <v>40</v>
      </c>
      <c r="J2096" s="7">
        <v>5</v>
      </c>
      <c r="K2096" s="7" t="s">
        <v>77</v>
      </c>
      <c r="L2096" s="7">
        <v>3</v>
      </c>
      <c r="M2096" s="7">
        <v>12</v>
      </c>
      <c r="N2096" s="7" t="s">
        <v>33</v>
      </c>
    </row>
    <row r="2097" spans="1:14" x14ac:dyDescent="0.3">
      <c r="A2097" s="3" t="s">
        <v>2180</v>
      </c>
      <c r="B2097" s="3" t="s">
        <v>37</v>
      </c>
      <c r="C2097" s="3">
        <v>3</v>
      </c>
      <c r="D2097" s="6">
        <v>26.6</v>
      </c>
      <c r="E2097" s="6">
        <v>79.800000000000011</v>
      </c>
      <c r="F2097" s="5">
        <v>45734</v>
      </c>
      <c r="G2097" s="5">
        <v>45734</v>
      </c>
      <c r="H2097" s="3" t="s">
        <v>26</v>
      </c>
      <c r="I2097" s="4" t="s">
        <v>40</v>
      </c>
      <c r="J2097" s="3">
        <v>5</v>
      </c>
      <c r="K2097" s="3" t="s">
        <v>82</v>
      </c>
      <c r="L2097" s="3">
        <v>0</v>
      </c>
      <c r="M2097" s="3">
        <v>12</v>
      </c>
      <c r="N2097" s="3" t="s">
        <v>28</v>
      </c>
    </row>
    <row r="2098" spans="1:14" x14ac:dyDescent="0.3">
      <c r="A2098" s="7" t="s">
        <v>2181</v>
      </c>
      <c r="B2098" s="7" t="s">
        <v>37</v>
      </c>
      <c r="C2098" s="7">
        <v>8</v>
      </c>
      <c r="D2098" s="10">
        <v>47.9</v>
      </c>
      <c r="E2098" s="10">
        <v>383.2</v>
      </c>
      <c r="F2098" s="9">
        <v>45735</v>
      </c>
      <c r="G2098" s="9">
        <v>45736</v>
      </c>
      <c r="H2098" s="7" t="s">
        <v>31</v>
      </c>
      <c r="I2098" s="8" t="s">
        <v>56</v>
      </c>
      <c r="J2098" s="7">
        <v>5</v>
      </c>
      <c r="K2098" s="7" t="s">
        <v>119</v>
      </c>
      <c r="L2098" s="7">
        <v>1</v>
      </c>
      <c r="M2098" s="7">
        <v>12</v>
      </c>
      <c r="N2098" s="7" t="s">
        <v>33</v>
      </c>
    </row>
    <row r="2099" spans="1:14" x14ac:dyDescent="0.3">
      <c r="A2099" s="3" t="s">
        <v>2182</v>
      </c>
      <c r="B2099" s="3" t="s">
        <v>42</v>
      </c>
      <c r="C2099" s="3">
        <v>1</v>
      </c>
      <c r="D2099" s="6">
        <v>80.099999999999994</v>
      </c>
      <c r="E2099" s="6">
        <v>80.099999999999994</v>
      </c>
      <c r="F2099" s="5">
        <v>45735</v>
      </c>
      <c r="G2099" s="5">
        <v>45736</v>
      </c>
      <c r="H2099" s="3" t="s">
        <v>26</v>
      </c>
      <c r="I2099" s="4" t="s">
        <v>45</v>
      </c>
      <c r="J2099" s="3">
        <v>4</v>
      </c>
      <c r="K2099" s="3" t="s">
        <v>121</v>
      </c>
      <c r="L2099" s="3">
        <v>1</v>
      </c>
      <c r="M2099" s="3">
        <v>12</v>
      </c>
      <c r="N2099" s="3" t="s">
        <v>28</v>
      </c>
    </row>
    <row r="2100" spans="1:14" x14ac:dyDescent="0.3">
      <c r="A2100" s="7" t="s">
        <v>2183</v>
      </c>
      <c r="B2100" s="7" t="s">
        <v>44</v>
      </c>
      <c r="C2100" s="7">
        <v>5</v>
      </c>
      <c r="D2100" s="10">
        <v>50.4</v>
      </c>
      <c r="E2100" s="10">
        <v>252</v>
      </c>
      <c r="F2100" s="9">
        <v>45735</v>
      </c>
      <c r="G2100" s="9">
        <v>45736</v>
      </c>
      <c r="H2100" s="7" t="s">
        <v>26</v>
      </c>
      <c r="I2100" s="8" t="s">
        <v>40</v>
      </c>
      <c r="J2100" s="7">
        <v>5</v>
      </c>
      <c r="K2100" s="7" t="s">
        <v>121</v>
      </c>
      <c r="L2100" s="7">
        <v>1</v>
      </c>
      <c r="M2100" s="7">
        <v>12</v>
      </c>
      <c r="N2100" s="7" t="s">
        <v>28</v>
      </c>
    </row>
    <row r="2101" spans="1:14" x14ac:dyDescent="0.3">
      <c r="A2101" s="3" t="s">
        <v>2184</v>
      </c>
      <c r="B2101" s="3" t="s">
        <v>59</v>
      </c>
      <c r="C2101" s="3">
        <v>7</v>
      </c>
      <c r="D2101" s="6">
        <v>43.3</v>
      </c>
      <c r="E2101" s="6">
        <v>303.10000000000002</v>
      </c>
      <c r="F2101" s="5">
        <v>45735</v>
      </c>
      <c r="G2101" s="5">
        <v>45736</v>
      </c>
      <c r="H2101" s="3" t="s">
        <v>26</v>
      </c>
      <c r="I2101" s="4" t="s">
        <v>45</v>
      </c>
      <c r="J2101" s="3">
        <v>4</v>
      </c>
      <c r="K2101" s="3" t="s">
        <v>121</v>
      </c>
      <c r="L2101" s="3">
        <v>1</v>
      </c>
      <c r="M2101" s="3">
        <v>12</v>
      </c>
      <c r="N2101" s="3" t="s">
        <v>28</v>
      </c>
    </row>
    <row r="2102" spans="1:14" x14ac:dyDescent="0.3">
      <c r="A2102" s="7" t="s">
        <v>2185</v>
      </c>
      <c r="B2102" s="7" t="s">
        <v>59</v>
      </c>
      <c r="C2102" s="7">
        <v>4</v>
      </c>
      <c r="D2102" s="10">
        <v>57.5</v>
      </c>
      <c r="E2102" s="10">
        <v>230</v>
      </c>
      <c r="F2102" s="9">
        <v>45735</v>
      </c>
      <c r="G2102" s="9">
        <v>45736</v>
      </c>
      <c r="H2102" s="7" t="s">
        <v>31</v>
      </c>
      <c r="I2102" s="8" t="s">
        <v>40</v>
      </c>
      <c r="J2102" s="7">
        <v>5</v>
      </c>
      <c r="K2102" s="7" t="s">
        <v>27</v>
      </c>
      <c r="L2102" s="7">
        <v>1</v>
      </c>
      <c r="M2102" s="7">
        <v>12</v>
      </c>
      <c r="N2102" s="7" t="s">
        <v>33</v>
      </c>
    </row>
    <row r="2103" spans="1:14" x14ac:dyDescent="0.3">
      <c r="A2103" s="3" t="s">
        <v>2186</v>
      </c>
      <c r="B2103" s="3" t="s">
        <v>51</v>
      </c>
      <c r="C2103" s="3">
        <v>13</v>
      </c>
      <c r="D2103" s="6">
        <v>24.8</v>
      </c>
      <c r="E2103" s="6">
        <v>322.39999999999998</v>
      </c>
      <c r="F2103" s="5">
        <v>45735</v>
      </c>
      <c r="G2103" s="5">
        <v>45736</v>
      </c>
      <c r="H2103" s="3" t="s">
        <v>26</v>
      </c>
      <c r="I2103" s="4" t="s">
        <v>21</v>
      </c>
      <c r="J2103" s="3">
        <v>4</v>
      </c>
      <c r="K2103" s="3" t="s">
        <v>337</v>
      </c>
      <c r="L2103" s="3">
        <v>1</v>
      </c>
      <c r="M2103" s="3">
        <v>12</v>
      </c>
      <c r="N2103" s="3" t="s">
        <v>28</v>
      </c>
    </row>
    <row r="2104" spans="1:14" x14ac:dyDescent="0.3">
      <c r="A2104" s="7" t="s">
        <v>2187</v>
      </c>
      <c r="B2104" s="7" t="s">
        <v>30</v>
      </c>
      <c r="C2104" s="7">
        <v>9</v>
      </c>
      <c r="D2104" s="10">
        <v>85.7</v>
      </c>
      <c r="E2104" s="10">
        <v>771.30000000000007</v>
      </c>
      <c r="F2104" s="9">
        <v>45735</v>
      </c>
      <c r="G2104" s="9">
        <v>45736</v>
      </c>
      <c r="H2104" s="7" t="s">
        <v>31</v>
      </c>
      <c r="I2104" s="8" t="s">
        <v>21</v>
      </c>
      <c r="J2104" s="7">
        <v>4</v>
      </c>
      <c r="K2104" s="7" t="s">
        <v>114</v>
      </c>
      <c r="L2104" s="7">
        <v>1</v>
      </c>
      <c r="M2104" s="7">
        <v>12</v>
      </c>
      <c r="N2104" s="7" t="s">
        <v>33</v>
      </c>
    </row>
    <row r="2105" spans="1:14" x14ac:dyDescent="0.3">
      <c r="A2105" s="3" t="s">
        <v>2188</v>
      </c>
      <c r="B2105" s="3" t="s">
        <v>47</v>
      </c>
      <c r="C2105" s="3">
        <v>1</v>
      </c>
      <c r="D2105" s="6">
        <v>47.1</v>
      </c>
      <c r="E2105" s="6">
        <v>47.1</v>
      </c>
      <c r="F2105" s="5">
        <v>45735</v>
      </c>
      <c r="G2105" s="5">
        <v>45737</v>
      </c>
      <c r="H2105" s="3" t="s">
        <v>31</v>
      </c>
      <c r="I2105" s="4" t="s">
        <v>21</v>
      </c>
      <c r="J2105" s="3">
        <v>4</v>
      </c>
      <c r="K2105" s="3" t="s">
        <v>32</v>
      </c>
      <c r="L2105" s="3">
        <v>2</v>
      </c>
      <c r="M2105" s="3">
        <v>12</v>
      </c>
      <c r="N2105" s="3" t="s">
        <v>33</v>
      </c>
    </row>
    <row r="2106" spans="1:14" x14ac:dyDescent="0.3">
      <c r="A2106" s="7" t="s">
        <v>2189</v>
      </c>
      <c r="B2106" s="7" t="s">
        <v>42</v>
      </c>
      <c r="C2106" s="7">
        <v>10</v>
      </c>
      <c r="D2106" s="10">
        <v>83.2</v>
      </c>
      <c r="E2106" s="10">
        <v>832</v>
      </c>
      <c r="F2106" s="9">
        <v>45735</v>
      </c>
      <c r="G2106" s="9">
        <v>45739</v>
      </c>
      <c r="H2106" s="7" t="s">
        <v>31</v>
      </c>
      <c r="I2106" s="8" t="s">
        <v>21</v>
      </c>
      <c r="J2106" s="7">
        <v>4</v>
      </c>
      <c r="K2106" s="7" t="s">
        <v>337</v>
      </c>
      <c r="L2106" s="7">
        <v>4</v>
      </c>
      <c r="M2106" s="7">
        <v>12</v>
      </c>
      <c r="N2106" s="7" t="s">
        <v>33</v>
      </c>
    </row>
    <row r="2107" spans="1:14" x14ac:dyDescent="0.3">
      <c r="A2107" s="3" t="s">
        <v>2190</v>
      </c>
      <c r="B2107" s="3" t="s">
        <v>30</v>
      </c>
      <c r="C2107" s="3">
        <v>3</v>
      </c>
      <c r="D2107" s="6">
        <v>157</v>
      </c>
      <c r="E2107" s="6">
        <v>471</v>
      </c>
      <c r="F2107" s="5">
        <v>45735</v>
      </c>
      <c r="G2107" s="5">
        <v>45737</v>
      </c>
      <c r="H2107" s="3" t="s">
        <v>31</v>
      </c>
      <c r="I2107" s="4" t="s">
        <v>21</v>
      </c>
      <c r="J2107" s="3">
        <v>5</v>
      </c>
      <c r="K2107" s="3" t="s">
        <v>153</v>
      </c>
      <c r="L2107" s="3">
        <v>2</v>
      </c>
      <c r="M2107" s="3">
        <v>12</v>
      </c>
      <c r="N2107" s="3" t="s">
        <v>33</v>
      </c>
    </row>
    <row r="2108" spans="1:14" x14ac:dyDescent="0.3">
      <c r="A2108" s="7" t="s">
        <v>2191</v>
      </c>
      <c r="B2108" s="7" t="s">
        <v>134</v>
      </c>
      <c r="C2108" s="7">
        <v>4</v>
      </c>
      <c r="D2108" s="10">
        <v>33.700000000000003</v>
      </c>
      <c r="E2108" s="10">
        <v>134.80000000000001</v>
      </c>
      <c r="F2108" s="9">
        <v>45735</v>
      </c>
      <c r="G2108" s="9">
        <v>45736</v>
      </c>
      <c r="H2108" s="7" t="s">
        <v>26</v>
      </c>
      <c r="I2108" s="8" t="s">
        <v>45</v>
      </c>
      <c r="J2108" s="7">
        <v>5</v>
      </c>
      <c r="K2108" s="7" t="s">
        <v>153</v>
      </c>
      <c r="L2108" s="7">
        <v>1</v>
      </c>
      <c r="M2108" s="7">
        <v>12</v>
      </c>
      <c r="N2108" s="7" t="s">
        <v>28</v>
      </c>
    </row>
    <row r="2109" spans="1:14" x14ac:dyDescent="0.3">
      <c r="A2109" s="3" t="s">
        <v>2192</v>
      </c>
      <c r="B2109" s="3" t="s">
        <v>30</v>
      </c>
      <c r="C2109" s="3">
        <v>3</v>
      </c>
      <c r="D2109" s="6">
        <v>60.8</v>
      </c>
      <c r="E2109" s="6">
        <v>182.4</v>
      </c>
      <c r="F2109" s="5">
        <v>45735</v>
      </c>
      <c r="G2109" s="5">
        <v>45739</v>
      </c>
      <c r="H2109" s="3" t="s">
        <v>31</v>
      </c>
      <c r="I2109" s="4" t="s">
        <v>40</v>
      </c>
      <c r="J2109" s="3">
        <v>3</v>
      </c>
      <c r="K2109" s="3" t="s">
        <v>38</v>
      </c>
      <c r="L2109" s="3">
        <v>4</v>
      </c>
      <c r="M2109" s="3">
        <v>12</v>
      </c>
      <c r="N2109" s="3" t="s">
        <v>33</v>
      </c>
    </row>
    <row r="2110" spans="1:14" x14ac:dyDescent="0.3">
      <c r="A2110" s="7" t="s">
        <v>2193</v>
      </c>
      <c r="B2110" s="7" t="s">
        <v>47</v>
      </c>
      <c r="C2110" s="7">
        <v>1</v>
      </c>
      <c r="D2110" s="10">
        <v>57.6</v>
      </c>
      <c r="E2110" s="10">
        <v>57.6</v>
      </c>
      <c r="F2110" s="9">
        <v>45735</v>
      </c>
      <c r="G2110" s="9">
        <v>45736</v>
      </c>
      <c r="H2110" s="7" t="s">
        <v>26</v>
      </c>
      <c r="I2110" s="8" t="s">
        <v>40</v>
      </c>
      <c r="J2110" s="7">
        <v>2</v>
      </c>
      <c r="K2110" s="7" t="s">
        <v>38</v>
      </c>
      <c r="L2110" s="7">
        <v>1</v>
      </c>
      <c r="M2110" s="7">
        <v>12</v>
      </c>
      <c r="N2110" s="7" t="s">
        <v>28</v>
      </c>
    </row>
    <row r="2111" spans="1:14" x14ac:dyDescent="0.3">
      <c r="A2111" s="3" t="s">
        <v>2194</v>
      </c>
      <c r="B2111" s="3" t="s">
        <v>59</v>
      </c>
      <c r="C2111" s="3">
        <v>1</v>
      </c>
      <c r="D2111" s="6">
        <v>32</v>
      </c>
      <c r="E2111" s="6">
        <v>32</v>
      </c>
      <c r="F2111" s="5">
        <v>45735</v>
      </c>
      <c r="G2111" s="5">
        <v>45737</v>
      </c>
      <c r="H2111" s="3" t="s">
        <v>26</v>
      </c>
      <c r="I2111" s="4" t="s">
        <v>21</v>
      </c>
      <c r="J2111" s="3">
        <v>4</v>
      </c>
      <c r="K2111" s="3" t="s">
        <v>38</v>
      </c>
      <c r="L2111" s="3">
        <v>2</v>
      </c>
      <c r="M2111" s="3">
        <v>12</v>
      </c>
      <c r="N2111" s="3" t="s">
        <v>28</v>
      </c>
    </row>
    <row r="2112" spans="1:14" x14ac:dyDescent="0.3">
      <c r="A2112" s="7" t="s">
        <v>2195</v>
      </c>
      <c r="B2112" s="7" t="s">
        <v>59</v>
      </c>
      <c r="C2112" s="7">
        <v>4</v>
      </c>
      <c r="D2112" s="10">
        <v>23.5</v>
      </c>
      <c r="E2112" s="10">
        <v>94</v>
      </c>
      <c r="F2112" s="9">
        <v>45735</v>
      </c>
      <c r="G2112" s="9">
        <v>45736</v>
      </c>
      <c r="H2112" s="7" t="s">
        <v>31</v>
      </c>
      <c r="I2112" s="8" t="s">
        <v>21</v>
      </c>
      <c r="J2112" s="7">
        <v>5</v>
      </c>
      <c r="K2112" s="7" t="s">
        <v>38</v>
      </c>
      <c r="L2112" s="7">
        <v>1</v>
      </c>
      <c r="M2112" s="7">
        <v>12</v>
      </c>
      <c r="N2112" s="7" t="s">
        <v>33</v>
      </c>
    </row>
    <row r="2113" spans="1:14" x14ac:dyDescent="0.3">
      <c r="A2113" s="3" t="s">
        <v>2196</v>
      </c>
      <c r="B2113" s="3" t="s">
        <v>74</v>
      </c>
      <c r="C2113" s="3">
        <v>3</v>
      </c>
      <c r="D2113" s="6">
        <v>44.8</v>
      </c>
      <c r="E2113" s="6">
        <v>134.4</v>
      </c>
      <c r="F2113" s="5">
        <v>45735</v>
      </c>
      <c r="G2113" s="5">
        <v>45736</v>
      </c>
      <c r="H2113" s="3" t="s">
        <v>94</v>
      </c>
      <c r="I2113" s="4" t="s">
        <v>75</v>
      </c>
      <c r="J2113" s="3">
        <v>4</v>
      </c>
      <c r="K2113" s="3" t="s">
        <v>38</v>
      </c>
      <c r="L2113" s="3">
        <v>1</v>
      </c>
      <c r="M2113" s="3">
        <v>12</v>
      </c>
      <c r="N2113" s="3" t="s">
        <v>95</v>
      </c>
    </row>
    <row r="2114" spans="1:14" x14ac:dyDescent="0.3">
      <c r="A2114" s="7" t="s">
        <v>2197</v>
      </c>
      <c r="B2114" s="7" t="s">
        <v>20</v>
      </c>
      <c r="C2114" s="7">
        <v>8</v>
      </c>
      <c r="D2114" s="10">
        <v>11.7</v>
      </c>
      <c r="E2114" s="10">
        <v>93.6</v>
      </c>
      <c r="F2114" s="9">
        <v>45735</v>
      </c>
      <c r="G2114" s="9">
        <v>45736</v>
      </c>
      <c r="H2114" s="7" t="s">
        <v>26</v>
      </c>
      <c r="I2114" s="8" t="s">
        <v>45</v>
      </c>
      <c r="J2114" s="7">
        <v>5</v>
      </c>
      <c r="K2114" s="7" t="s">
        <v>38</v>
      </c>
      <c r="L2114" s="7">
        <v>1</v>
      </c>
      <c r="M2114" s="7">
        <v>12</v>
      </c>
      <c r="N2114" s="7" t="s">
        <v>28</v>
      </c>
    </row>
    <row r="2115" spans="1:14" x14ac:dyDescent="0.3">
      <c r="A2115" s="3" t="s">
        <v>2198</v>
      </c>
      <c r="B2115" s="3" t="s">
        <v>47</v>
      </c>
      <c r="C2115" s="3">
        <v>2</v>
      </c>
      <c r="D2115" s="6">
        <v>38.799999999999997</v>
      </c>
      <c r="E2115" s="6">
        <v>77.599999999999994</v>
      </c>
      <c r="F2115" s="5">
        <v>45735</v>
      </c>
      <c r="G2115" s="5">
        <v>45738</v>
      </c>
      <c r="H2115" s="3" t="s">
        <v>31</v>
      </c>
      <c r="I2115" s="4" t="s">
        <v>45</v>
      </c>
      <c r="J2115" s="3">
        <v>4</v>
      </c>
      <c r="K2115" s="3" t="s">
        <v>38</v>
      </c>
      <c r="L2115" s="3">
        <v>3</v>
      </c>
      <c r="M2115" s="3">
        <v>12</v>
      </c>
      <c r="N2115" s="3" t="s">
        <v>33</v>
      </c>
    </row>
    <row r="2116" spans="1:14" x14ac:dyDescent="0.3">
      <c r="A2116" s="7" t="s">
        <v>2199</v>
      </c>
      <c r="B2116" s="7" t="s">
        <v>42</v>
      </c>
      <c r="C2116" s="7">
        <v>14</v>
      </c>
      <c r="D2116" s="10">
        <v>86.9</v>
      </c>
      <c r="E2116" s="10">
        <v>1216.5999999999999</v>
      </c>
      <c r="F2116" s="9">
        <v>45735</v>
      </c>
      <c r="G2116" s="9">
        <v>45740</v>
      </c>
      <c r="H2116" s="7" t="s">
        <v>31</v>
      </c>
      <c r="I2116" s="8" t="s">
        <v>40</v>
      </c>
      <c r="J2116" s="7">
        <v>4</v>
      </c>
      <c r="K2116" s="7" t="s">
        <v>38</v>
      </c>
      <c r="L2116" s="7">
        <v>5</v>
      </c>
      <c r="M2116" s="7">
        <v>12</v>
      </c>
      <c r="N2116" s="7" t="s">
        <v>33</v>
      </c>
    </row>
    <row r="2117" spans="1:14" x14ac:dyDescent="0.3">
      <c r="A2117" s="3" t="s">
        <v>2200</v>
      </c>
      <c r="B2117" s="3" t="s">
        <v>49</v>
      </c>
      <c r="C2117" s="3">
        <v>1</v>
      </c>
      <c r="D2117" s="6">
        <v>18.3</v>
      </c>
      <c r="E2117" s="6">
        <v>18.3</v>
      </c>
      <c r="F2117" s="5">
        <v>45735</v>
      </c>
      <c r="G2117" s="5">
        <v>45736</v>
      </c>
      <c r="H2117" s="3" t="s">
        <v>31</v>
      </c>
      <c r="I2117" s="4" t="s">
        <v>21</v>
      </c>
      <c r="J2117" s="3">
        <v>4</v>
      </c>
      <c r="K2117" s="3" t="s">
        <v>38</v>
      </c>
      <c r="L2117" s="3">
        <v>1</v>
      </c>
      <c r="M2117" s="3">
        <v>12</v>
      </c>
      <c r="N2117" s="3" t="s">
        <v>33</v>
      </c>
    </row>
    <row r="2118" spans="1:14" x14ac:dyDescent="0.3">
      <c r="A2118" s="7" t="s">
        <v>2201</v>
      </c>
      <c r="B2118" s="7" t="s">
        <v>42</v>
      </c>
      <c r="C2118" s="7">
        <v>1</v>
      </c>
      <c r="D2118" s="10">
        <v>47.5</v>
      </c>
      <c r="E2118" s="10">
        <v>47.5</v>
      </c>
      <c r="F2118" s="9">
        <v>45735</v>
      </c>
      <c r="G2118" s="9">
        <v>45739</v>
      </c>
      <c r="H2118" s="7" t="s">
        <v>26</v>
      </c>
      <c r="I2118" s="8" t="s">
        <v>75</v>
      </c>
      <c r="J2118" s="7">
        <v>5</v>
      </c>
      <c r="K2118" s="7" t="s">
        <v>38</v>
      </c>
      <c r="L2118" s="7">
        <v>4</v>
      </c>
      <c r="M2118" s="7">
        <v>12</v>
      </c>
      <c r="N2118" s="7" t="s">
        <v>28</v>
      </c>
    </row>
    <row r="2119" spans="1:14" x14ac:dyDescent="0.3">
      <c r="A2119" s="3" t="s">
        <v>2202</v>
      </c>
      <c r="B2119" s="3" t="s">
        <v>25</v>
      </c>
      <c r="C2119" s="3">
        <v>2</v>
      </c>
      <c r="D2119" s="6">
        <v>78.599999999999994</v>
      </c>
      <c r="E2119" s="6">
        <v>157.19999999999999</v>
      </c>
      <c r="F2119" s="5">
        <v>45735</v>
      </c>
      <c r="G2119" s="5">
        <v>45736</v>
      </c>
      <c r="H2119" s="3" t="s">
        <v>26</v>
      </c>
      <c r="I2119" s="4" t="s">
        <v>45</v>
      </c>
      <c r="J2119" s="3">
        <v>5</v>
      </c>
      <c r="K2119" s="3" t="s">
        <v>38</v>
      </c>
      <c r="L2119" s="3">
        <v>1</v>
      </c>
      <c r="M2119" s="3">
        <v>12</v>
      </c>
      <c r="N2119" s="3" t="s">
        <v>28</v>
      </c>
    </row>
    <row r="2120" spans="1:14" x14ac:dyDescent="0.3">
      <c r="A2120" s="7" t="s">
        <v>2203</v>
      </c>
      <c r="B2120" s="7" t="s">
        <v>44</v>
      </c>
      <c r="C2120" s="7">
        <v>4</v>
      </c>
      <c r="D2120" s="10">
        <v>87.3</v>
      </c>
      <c r="E2120" s="10">
        <v>349.2</v>
      </c>
      <c r="F2120" s="9">
        <v>45735</v>
      </c>
      <c r="G2120" s="9">
        <v>45736</v>
      </c>
      <c r="H2120" s="7" t="s">
        <v>26</v>
      </c>
      <c r="I2120" s="8" t="s">
        <v>21</v>
      </c>
      <c r="J2120" s="7">
        <v>4</v>
      </c>
      <c r="K2120" s="7" t="s">
        <v>38</v>
      </c>
      <c r="L2120" s="7">
        <v>1</v>
      </c>
      <c r="M2120" s="7">
        <v>12</v>
      </c>
      <c r="N2120" s="7" t="s">
        <v>28</v>
      </c>
    </row>
    <row r="2121" spans="1:14" x14ac:dyDescent="0.3">
      <c r="A2121" s="3" t="s">
        <v>2204</v>
      </c>
      <c r="B2121" s="3" t="s">
        <v>51</v>
      </c>
      <c r="C2121" s="3">
        <v>2</v>
      </c>
      <c r="D2121" s="6">
        <v>63.2</v>
      </c>
      <c r="E2121" s="6">
        <v>126.4</v>
      </c>
      <c r="F2121" s="5">
        <v>45735</v>
      </c>
      <c r="G2121" s="5">
        <v>45735</v>
      </c>
      <c r="H2121" s="3" t="s">
        <v>26</v>
      </c>
      <c r="I2121" s="4" t="s">
        <v>75</v>
      </c>
      <c r="J2121" s="3">
        <v>3</v>
      </c>
      <c r="K2121" s="3" t="s">
        <v>38</v>
      </c>
      <c r="L2121" s="3">
        <v>0</v>
      </c>
      <c r="M2121" s="3">
        <v>12</v>
      </c>
      <c r="N2121" s="3" t="s">
        <v>28</v>
      </c>
    </row>
    <row r="2122" spans="1:14" x14ac:dyDescent="0.3">
      <c r="A2122" s="7" t="s">
        <v>2205</v>
      </c>
      <c r="B2122" s="7" t="s">
        <v>42</v>
      </c>
      <c r="C2122" s="7">
        <v>5</v>
      </c>
      <c r="D2122" s="10">
        <v>33.700000000000003</v>
      </c>
      <c r="E2122" s="10">
        <v>168.5</v>
      </c>
      <c r="F2122" s="9">
        <v>45735</v>
      </c>
      <c r="G2122" s="9">
        <v>45736</v>
      </c>
      <c r="H2122" s="7" t="s">
        <v>31</v>
      </c>
      <c r="I2122" s="8" t="s">
        <v>21</v>
      </c>
      <c r="J2122" s="7">
        <v>4</v>
      </c>
      <c r="K2122" s="7" t="s">
        <v>38</v>
      </c>
      <c r="L2122" s="7">
        <v>1</v>
      </c>
      <c r="M2122" s="7">
        <v>12</v>
      </c>
      <c r="N2122" s="7" t="s">
        <v>33</v>
      </c>
    </row>
    <row r="2123" spans="1:14" x14ac:dyDescent="0.3">
      <c r="A2123" s="3" t="s">
        <v>2206</v>
      </c>
      <c r="B2123" s="3" t="s">
        <v>30</v>
      </c>
      <c r="C2123" s="3">
        <v>3</v>
      </c>
      <c r="D2123" s="6">
        <v>107.4</v>
      </c>
      <c r="E2123" s="6">
        <v>322.2</v>
      </c>
      <c r="F2123" s="5">
        <v>45735</v>
      </c>
      <c r="G2123" s="5">
        <v>45748</v>
      </c>
      <c r="H2123" s="3" t="s">
        <v>31</v>
      </c>
      <c r="I2123" s="4" t="s">
        <v>40</v>
      </c>
      <c r="J2123" s="3">
        <v>5</v>
      </c>
      <c r="K2123" s="3" t="s">
        <v>38</v>
      </c>
      <c r="L2123" s="3">
        <v>13</v>
      </c>
      <c r="M2123" s="3">
        <v>12</v>
      </c>
      <c r="N2123" s="3" t="s">
        <v>33</v>
      </c>
    </row>
    <row r="2124" spans="1:14" x14ac:dyDescent="0.3">
      <c r="A2124" s="7" t="s">
        <v>2207</v>
      </c>
      <c r="B2124" s="7" t="s">
        <v>37</v>
      </c>
      <c r="C2124" s="7">
        <v>4</v>
      </c>
      <c r="D2124" s="10">
        <v>22.2</v>
      </c>
      <c r="E2124" s="10">
        <v>88.8</v>
      </c>
      <c r="F2124" s="9">
        <v>45735</v>
      </c>
      <c r="G2124" s="9">
        <v>45736</v>
      </c>
      <c r="H2124" s="7"/>
      <c r="I2124" s="8" t="s">
        <v>40</v>
      </c>
      <c r="J2124" s="7">
        <v>5</v>
      </c>
      <c r="K2124" s="7" t="s">
        <v>192</v>
      </c>
      <c r="L2124" s="7">
        <v>1</v>
      </c>
      <c r="M2124" s="7">
        <v>12</v>
      </c>
      <c r="N2124" s="7" t="s">
        <v>23</v>
      </c>
    </row>
    <row r="2125" spans="1:14" x14ac:dyDescent="0.3">
      <c r="A2125" s="3" t="s">
        <v>2208</v>
      </c>
      <c r="B2125" s="3" t="s">
        <v>152</v>
      </c>
      <c r="C2125" s="3">
        <v>3</v>
      </c>
      <c r="D2125" s="6">
        <v>52.8</v>
      </c>
      <c r="E2125" s="6">
        <v>158.4</v>
      </c>
      <c r="F2125" s="5">
        <v>45735</v>
      </c>
      <c r="G2125" s="5">
        <v>45736</v>
      </c>
      <c r="H2125" s="3" t="s">
        <v>26</v>
      </c>
      <c r="I2125" s="4" t="s">
        <v>56</v>
      </c>
      <c r="J2125" s="3">
        <v>5</v>
      </c>
      <c r="K2125" s="3" t="s">
        <v>192</v>
      </c>
      <c r="L2125" s="3">
        <v>1</v>
      </c>
      <c r="M2125" s="3">
        <v>12</v>
      </c>
      <c r="N2125" s="3" t="s">
        <v>28</v>
      </c>
    </row>
    <row r="2126" spans="1:14" x14ac:dyDescent="0.3">
      <c r="A2126" s="7" t="s">
        <v>2209</v>
      </c>
      <c r="B2126" s="7" t="s">
        <v>49</v>
      </c>
      <c r="C2126" s="7">
        <v>3</v>
      </c>
      <c r="D2126" s="10">
        <v>41.5</v>
      </c>
      <c r="E2126" s="10">
        <v>124.5</v>
      </c>
      <c r="F2126" s="9">
        <v>45735</v>
      </c>
      <c r="G2126" s="9">
        <v>45738</v>
      </c>
      <c r="H2126" s="7" t="s">
        <v>31</v>
      </c>
      <c r="I2126" s="8" t="s">
        <v>21</v>
      </c>
      <c r="J2126" s="7">
        <v>4</v>
      </c>
      <c r="K2126" s="7" t="s">
        <v>194</v>
      </c>
      <c r="L2126" s="7">
        <v>3</v>
      </c>
      <c r="M2126" s="7">
        <v>12</v>
      </c>
      <c r="N2126" s="7" t="s">
        <v>33</v>
      </c>
    </row>
    <row r="2127" spans="1:14" x14ac:dyDescent="0.3">
      <c r="A2127" s="3" t="s">
        <v>2210</v>
      </c>
      <c r="B2127" s="3" t="s">
        <v>74</v>
      </c>
      <c r="C2127" s="3">
        <v>8</v>
      </c>
      <c r="D2127" s="6">
        <v>103.5</v>
      </c>
      <c r="E2127" s="6">
        <v>828</v>
      </c>
      <c r="F2127" s="5">
        <v>45735</v>
      </c>
      <c r="G2127" s="5">
        <v>45738</v>
      </c>
      <c r="H2127" s="3" t="s">
        <v>31</v>
      </c>
      <c r="I2127" s="4" t="s">
        <v>21</v>
      </c>
      <c r="J2127" s="3">
        <v>5</v>
      </c>
      <c r="K2127" s="3" t="s">
        <v>164</v>
      </c>
      <c r="L2127" s="3">
        <v>3</v>
      </c>
      <c r="M2127" s="3">
        <v>12</v>
      </c>
      <c r="N2127" s="3" t="s">
        <v>33</v>
      </c>
    </row>
    <row r="2128" spans="1:14" x14ac:dyDescent="0.3">
      <c r="A2128" s="7" t="s">
        <v>2211</v>
      </c>
      <c r="B2128" s="7" t="s">
        <v>37</v>
      </c>
      <c r="C2128" s="7">
        <v>14</v>
      </c>
      <c r="D2128" s="10">
        <v>37.5</v>
      </c>
      <c r="E2128" s="10">
        <v>525</v>
      </c>
      <c r="F2128" s="9">
        <v>45735</v>
      </c>
      <c r="G2128" s="9">
        <v>45735</v>
      </c>
      <c r="H2128" s="7" t="s">
        <v>31</v>
      </c>
      <c r="I2128" s="8" t="s">
        <v>40</v>
      </c>
      <c r="J2128" s="7">
        <v>5</v>
      </c>
      <c r="K2128" s="7" t="s">
        <v>60</v>
      </c>
      <c r="L2128" s="7">
        <v>0</v>
      </c>
      <c r="M2128" s="7">
        <v>12</v>
      </c>
      <c r="N2128" s="7" t="s">
        <v>33</v>
      </c>
    </row>
    <row r="2129" spans="1:14" x14ac:dyDescent="0.3">
      <c r="A2129" s="3" t="s">
        <v>2212</v>
      </c>
      <c r="B2129" s="3" t="s">
        <v>129</v>
      </c>
      <c r="C2129" s="3">
        <v>8</v>
      </c>
      <c r="D2129" s="6">
        <v>44.4</v>
      </c>
      <c r="E2129" s="6">
        <v>355.2</v>
      </c>
      <c r="F2129" s="5">
        <v>45735</v>
      </c>
      <c r="G2129" s="5">
        <v>45741</v>
      </c>
      <c r="H2129" s="3" t="s">
        <v>31</v>
      </c>
      <c r="I2129" s="4" t="s">
        <v>56</v>
      </c>
      <c r="J2129" s="3">
        <v>5</v>
      </c>
      <c r="K2129" s="3" t="s">
        <v>64</v>
      </c>
      <c r="L2129" s="3">
        <v>6</v>
      </c>
      <c r="M2129" s="3">
        <v>12</v>
      </c>
      <c r="N2129" s="3" t="s">
        <v>33</v>
      </c>
    </row>
    <row r="2130" spans="1:14" x14ac:dyDescent="0.3">
      <c r="A2130" s="7" t="s">
        <v>2213</v>
      </c>
      <c r="B2130" s="7" t="s">
        <v>49</v>
      </c>
      <c r="C2130" s="7">
        <v>3</v>
      </c>
      <c r="D2130" s="10">
        <v>26.2</v>
      </c>
      <c r="E2130" s="10">
        <v>78.599999999999994</v>
      </c>
      <c r="F2130" s="9">
        <v>45735</v>
      </c>
      <c r="G2130" s="9">
        <v>45736</v>
      </c>
      <c r="H2130" s="7" t="s">
        <v>26</v>
      </c>
      <c r="I2130" s="8" t="s">
        <v>21</v>
      </c>
      <c r="J2130" s="7">
        <v>4</v>
      </c>
      <c r="K2130" s="7" t="s">
        <v>67</v>
      </c>
      <c r="L2130" s="7">
        <v>1</v>
      </c>
      <c r="M2130" s="7">
        <v>12</v>
      </c>
      <c r="N2130" s="7" t="s">
        <v>28</v>
      </c>
    </row>
    <row r="2131" spans="1:14" x14ac:dyDescent="0.3">
      <c r="A2131" s="3" t="s">
        <v>2214</v>
      </c>
      <c r="B2131" s="3" t="s">
        <v>25</v>
      </c>
      <c r="C2131" s="3">
        <v>7</v>
      </c>
      <c r="D2131" s="6">
        <v>32.200000000000003</v>
      </c>
      <c r="E2131" s="6">
        <v>225.4</v>
      </c>
      <c r="F2131" s="5">
        <v>45735</v>
      </c>
      <c r="G2131" s="5">
        <v>45736</v>
      </c>
      <c r="H2131" s="3" t="s">
        <v>31</v>
      </c>
      <c r="I2131" s="4" t="s">
        <v>40</v>
      </c>
      <c r="J2131" s="3">
        <v>5</v>
      </c>
      <c r="K2131" s="3" t="s">
        <v>67</v>
      </c>
      <c r="L2131" s="3">
        <v>1</v>
      </c>
      <c r="M2131" s="3">
        <v>12</v>
      </c>
      <c r="N2131" s="3" t="s">
        <v>33</v>
      </c>
    </row>
    <row r="2132" spans="1:14" x14ac:dyDescent="0.3">
      <c r="A2132" s="7" t="s">
        <v>2215</v>
      </c>
      <c r="B2132" s="7" t="s">
        <v>49</v>
      </c>
      <c r="C2132" s="7">
        <v>1</v>
      </c>
      <c r="D2132" s="10">
        <v>17.399999999999999</v>
      </c>
      <c r="E2132" s="10">
        <v>17.399999999999999</v>
      </c>
      <c r="F2132" s="9">
        <v>45735</v>
      </c>
      <c r="G2132" s="9">
        <v>45739</v>
      </c>
      <c r="H2132" s="7"/>
      <c r="I2132" s="8" t="s">
        <v>45</v>
      </c>
      <c r="J2132" s="7">
        <v>3</v>
      </c>
      <c r="K2132" s="7" t="s">
        <v>67</v>
      </c>
      <c r="L2132" s="7">
        <v>4</v>
      </c>
      <c r="M2132" s="7">
        <v>12</v>
      </c>
      <c r="N2132" s="7" t="s">
        <v>23</v>
      </c>
    </row>
    <row r="2133" spans="1:14" x14ac:dyDescent="0.3">
      <c r="A2133" s="3" t="s">
        <v>2216</v>
      </c>
      <c r="B2133" s="3" t="s">
        <v>49</v>
      </c>
      <c r="C2133" s="3">
        <v>6</v>
      </c>
      <c r="D2133" s="6">
        <v>72.3</v>
      </c>
      <c r="E2133" s="6">
        <v>433.8</v>
      </c>
      <c r="F2133" s="5">
        <v>45735</v>
      </c>
      <c r="G2133" s="5">
        <v>45738</v>
      </c>
      <c r="H2133" s="3" t="s">
        <v>31</v>
      </c>
      <c r="I2133" s="4" t="s">
        <v>21</v>
      </c>
      <c r="J2133" s="3">
        <v>4</v>
      </c>
      <c r="K2133" s="3" t="s">
        <v>67</v>
      </c>
      <c r="L2133" s="3">
        <v>3</v>
      </c>
      <c r="M2133" s="3">
        <v>12</v>
      </c>
      <c r="N2133" s="3" t="s">
        <v>33</v>
      </c>
    </row>
    <row r="2134" spans="1:14" x14ac:dyDescent="0.3">
      <c r="A2134" s="7" t="s">
        <v>2217</v>
      </c>
      <c r="B2134" s="7" t="s">
        <v>49</v>
      </c>
      <c r="C2134" s="7">
        <v>11</v>
      </c>
      <c r="D2134" s="10">
        <v>24.3</v>
      </c>
      <c r="E2134" s="10">
        <v>267.3</v>
      </c>
      <c r="F2134" s="9">
        <v>45735</v>
      </c>
      <c r="G2134" s="9">
        <v>45736</v>
      </c>
      <c r="H2134" s="7" t="s">
        <v>26</v>
      </c>
      <c r="I2134" s="8" t="s">
        <v>21</v>
      </c>
      <c r="J2134" s="7">
        <v>4</v>
      </c>
      <c r="K2134" s="7" t="s">
        <v>67</v>
      </c>
      <c r="L2134" s="7">
        <v>1</v>
      </c>
      <c r="M2134" s="7">
        <v>12</v>
      </c>
      <c r="N2134" s="7" t="s">
        <v>28</v>
      </c>
    </row>
    <row r="2135" spans="1:14" x14ac:dyDescent="0.3">
      <c r="A2135" s="3" t="s">
        <v>2218</v>
      </c>
      <c r="B2135" s="3" t="s">
        <v>81</v>
      </c>
      <c r="C2135" s="3">
        <v>3</v>
      </c>
      <c r="D2135" s="6">
        <v>49.1</v>
      </c>
      <c r="E2135" s="6">
        <v>147.30000000000001</v>
      </c>
      <c r="F2135" s="5">
        <v>45735</v>
      </c>
      <c r="G2135" s="5">
        <v>45741</v>
      </c>
      <c r="H2135" s="3" t="s">
        <v>26</v>
      </c>
      <c r="I2135" s="4" t="s">
        <v>45</v>
      </c>
      <c r="J2135" s="3">
        <v>2</v>
      </c>
      <c r="K2135" s="3" t="s">
        <v>67</v>
      </c>
      <c r="L2135" s="3">
        <v>6</v>
      </c>
      <c r="M2135" s="3">
        <v>12</v>
      </c>
      <c r="N2135" s="3" t="s">
        <v>28</v>
      </c>
    </row>
    <row r="2136" spans="1:14" x14ac:dyDescent="0.3">
      <c r="A2136" s="7" t="s">
        <v>2219</v>
      </c>
      <c r="B2136" s="7" t="s">
        <v>30</v>
      </c>
      <c r="C2136" s="7">
        <v>10</v>
      </c>
      <c r="D2136" s="10">
        <v>234.7</v>
      </c>
      <c r="E2136" s="10">
        <v>2347</v>
      </c>
      <c r="F2136" s="9">
        <v>45735</v>
      </c>
      <c r="G2136" s="9">
        <v>45736</v>
      </c>
      <c r="H2136" s="7" t="s">
        <v>26</v>
      </c>
      <c r="I2136" s="8" t="s">
        <v>56</v>
      </c>
      <c r="J2136" s="7">
        <v>3</v>
      </c>
      <c r="K2136" s="7" t="s">
        <v>67</v>
      </c>
      <c r="L2136" s="7">
        <v>1</v>
      </c>
      <c r="M2136" s="7">
        <v>12</v>
      </c>
      <c r="N2136" s="7" t="s">
        <v>28</v>
      </c>
    </row>
    <row r="2137" spans="1:14" x14ac:dyDescent="0.3">
      <c r="A2137" s="3" t="s">
        <v>2220</v>
      </c>
      <c r="B2137" s="3" t="s">
        <v>35</v>
      </c>
      <c r="C2137" s="3">
        <v>5</v>
      </c>
      <c r="D2137" s="6">
        <v>76.099999999999994</v>
      </c>
      <c r="E2137" s="6">
        <v>380.5</v>
      </c>
      <c r="F2137" s="5">
        <v>45735</v>
      </c>
      <c r="G2137" s="5">
        <v>45737</v>
      </c>
      <c r="H2137" s="3" t="s">
        <v>26</v>
      </c>
      <c r="I2137" s="4" t="s">
        <v>40</v>
      </c>
      <c r="J2137" s="3">
        <v>3</v>
      </c>
      <c r="K2137" s="3" t="s">
        <v>109</v>
      </c>
      <c r="L2137" s="3">
        <v>2</v>
      </c>
      <c r="M2137" s="3">
        <v>12</v>
      </c>
      <c r="N2137" s="3" t="s">
        <v>28</v>
      </c>
    </row>
    <row r="2138" spans="1:14" x14ac:dyDescent="0.3">
      <c r="A2138" s="7" t="s">
        <v>2221</v>
      </c>
      <c r="B2138" s="7" t="s">
        <v>25</v>
      </c>
      <c r="C2138" s="7">
        <v>3</v>
      </c>
      <c r="D2138" s="10">
        <v>93.9</v>
      </c>
      <c r="E2138" s="10">
        <v>281.7</v>
      </c>
      <c r="F2138" s="9">
        <v>45735</v>
      </c>
      <c r="G2138" s="9">
        <v>45736</v>
      </c>
      <c r="H2138" s="7" t="s">
        <v>26</v>
      </c>
      <c r="I2138" s="8" t="s">
        <v>40</v>
      </c>
      <c r="J2138" s="7">
        <v>2</v>
      </c>
      <c r="K2138" s="7" t="s">
        <v>82</v>
      </c>
      <c r="L2138" s="7">
        <v>1</v>
      </c>
      <c r="M2138" s="7">
        <v>12</v>
      </c>
      <c r="N2138" s="7" t="s">
        <v>28</v>
      </c>
    </row>
    <row r="2139" spans="1:14" x14ac:dyDescent="0.3">
      <c r="A2139" s="3" t="s">
        <v>2222</v>
      </c>
      <c r="B2139" s="3" t="s">
        <v>30</v>
      </c>
      <c r="C2139" s="3">
        <v>4</v>
      </c>
      <c r="D2139" s="6">
        <v>187</v>
      </c>
      <c r="E2139" s="6">
        <v>748</v>
      </c>
      <c r="F2139" s="5">
        <v>45736</v>
      </c>
      <c r="G2139" s="5">
        <v>45739</v>
      </c>
      <c r="H2139" s="3" t="s">
        <v>26</v>
      </c>
      <c r="I2139" s="4" t="s">
        <v>21</v>
      </c>
      <c r="J2139" s="3">
        <v>4</v>
      </c>
      <c r="K2139" s="3" t="s">
        <v>82</v>
      </c>
      <c r="L2139" s="3">
        <v>3</v>
      </c>
      <c r="M2139" s="3">
        <v>12</v>
      </c>
      <c r="N2139" s="3" t="s">
        <v>28</v>
      </c>
    </row>
    <row r="2140" spans="1:14" x14ac:dyDescent="0.3">
      <c r="A2140" s="7" t="s">
        <v>2223</v>
      </c>
      <c r="B2140" s="7" t="s">
        <v>49</v>
      </c>
      <c r="C2140" s="7">
        <v>2</v>
      </c>
      <c r="D2140" s="10">
        <v>18</v>
      </c>
      <c r="E2140" s="10">
        <v>36</v>
      </c>
      <c r="F2140" s="9">
        <v>45736</v>
      </c>
      <c r="G2140" s="9">
        <v>45737</v>
      </c>
      <c r="H2140" s="7" t="s">
        <v>31</v>
      </c>
      <c r="I2140" s="8" t="s">
        <v>40</v>
      </c>
      <c r="J2140" s="7">
        <v>5</v>
      </c>
      <c r="K2140" s="7" t="s">
        <v>264</v>
      </c>
      <c r="L2140" s="7">
        <v>1</v>
      </c>
      <c r="M2140" s="7">
        <v>12</v>
      </c>
      <c r="N2140" s="7" t="s">
        <v>33</v>
      </c>
    </row>
    <row r="2141" spans="1:14" x14ac:dyDescent="0.3">
      <c r="A2141" s="3" t="s">
        <v>2224</v>
      </c>
      <c r="B2141" s="3" t="s">
        <v>37</v>
      </c>
      <c r="C2141" s="3">
        <v>1</v>
      </c>
      <c r="D2141" s="6">
        <v>24.4</v>
      </c>
      <c r="E2141" s="6">
        <v>24.4</v>
      </c>
      <c r="F2141" s="5">
        <v>45736</v>
      </c>
      <c r="G2141" s="5">
        <v>45737</v>
      </c>
      <c r="H2141" s="3" t="s">
        <v>31</v>
      </c>
      <c r="I2141" s="4" t="s">
        <v>75</v>
      </c>
      <c r="J2141" s="3">
        <v>5</v>
      </c>
      <c r="K2141" s="3" t="s">
        <v>121</v>
      </c>
      <c r="L2141" s="3">
        <v>1</v>
      </c>
      <c r="M2141" s="3">
        <v>12</v>
      </c>
      <c r="N2141" s="3" t="s">
        <v>33</v>
      </c>
    </row>
    <row r="2142" spans="1:14" x14ac:dyDescent="0.3">
      <c r="A2142" s="7" t="s">
        <v>2225</v>
      </c>
      <c r="B2142" s="7" t="s">
        <v>59</v>
      </c>
      <c r="C2142" s="7">
        <v>2</v>
      </c>
      <c r="D2142" s="10">
        <v>38.799999999999997</v>
      </c>
      <c r="E2142" s="10">
        <v>77.599999999999994</v>
      </c>
      <c r="F2142" s="9">
        <v>45736</v>
      </c>
      <c r="G2142" s="9">
        <v>45737</v>
      </c>
      <c r="H2142" s="7" t="s">
        <v>26</v>
      </c>
      <c r="I2142" s="8" t="s">
        <v>75</v>
      </c>
      <c r="J2142" s="7">
        <v>3</v>
      </c>
      <c r="K2142" s="7" t="s">
        <v>38</v>
      </c>
      <c r="L2142" s="7">
        <v>1</v>
      </c>
      <c r="M2142" s="7">
        <v>12</v>
      </c>
      <c r="N2142" s="7" t="s">
        <v>28</v>
      </c>
    </row>
    <row r="2143" spans="1:14" x14ac:dyDescent="0.3">
      <c r="A2143" s="3" t="s">
        <v>2226</v>
      </c>
      <c r="B2143" s="3" t="s">
        <v>35</v>
      </c>
      <c r="C2143" s="3">
        <v>1</v>
      </c>
      <c r="D2143" s="6">
        <v>59.7</v>
      </c>
      <c r="E2143" s="6">
        <v>59.7</v>
      </c>
      <c r="F2143" s="5">
        <v>45736</v>
      </c>
      <c r="G2143" s="5">
        <v>45739</v>
      </c>
      <c r="H2143" s="3" t="s">
        <v>26</v>
      </c>
      <c r="I2143" s="4" t="s">
        <v>56</v>
      </c>
      <c r="J2143" s="3">
        <v>4</v>
      </c>
      <c r="K2143" s="3" t="s">
        <v>38</v>
      </c>
      <c r="L2143" s="3">
        <v>3</v>
      </c>
      <c r="M2143" s="3">
        <v>12</v>
      </c>
      <c r="N2143" s="3" t="s">
        <v>28</v>
      </c>
    </row>
    <row r="2144" spans="1:14" x14ac:dyDescent="0.3">
      <c r="A2144" s="7" t="s">
        <v>2227</v>
      </c>
      <c r="B2144" s="7" t="s">
        <v>47</v>
      </c>
      <c r="C2144" s="7">
        <v>1</v>
      </c>
      <c r="D2144" s="10">
        <v>31.2</v>
      </c>
      <c r="E2144" s="10">
        <v>31.2</v>
      </c>
      <c r="F2144" s="9">
        <v>45736</v>
      </c>
      <c r="G2144" s="9">
        <v>45737</v>
      </c>
      <c r="H2144" s="7" t="s">
        <v>26</v>
      </c>
      <c r="I2144" s="8" t="s">
        <v>40</v>
      </c>
      <c r="J2144" s="7">
        <v>5</v>
      </c>
      <c r="K2144" s="7" t="s">
        <v>38</v>
      </c>
      <c r="L2144" s="7">
        <v>1</v>
      </c>
      <c r="M2144" s="7">
        <v>12</v>
      </c>
      <c r="N2144" s="7" t="s">
        <v>28</v>
      </c>
    </row>
    <row r="2145" spans="1:14" x14ac:dyDescent="0.3">
      <c r="A2145" s="3" t="s">
        <v>2228</v>
      </c>
      <c r="B2145" s="3" t="s">
        <v>20</v>
      </c>
      <c r="C2145" s="3">
        <v>1</v>
      </c>
      <c r="D2145" s="6">
        <v>16.8</v>
      </c>
      <c r="E2145" s="6">
        <v>16.8</v>
      </c>
      <c r="F2145" s="5">
        <v>45736</v>
      </c>
      <c r="G2145" s="5">
        <v>45737</v>
      </c>
      <c r="H2145" s="3" t="s">
        <v>31</v>
      </c>
      <c r="I2145" s="4" t="s">
        <v>45</v>
      </c>
      <c r="J2145" s="3">
        <v>3</v>
      </c>
      <c r="K2145" s="3" t="s">
        <v>38</v>
      </c>
      <c r="L2145" s="3">
        <v>1</v>
      </c>
      <c r="M2145" s="3">
        <v>12</v>
      </c>
      <c r="N2145" s="3" t="s">
        <v>33</v>
      </c>
    </row>
    <row r="2146" spans="1:14" x14ac:dyDescent="0.3">
      <c r="A2146" s="7" t="s">
        <v>2229</v>
      </c>
      <c r="B2146" s="7" t="s">
        <v>49</v>
      </c>
      <c r="C2146" s="7">
        <v>1</v>
      </c>
      <c r="D2146" s="10">
        <v>46</v>
      </c>
      <c r="E2146" s="10">
        <v>46</v>
      </c>
      <c r="F2146" s="9">
        <v>45736</v>
      </c>
      <c r="G2146" s="9">
        <v>45737</v>
      </c>
      <c r="H2146" s="7" t="s">
        <v>26</v>
      </c>
      <c r="I2146" s="8" t="s">
        <v>21</v>
      </c>
      <c r="J2146" s="7">
        <v>4</v>
      </c>
      <c r="K2146" s="7" t="s">
        <v>38</v>
      </c>
      <c r="L2146" s="7">
        <v>1</v>
      </c>
      <c r="M2146" s="7">
        <v>12</v>
      </c>
      <c r="N2146" s="7" t="s">
        <v>28</v>
      </c>
    </row>
    <row r="2147" spans="1:14" x14ac:dyDescent="0.3">
      <c r="A2147" s="3" t="s">
        <v>2230</v>
      </c>
      <c r="B2147" s="3" t="s">
        <v>51</v>
      </c>
      <c r="C2147" s="3">
        <v>8</v>
      </c>
      <c r="D2147" s="6">
        <v>42.2</v>
      </c>
      <c r="E2147" s="6">
        <v>337.6</v>
      </c>
      <c r="F2147" s="5">
        <v>45736</v>
      </c>
      <c r="G2147" s="5">
        <v>45739</v>
      </c>
      <c r="H2147" s="3" t="s">
        <v>31</v>
      </c>
      <c r="I2147" s="4" t="s">
        <v>56</v>
      </c>
      <c r="J2147" s="3">
        <v>5</v>
      </c>
      <c r="K2147" s="3" t="s">
        <v>38</v>
      </c>
      <c r="L2147" s="3">
        <v>3</v>
      </c>
      <c r="M2147" s="3">
        <v>12</v>
      </c>
      <c r="N2147" s="3" t="s">
        <v>33</v>
      </c>
    </row>
    <row r="2148" spans="1:14" x14ac:dyDescent="0.3">
      <c r="A2148" s="7" t="s">
        <v>2231</v>
      </c>
      <c r="B2148" s="7" t="s">
        <v>25</v>
      </c>
      <c r="C2148" s="7">
        <v>3</v>
      </c>
      <c r="D2148" s="10">
        <v>71.5</v>
      </c>
      <c r="E2148" s="10">
        <v>214.5</v>
      </c>
      <c r="F2148" s="9">
        <v>45736</v>
      </c>
      <c r="G2148" s="9">
        <v>45750</v>
      </c>
      <c r="H2148" s="7" t="s">
        <v>31</v>
      </c>
      <c r="I2148" s="8" t="s">
        <v>21</v>
      </c>
      <c r="J2148" s="7">
        <v>4</v>
      </c>
      <c r="K2148" s="7" t="s">
        <v>38</v>
      </c>
      <c r="L2148" s="7">
        <v>14</v>
      </c>
      <c r="M2148" s="7">
        <v>12</v>
      </c>
      <c r="N2148" s="7" t="s">
        <v>33</v>
      </c>
    </row>
    <row r="2149" spans="1:14" x14ac:dyDescent="0.3">
      <c r="A2149" s="3" t="s">
        <v>2232</v>
      </c>
      <c r="B2149" s="3" t="s">
        <v>25</v>
      </c>
      <c r="C2149" s="3">
        <v>2</v>
      </c>
      <c r="D2149" s="6">
        <v>76.599999999999994</v>
      </c>
      <c r="E2149" s="6">
        <v>153.19999999999999</v>
      </c>
      <c r="F2149" s="5">
        <v>45736</v>
      </c>
      <c r="G2149" s="5">
        <v>45736</v>
      </c>
      <c r="H2149" s="3" t="s">
        <v>26</v>
      </c>
      <c r="I2149" s="4" t="s">
        <v>21</v>
      </c>
      <c r="J2149" s="3">
        <v>5</v>
      </c>
      <c r="K2149" s="3" t="s">
        <v>38</v>
      </c>
      <c r="L2149" s="3">
        <v>0</v>
      </c>
      <c r="M2149" s="3">
        <v>12</v>
      </c>
      <c r="N2149" s="3" t="s">
        <v>28</v>
      </c>
    </row>
    <row r="2150" spans="1:14" x14ac:dyDescent="0.3">
      <c r="A2150" s="7" t="s">
        <v>2233</v>
      </c>
      <c r="B2150" s="7" t="s">
        <v>74</v>
      </c>
      <c r="C2150" s="7">
        <v>2</v>
      </c>
      <c r="D2150" s="10">
        <v>87.3</v>
      </c>
      <c r="E2150" s="10">
        <v>174.6</v>
      </c>
      <c r="F2150" s="9">
        <v>45736</v>
      </c>
      <c r="G2150" s="9">
        <v>45744</v>
      </c>
      <c r="H2150" s="7" t="s">
        <v>31</v>
      </c>
      <c r="I2150" s="8" t="s">
        <v>56</v>
      </c>
      <c r="J2150" s="7">
        <v>5</v>
      </c>
      <c r="K2150" s="7" t="s">
        <v>38</v>
      </c>
      <c r="L2150" s="7">
        <v>8</v>
      </c>
      <c r="M2150" s="7">
        <v>12</v>
      </c>
      <c r="N2150" s="7" t="s">
        <v>33</v>
      </c>
    </row>
    <row r="2151" spans="1:14" x14ac:dyDescent="0.3">
      <c r="A2151" s="3" t="s">
        <v>2234</v>
      </c>
      <c r="B2151" s="3" t="s">
        <v>25</v>
      </c>
      <c r="C2151" s="3">
        <v>1</v>
      </c>
      <c r="D2151" s="6">
        <v>63</v>
      </c>
      <c r="E2151" s="6">
        <v>63</v>
      </c>
      <c r="F2151" s="5">
        <v>45736</v>
      </c>
      <c r="G2151" s="5">
        <v>45739</v>
      </c>
      <c r="H2151" s="3" t="s">
        <v>26</v>
      </c>
      <c r="I2151" s="4" t="s">
        <v>56</v>
      </c>
      <c r="J2151" s="3">
        <v>4</v>
      </c>
      <c r="K2151" s="3" t="s">
        <v>38</v>
      </c>
      <c r="L2151" s="3">
        <v>3</v>
      </c>
      <c r="M2151" s="3">
        <v>12</v>
      </c>
      <c r="N2151" s="3" t="s">
        <v>28</v>
      </c>
    </row>
    <row r="2152" spans="1:14" x14ac:dyDescent="0.3">
      <c r="A2152" s="7" t="s">
        <v>2235</v>
      </c>
      <c r="B2152" s="7" t="s">
        <v>49</v>
      </c>
      <c r="C2152" s="7">
        <v>2</v>
      </c>
      <c r="D2152" s="10">
        <v>41.7</v>
      </c>
      <c r="E2152" s="10">
        <v>83.4</v>
      </c>
      <c r="F2152" s="9">
        <v>45736</v>
      </c>
      <c r="G2152" s="9">
        <v>45737</v>
      </c>
      <c r="H2152" s="7" t="s">
        <v>31</v>
      </c>
      <c r="I2152" s="8" t="s">
        <v>75</v>
      </c>
      <c r="J2152" s="7">
        <v>3</v>
      </c>
      <c r="K2152" s="7" t="s">
        <v>116</v>
      </c>
      <c r="L2152" s="7">
        <v>1</v>
      </c>
      <c r="M2152" s="7">
        <v>12</v>
      </c>
      <c r="N2152" s="7" t="s">
        <v>33</v>
      </c>
    </row>
    <row r="2153" spans="1:14" x14ac:dyDescent="0.3">
      <c r="A2153" s="3" t="s">
        <v>2236</v>
      </c>
      <c r="B2153" s="3" t="s">
        <v>44</v>
      </c>
      <c r="C2153" s="3">
        <v>2</v>
      </c>
      <c r="D2153" s="6">
        <v>76.099999999999994</v>
      </c>
      <c r="E2153" s="6">
        <v>152.19999999999999</v>
      </c>
      <c r="F2153" s="5">
        <v>45736</v>
      </c>
      <c r="G2153" s="5">
        <v>45736</v>
      </c>
      <c r="H2153" s="3" t="s">
        <v>31</v>
      </c>
      <c r="I2153" s="4" t="s">
        <v>75</v>
      </c>
      <c r="J2153" s="3">
        <v>5</v>
      </c>
      <c r="K2153" s="3" t="s">
        <v>104</v>
      </c>
      <c r="L2153" s="3">
        <v>0</v>
      </c>
      <c r="M2153" s="3">
        <v>12</v>
      </c>
      <c r="N2153" s="3" t="s">
        <v>33</v>
      </c>
    </row>
    <row r="2154" spans="1:14" x14ac:dyDescent="0.3">
      <c r="A2154" s="7" t="s">
        <v>2237</v>
      </c>
      <c r="B2154" s="7" t="s">
        <v>81</v>
      </c>
      <c r="C2154" s="7">
        <v>2</v>
      </c>
      <c r="D2154" s="10">
        <v>28.5</v>
      </c>
      <c r="E2154" s="10">
        <v>57</v>
      </c>
      <c r="F2154" s="9">
        <v>45736</v>
      </c>
      <c r="G2154" s="9">
        <v>45737</v>
      </c>
      <c r="H2154" s="7" t="s">
        <v>31</v>
      </c>
      <c r="I2154" s="8" t="s">
        <v>21</v>
      </c>
      <c r="J2154" s="7">
        <v>5</v>
      </c>
      <c r="K2154" s="7" t="s">
        <v>54</v>
      </c>
      <c r="L2154" s="7">
        <v>1</v>
      </c>
      <c r="M2154" s="7">
        <v>12</v>
      </c>
      <c r="N2154" s="7" t="s">
        <v>33</v>
      </c>
    </row>
    <row r="2155" spans="1:14" x14ac:dyDescent="0.3">
      <c r="A2155" s="3" t="s">
        <v>2238</v>
      </c>
      <c r="B2155" s="3" t="s">
        <v>20</v>
      </c>
      <c r="C2155" s="3">
        <v>4</v>
      </c>
      <c r="D2155" s="6">
        <v>32.1</v>
      </c>
      <c r="E2155" s="6">
        <v>128.4</v>
      </c>
      <c r="F2155" s="5">
        <v>45736</v>
      </c>
      <c r="G2155" s="5">
        <v>45737</v>
      </c>
      <c r="H2155" s="3" t="s">
        <v>31</v>
      </c>
      <c r="I2155" s="4" t="s">
        <v>40</v>
      </c>
      <c r="J2155" s="3">
        <v>5</v>
      </c>
      <c r="K2155" s="3" t="s">
        <v>194</v>
      </c>
      <c r="L2155" s="3">
        <v>1</v>
      </c>
      <c r="M2155" s="3">
        <v>12</v>
      </c>
      <c r="N2155" s="3" t="s">
        <v>33</v>
      </c>
    </row>
    <row r="2156" spans="1:14" x14ac:dyDescent="0.3">
      <c r="A2156" s="7" t="s">
        <v>2239</v>
      </c>
      <c r="B2156" s="7" t="s">
        <v>37</v>
      </c>
      <c r="C2156" s="7">
        <v>3</v>
      </c>
      <c r="D2156" s="10">
        <v>39</v>
      </c>
      <c r="E2156" s="10">
        <v>117</v>
      </c>
      <c r="F2156" s="9">
        <v>45736</v>
      </c>
      <c r="G2156" s="9">
        <v>45739</v>
      </c>
      <c r="H2156" s="7" t="s">
        <v>26</v>
      </c>
      <c r="I2156" s="8" t="s">
        <v>40</v>
      </c>
      <c r="J2156" s="7">
        <v>5</v>
      </c>
      <c r="K2156" s="7" t="s">
        <v>194</v>
      </c>
      <c r="L2156" s="7">
        <v>3</v>
      </c>
      <c r="M2156" s="7">
        <v>12</v>
      </c>
      <c r="N2156" s="7" t="s">
        <v>28</v>
      </c>
    </row>
    <row r="2157" spans="1:14" x14ac:dyDescent="0.3">
      <c r="A2157" s="3" t="s">
        <v>2240</v>
      </c>
      <c r="B2157" s="3" t="s">
        <v>44</v>
      </c>
      <c r="C2157" s="3">
        <v>1</v>
      </c>
      <c r="D2157" s="6">
        <v>78.5</v>
      </c>
      <c r="E2157" s="6">
        <v>78.5</v>
      </c>
      <c r="F2157" s="5">
        <v>45736</v>
      </c>
      <c r="G2157" s="5">
        <v>45737</v>
      </c>
      <c r="H2157" s="3" t="s">
        <v>26</v>
      </c>
      <c r="I2157" s="4" t="s">
        <v>40</v>
      </c>
      <c r="J2157" s="3">
        <v>4</v>
      </c>
      <c r="K2157" s="3" t="s">
        <v>60</v>
      </c>
      <c r="L2157" s="3">
        <v>1</v>
      </c>
      <c r="M2157" s="3">
        <v>12</v>
      </c>
      <c r="N2157" s="3" t="s">
        <v>28</v>
      </c>
    </row>
    <row r="2158" spans="1:14" x14ac:dyDescent="0.3">
      <c r="A2158" s="7" t="s">
        <v>2241</v>
      </c>
      <c r="B2158" s="7" t="s">
        <v>37</v>
      </c>
      <c r="C2158" s="7">
        <v>5</v>
      </c>
      <c r="D2158" s="10">
        <v>49.7</v>
      </c>
      <c r="E2158" s="10">
        <v>248.5</v>
      </c>
      <c r="F2158" s="9">
        <v>45736</v>
      </c>
      <c r="G2158" s="9">
        <v>45738</v>
      </c>
      <c r="H2158" s="7" t="s">
        <v>31</v>
      </c>
      <c r="I2158" s="8" t="s">
        <v>21</v>
      </c>
      <c r="J2158" s="7">
        <v>4</v>
      </c>
      <c r="K2158" s="7" t="s">
        <v>60</v>
      </c>
      <c r="L2158" s="7">
        <v>2</v>
      </c>
      <c r="M2158" s="7">
        <v>12</v>
      </c>
      <c r="N2158" s="7" t="s">
        <v>33</v>
      </c>
    </row>
    <row r="2159" spans="1:14" x14ac:dyDescent="0.3">
      <c r="A2159" s="3" t="s">
        <v>2242</v>
      </c>
      <c r="B2159" s="3" t="s">
        <v>25</v>
      </c>
      <c r="C2159" s="3">
        <v>4</v>
      </c>
      <c r="D2159" s="6">
        <v>68.400000000000006</v>
      </c>
      <c r="E2159" s="6">
        <v>273.60000000000002</v>
      </c>
      <c r="F2159" s="5">
        <v>45736</v>
      </c>
      <c r="G2159" s="5">
        <v>45737</v>
      </c>
      <c r="H2159" s="3" t="s">
        <v>31</v>
      </c>
      <c r="I2159" s="4" t="s">
        <v>45</v>
      </c>
      <c r="J2159" s="3">
        <v>5</v>
      </c>
      <c r="K2159" s="3" t="s">
        <v>64</v>
      </c>
      <c r="L2159" s="3">
        <v>1</v>
      </c>
      <c r="M2159" s="3">
        <v>12</v>
      </c>
      <c r="N2159" s="3" t="s">
        <v>33</v>
      </c>
    </row>
    <row r="2160" spans="1:14" x14ac:dyDescent="0.3">
      <c r="A2160" s="7" t="s">
        <v>2243</v>
      </c>
      <c r="B2160" s="7" t="s">
        <v>35</v>
      </c>
      <c r="C2160" s="7">
        <v>2</v>
      </c>
      <c r="D2160" s="10">
        <v>72.900000000000006</v>
      </c>
      <c r="E2160" s="10">
        <v>145.80000000000001</v>
      </c>
      <c r="F2160" s="9">
        <v>45736</v>
      </c>
      <c r="G2160" s="9">
        <v>45739</v>
      </c>
      <c r="H2160" s="7"/>
      <c r="I2160" s="8" t="s">
        <v>21</v>
      </c>
      <c r="J2160" s="7">
        <v>5</v>
      </c>
      <c r="K2160" s="7" t="s">
        <v>64</v>
      </c>
      <c r="L2160" s="7">
        <v>3</v>
      </c>
      <c r="M2160" s="7">
        <v>12</v>
      </c>
      <c r="N2160" s="7" t="s">
        <v>23</v>
      </c>
    </row>
    <row r="2161" spans="1:14" x14ac:dyDescent="0.3">
      <c r="A2161" s="3" t="s">
        <v>2244</v>
      </c>
      <c r="B2161" s="3" t="s">
        <v>42</v>
      </c>
      <c r="C2161" s="3">
        <v>13</v>
      </c>
      <c r="D2161" s="6">
        <v>30.3</v>
      </c>
      <c r="E2161" s="6">
        <v>393.9</v>
      </c>
      <c r="F2161" s="5">
        <v>45736</v>
      </c>
      <c r="G2161" s="5">
        <v>45737</v>
      </c>
      <c r="H2161" s="3" t="s">
        <v>26</v>
      </c>
      <c r="I2161" s="4" t="s">
        <v>75</v>
      </c>
      <c r="J2161" s="3">
        <v>4</v>
      </c>
      <c r="K2161" s="3" t="s">
        <v>64</v>
      </c>
      <c r="L2161" s="3">
        <v>1</v>
      </c>
      <c r="M2161" s="3">
        <v>12</v>
      </c>
      <c r="N2161" s="3" t="s">
        <v>28</v>
      </c>
    </row>
    <row r="2162" spans="1:14" x14ac:dyDescent="0.3">
      <c r="A2162" s="7" t="s">
        <v>2245</v>
      </c>
      <c r="B2162" s="7" t="s">
        <v>44</v>
      </c>
      <c r="C2162" s="7">
        <v>11</v>
      </c>
      <c r="D2162" s="10">
        <v>57.9</v>
      </c>
      <c r="E2162" s="10">
        <v>636.9</v>
      </c>
      <c r="F2162" s="9">
        <v>45736</v>
      </c>
      <c r="G2162" s="9">
        <v>45737</v>
      </c>
      <c r="H2162" s="7" t="s">
        <v>31</v>
      </c>
      <c r="I2162" s="8" t="s">
        <v>21</v>
      </c>
      <c r="J2162" s="7">
        <v>4</v>
      </c>
      <c r="K2162" s="7" t="s">
        <v>67</v>
      </c>
      <c r="L2162" s="7">
        <v>1</v>
      </c>
      <c r="M2162" s="7">
        <v>12</v>
      </c>
      <c r="N2162" s="7" t="s">
        <v>33</v>
      </c>
    </row>
    <row r="2163" spans="1:14" x14ac:dyDescent="0.3">
      <c r="A2163" s="3" t="s">
        <v>2246</v>
      </c>
      <c r="B2163" s="3" t="s">
        <v>25</v>
      </c>
      <c r="C2163" s="3">
        <v>1</v>
      </c>
      <c r="D2163" s="6">
        <v>96.7</v>
      </c>
      <c r="E2163" s="6">
        <v>96.7</v>
      </c>
      <c r="F2163" s="5">
        <v>45736</v>
      </c>
      <c r="G2163" s="5">
        <v>45737</v>
      </c>
      <c r="H2163" s="3" t="s">
        <v>26</v>
      </c>
      <c r="I2163" s="4" t="s">
        <v>21</v>
      </c>
      <c r="J2163" s="3">
        <v>4</v>
      </c>
      <c r="K2163" s="3" t="s">
        <v>67</v>
      </c>
      <c r="L2163" s="3">
        <v>1</v>
      </c>
      <c r="M2163" s="3">
        <v>12</v>
      </c>
      <c r="N2163" s="3" t="s">
        <v>28</v>
      </c>
    </row>
    <row r="2164" spans="1:14" x14ac:dyDescent="0.3">
      <c r="A2164" s="7" t="s">
        <v>2247</v>
      </c>
      <c r="B2164" s="7" t="s">
        <v>49</v>
      </c>
      <c r="C2164" s="7">
        <v>12</v>
      </c>
      <c r="D2164" s="10">
        <v>27.6</v>
      </c>
      <c r="E2164" s="10">
        <v>331.2</v>
      </c>
      <c r="F2164" s="9">
        <v>45736</v>
      </c>
      <c r="G2164" s="9">
        <v>45738</v>
      </c>
      <c r="H2164" s="7" t="s">
        <v>26</v>
      </c>
      <c r="I2164" s="8" t="s">
        <v>45</v>
      </c>
      <c r="J2164" s="7">
        <v>5</v>
      </c>
      <c r="K2164" s="7" t="s">
        <v>67</v>
      </c>
      <c r="L2164" s="7">
        <v>2</v>
      </c>
      <c r="M2164" s="7">
        <v>12</v>
      </c>
      <c r="N2164" s="7" t="s">
        <v>28</v>
      </c>
    </row>
    <row r="2165" spans="1:14" x14ac:dyDescent="0.3">
      <c r="A2165" s="3" t="s">
        <v>2248</v>
      </c>
      <c r="B2165" s="3" t="s">
        <v>44</v>
      </c>
      <c r="C2165" s="3">
        <v>4</v>
      </c>
      <c r="D2165" s="6">
        <v>64.7</v>
      </c>
      <c r="E2165" s="6">
        <v>258.8</v>
      </c>
      <c r="F2165" s="5">
        <v>45736</v>
      </c>
      <c r="G2165" s="5">
        <v>45736</v>
      </c>
      <c r="H2165" s="3" t="s">
        <v>26</v>
      </c>
      <c r="I2165" s="4" t="s">
        <v>56</v>
      </c>
      <c r="J2165" s="3">
        <v>5</v>
      </c>
      <c r="K2165" s="3" t="s">
        <v>67</v>
      </c>
      <c r="L2165" s="3">
        <v>0</v>
      </c>
      <c r="M2165" s="3">
        <v>12</v>
      </c>
      <c r="N2165" s="3" t="s">
        <v>28</v>
      </c>
    </row>
    <row r="2166" spans="1:14" x14ac:dyDescent="0.3">
      <c r="A2166" s="7" t="s">
        <v>2249</v>
      </c>
      <c r="B2166" s="7" t="s">
        <v>59</v>
      </c>
      <c r="C2166" s="7">
        <v>6</v>
      </c>
      <c r="D2166" s="10">
        <v>30.5</v>
      </c>
      <c r="E2166" s="10">
        <v>183</v>
      </c>
      <c r="F2166" s="9">
        <v>45736</v>
      </c>
      <c r="G2166" s="9">
        <v>45737</v>
      </c>
      <c r="H2166" s="7" t="s">
        <v>26</v>
      </c>
      <c r="I2166" s="8" t="s">
        <v>75</v>
      </c>
      <c r="J2166" s="7">
        <v>4</v>
      </c>
      <c r="K2166" s="7" t="s">
        <v>67</v>
      </c>
      <c r="L2166" s="7">
        <v>1</v>
      </c>
      <c r="M2166" s="7">
        <v>12</v>
      </c>
      <c r="N2166" s="7" t="s">
        <v>28</v>
      </c>
    </row>
    <row r="2167" spans="1:14" x14ac:dyDescent="0.3">
      <c r="A2167" s="3" t="s">
        <v>2250</v>
      </c>
      <c r="B2167" s="3" t="s">
        <v>44</v>
      </c>
      <c r="C2167" s="3">
        <v>70</v>
      </c>
      <c r="D2167" s="6">
        <v>106</v>
      </c>
      <c r="E2167" s="6">
        <v>7420</v>
      </c>
      <c r="F2167" s="5">
        <v>45737</v>
      </c>
      <c r="G2167" s="5">
        <v>45739</v>
      </c>
      <c r="H2167" s="3" t="s">
        <v>26</v>
      </c>
      <c r="I2167" s="4" t="s">
        <v>75</v>
      </c>
      <c r="J2167" s="3">
        <v>5</v>
      </c>
      <c r="K2167" s="3" t="s">
        <v>67</v>
      </c>
      <c r="L2167" s="3">
        <v>2</v>
      </c>
      <c r="M2167" s="3">
        <v>12</v>
      </c>
      <c r="N2167" s="3" t="s">
        <v>28</v>
      </c>
    </row>
    <row r="2168" spans="1:14" x14ac:dyDescent="0.3">
      <c r="A2168" s="7" t="s">
        <v>2251</v>
      </c>
      <c r="B2168" s="7" t="s">
        <v>74</v>
      </c>
      <c r="C2168" s="7">
        <v>5</v>
      </c>
      <c r="D2168" s="10">
        <v>76.8</v>
      </c>
      <c r="E2168" s="10">
        <v>384</v>
      </c>
      <c r="F2168" s="9">
        <v>45737</v>
      </c>
      <c r="G2168" s="9">
        <v>45743</v>
      </c>
      <c r="H2168" s="7"/>
      <c r="I2168" s="8" t="s">
        <v>40</v>
      </c>
      <c r="J2168" s="7">
        <v>3</v>
      </c>
      <c r="K2168" s="7" t="s">
        <v>114</v>
      </c>
      <c r="L2168" s="7">
        <v>6</v>
      </c>
      <c r="M2168" s="7">
        <v>12</v>
      </c>
      <c r="N2168" s="7" t="s">
        <v>23</v>
      </c>
    </row>
    <row r="2169" spans="1:14" x14ac:dyDescent="0.3">
      <c r="A2169" s="3" t="s">
        <v>2252</v>
      </c>
      <c r="B2169" s="3" t="s">
        <v>44</v>
      </c>
      <c r="C2169" s="3">
        <v>2</v>
      </c>
      <c r="D2169" s="6">
        <v>80.400000000000006</v>
      </c>
      <c r="E2169" s="6">
        <v>160.80000000000001</v>
      </c>
      <c r="F2169" s="5">
        <v>45737</v>
      </c>
      <c r="G2169" s="5">
        <v>45738</v>
      </c>
      <c r="H2169" s="3" t="s">
        <v>31</v>
      </c>
      <c r="I2169" s="4" t="s">
        <v>45</v>
      </c>
      <c r="J2169" s="3">
        <v>4</v>
      </c>
      <c r="K2169" s="3" t="s">
        <v>87</v>
      </c>
      <c r="L2169" s="3">
        <v>1</v>
      </c>
      <c r="M2169" s="3">
        <v>12</v>
      </c>
      <c r="N2169" s="3" t="s">
        <v>33</v>
      </c>
    </row>
    <row r="2170" spans="1:14" x14ac:dyDescent="0.3">
      <c r="A2170" s="7" t="s">
        <v>2253</v>
      </c>
      <c r="B2170" s="7" t="s">
        <v>44</v>
      </c>
      <c r="C2170" s="7">
        <v>4</v>
      </c>
      <c r="D2170" s="10">
        <v>69.099999999999994</v>
      </c>
      <c r="E2170" s="10">
        <v>276.39999999999998</v>
      </c>
      <c r="F2170" s="9">
        <v>45737</v>
      </c>
      <c r="G2170" s="9">
        <v>45738</v>
      </c>
      <c r="H2170" s="7" t="s">
        <v>26</v>
      </c>
      <c r="I2170" s="8" t="s">
        <v>40</v>
      </c>
      <c r="J2170" s="7">
        <v>5</v>
      </c>
      <c r="K2170" s="7" t="s">
        <v>121</v>
      </c>
      <c r="L2170" s="7">
        <v>1</v>
      </c>
      <c r="M2170" s="7">
        <v>12</v>
      </c>
      <c r="N2170" s="7" t="s">
        <v>28</v>
      </c>
    </row>
    <row r="2171" spans="1:14" x14ac:dyDescent="0.3">
      <c r="A2171" s="3" t="s">
        <v>2254</v>
      </c>
      <c r="B2171" s="3" t="s">
        <v>152</v>
      </c>
      <c r="C2171" s="3">
        <v>2</v>
      </c>
      <c r="D2171" s="6">
        <v>76.400000000000006</v>
      </c>
      <c r="E2171" s="6">
        <v>152.80000000000001</v>
      </c>
      <c r="F2171" s="5">
        <v>45737</v>
      </c>
      <c r="G2171" s="5">
        <v>45737</v>
      </c>
      <c r="H2171" s="3" t="s">
        <v>26</v>
      </c>
      <c r="I2171" s="4" t="s">
        <v>56</v>
      </c>
      <c r="J2171" s="3">
        <v>4</v>
      </c>
      <c r="K2171" s="3" t="s">
        <v>121</v>
      </c>
      <c r="L2171" s="3">
        <v>0</v>
      </c>
      <c r="M2171" s="3">
        <v>12</v>
      </c>
      <c r="N2171" s="3" t="s">
        <v>28</v>
      </c>
    </row>
    <row r="2172" spans="1:14" x14ac:dyDescent="0.3">
      <c r="A2172" s="7" t="s">
        <v>2255</v>
      </c>
      <c r="B2172" s="7" t="s">
        <v>30</v>
      </c>
      <c r="C2172" s="7">
        <v>2</v>
      </c>
      <c r="D2172" s="10">
        <v>61.3</v>
      </c>
      <c r="E2172" s="10">
        <v>122.6</v>
      </c>
      <c r="F2172" s="9">
        <v>45737</v>
      </c>
      <c r="G2172" s="9">
        <v>45738</v>
      </c>
      <c r="H2172" s="7" t="s">
        <v>31</v>
      </c>
      <c r="I2172" s="8" t="s">
        <v>40</v>
      </c>
      <c r="J2172" s="7">
        <v>3</v>
      </c>
      <c r="K2172" s="7" t="s">
        <v>121</v>
      </c>
      <c r="L2172" s="7">
        <v>1</v>
      </c>
      <c r="M2172" s="7">
        <v>12</v>
      </c>
      <c r="N2172" s="7" t="s">
        <v>33</v>
      </c>
    </row>
    <row r="2173" spans="1:14" x14ac:dyDescent="0.3">
      <c r="A2173" s="3" t="s">
        <v>2256</v>
      </c>
      <c r="B2173" s="3" t="s">
        <v>47</v>
      </c>
      <c r="C2173" s="3">
        <v>1</v>
      </c>
      <c r="D2173" s="6">
        <v>58</v>
      </c>
      <c r="E2173" s="6">
        <v>58</v>
      </c>
      <c r="F2173" s="5">
        <v>45737</v>
      </c>
      <c r="G2173" s="5">
        <v>45738</v>
      </c>
      <c r="H2173" s="3" t="s">
        <v>26</v>
      </c>
      <c r="I2173" s="4" t="s">
        <v>56</v>
      </c>
      <c r="J2173" s="3">
        <v>3</v>
      </c>
      <c r="K2173" s="3" t="s">
        <v>27</v>
      </c>
      <c r="L2173" s="3">
        <v>1</v>
      </c>
      <c r="M2173" s="3">
        <v>12</v>
      </c>
      <c r="N2173" s="3" t="s">
        <v>28</v>
      </c>
    </row>
    <row r="2174" spans="1:14" x14ac:dyDescent="0.3">
      <c r="A2174" s="7" t="s">
        <v>2257</v>
      </c>
      <c r="B2174" s="7" t="s">
        <v>30</v>
      </c>
      <c r="C2174" s="7">
        <v>8</v>
      </c>
      <c r="D2174" s="10">
        <v>102.3</v>
      </c>
      <c r="E2174" s="10">
        <v>818.4</v>
      </c>
      <c r="F2174" s="9">
        <v>45737</v>
      </c>
      <c r="G2174" s="9">
        <v>45739</v>
      </c>
      <c r="H2174" s="7" t="s">
        <v>26</v>
      </c>
      <c r="I2174" s="8" t="s">
        <v>45</v>
      </c>
      <c r="J2174" s="7">
        <v>4</v>
      </c>
      <c r="K2174" s="7" t="s">
        <v>114</v>
      </c>
      <c r="L2174" s="7">
        <v>2</v>
      </c>
      <c r="M2174" s="7">
        <v>12</v>
      </c>
      <c r="N2174" s="7" t="s">
        <v>28</v>
      </c>
    </row>
    <row r="2175" spans="1:14" x14ac:dyDescent="0.3">
      <c r="A2175" s="3" t="s">
        <v>2258</v>
      </c>
      <c r="B2175" s="3" t="s">
        <v>177</v>
      </c>
      <c r="C2175" s="3">
        <v>2</v>
      </c>
      <c r="D2175" s="6">
        <v>13.8</v>
      </c>
      <c r="E2175" s="6">
        <v>27.6</v>
      </c>
      <c r="F2175" s="5">
        <v>45737</v>
      </c>
      <c r="G2175" s="5">
        <v>45738</v>
      </c>
      <c r="H2175" s="3" t="s">
        <v>31</v>
      </c>
      <c r="I2175" s="4" t="s">
        <v>75</v>
      </c>
      <c r="J2175" s="3">
        <v>5</v>
      </c>
      <c r="K2175" s="3" t="s">
        <v>32</v>
      </c>
      <c r="L2175" s="3">
        <v>1</v>
      </c>
      <c r="M2175" s="3">
        <v>12</v>
      </c>
      <c r="N2175" s="3" t="s">
        <v>33</v>
      </c>
    </row>
    <row r="2176" spans="1:14" x14ac:dyDescent="0.3">
      <c r="A2176" s="7" t="s">
        <v>2259</v>
      </c>
      <c r="B2176" s="7" t="s">
        <v>49</v>
      </c>
      <c r="C2176" s="7">
        <v>3</v>
      </c>
      <c r="D2176" s="10">
        <v>33.299999999999997</v>
      </c>
      <c r="E2176" s="10">
        <v>99.899999999999991</v>
      </c>
      <c r="F2176" s="9">
        <v>45737</v>
      </c>
      <c r="G2176" s="9">
        <v>45740</v>
      </c>
      <c r="H2176" s="7" t="s">
        <v>31</v>
      </c>
      <c r="I2176" s="8" t="s">
        <v>45</v>
      </c>
      <c r="J2176" s="7">
        <v>4</v>
      </c>
      <c r="K2176" s="7" t="s">
        <v>153</v>
      </c>
      <c r="L2176" s="7">
        <v>3</v>
      </c>
      <c r="M2176" s="7">
        <v>12</v>
      </c>
      <c r="N2176" s="7" t="s">
        <v>33</v>
      </c>
    </row>
    <row r="2177" spans="1:14" x14ac:dyDescent="0.3">
      <c r="A2177" s="3" t="s">
        <v>2260</v>
      </c>
      <c r="B2177" s="3" t="s">
        <v>59</v>
      </c>
      <c r="C2177" s="3">
        <v>1</v>
      </c>
      <c r="D2177" s="6">
        <v>27.4</v>
      </c>
      <c r="E2177" s="6">
        <v>27.4</v>
      </c>
      <c r="F2177" s="5">
        <v>45737</v>
      </c>
      <c r="G2177" s="5">
        <v>45740</v>
      </c>
      <c r="H2177" s="3" t="s">
        <v>26</v>
      </c>
      <c r="I2177" s="4" t="s">
        <v>21</v>
      </c>
      <c r="J2177" s="3">
        <v>5</v>
      </c>
      <c r="K2177" s="3" t="s">
        <v>153</v>
      </c>
      <c r="L2177" s="3">
        <v>3</v>
      </c>
      <c r="M2177" s="3">
        <v>12</v>
      </c>
      <c r="N2177" s="3" t="s">
        <v>28</v>
      </c>
    </row>
    <row r="2178" spans="1:14" x14ac:dyDescent="0.3">
      <c r="A2178" s="7" t="s">
        <v>2261</v>
      </c>
      <c r="B2178" s="7" t="s">
        <v>86</v>
      </c>
      <c r="C2178" s="7">
        <v>2</v>
      </c>
      <c r="D2178" s="10">
        <v>25.6</v>
      </c>
      <c r="E2178" s="10">
        <v>51.2</v>
      </c>
      <c r="F2178" s="9">
        <v>45737</v>
      </c>
      <c r="G2178" s="9">
        <v>45738</v>
      </c>
      <c r="H2178" s="7" t="s">
        <v>31</v>
      </c>
      <c r="I2178" s="8" t="s">
        <v>40</v>
      </c>
      <c r="J2178" s="7">
        <v>3</v>
      </c>
      <c r="K2178" s="7" t="s">
        <v>38</v>
      </c>
      <c r="L2178" s="7">
        <v>1</v>
      </c>
      <c r="M2178" s="7">
        <v>12</v>
      </c>
      <c r="N2178" s="7" t="s">
        <v>33</v>
      </c>
    </row>
    <row r="2179" spans="1:14" x14ac:dyDescent="0.3">
      <c r="A2179" s="3" t="s">
        <v>2262</v>
      </c>
      <c r="B2179" s="3" t="s">
        <v>81</v>
      </c>
      <c r="C2179" s="3">
        <v>1</v>
      </c>
      <c r="D2179" s="6">
        <v>58.4</v>
      </c>
      <c r="E2179" s="6">
        <v>58.4</v>
      </c>
      <c r="F2179" s="5">
        <v>45737</v>
      </c>
      <c r="G2179" s="5">
        <v>45738</v>
      </c>
      <c r="H2179" s="3" t="s">
        <v>31</v>
      </c>
      <c r="I2179" s="4" t="s">
        <v>45</v>
      </c>
      <c r="J2179" s="3">
        <v>5</v>
      </c>
      <c r="K2179" s="3" t="s">
        <v>38</v>
      </c>
      <c r="L2179" s="3">
        <v>1</v>
      </c>
      <c r="M2179" s="3">
        <v>12</v>
      </c>
      <c r="N2179" s="3" t="s">
        <v>33</v>
      </c>
    </row>
    <row r="2180" spans="1:14" x14ac:dyDescent="0.3">
      <c r="A2180" s="7" t="s">
        <v>2263</v>
      </c>
      <c r="B2180" s="7" t="s">
        <v>72</v>
      </c>
      <c r="C2180" s="7">
        <v>30</v>
      </c>
      <c r="D2180" s="10">
        <v>27</v>
      </c>
      <c r="E2180" s="10">
        <v>810</v>
      </c>
      <c r="F2180" s="9">
        <v>45737</v>
      </c>
      <c r="G2180" s="9">
        <v>45738</v>
      </c>
      <c r="H2180" s="7" t="s">
        <v>31</v>
      </c>
      <c r="I2180" s="8" t="s">
        <v>75</v>
      </c>
      <c r="J2180" s="7">
        <v>4</v>
      </c>
      <c r="K2180" s="7" t="s">
        <v>38</v>
      </c>
      <c r="L2180" s="7">
        <v>1</v>
      </c>
      <c r="M2180" s="7">
        <v>12</v>
      </c>
      <c r="N2180" s="7" t="s">
        <v>33</v>
      </c>
    </row>
    <row r="2181" spans="1:14" x14ac:dyDescent="0.3">
      <c r="A2181" s="3" t="s">
        <v>2264</v>
      </c>
      <c r="B2181" s="3" t="s">
        <v>20</v>
      </c>
      <c r="C2181" s="3">
        <v>4</v>
      </c>
      <c r="D2181" s="6">
        <v>14.2</v>
      </c>
      <c r="E2181" s="6">
        <v>56.8</v>
      </c>
      <c r="F2181" s="5">
        <v>45737</v>
      </c>
      <c r="G2181" s="5">
        <v>45738</v>
      </c>
      <c r="H2181" s="3" t="s">
        <v>26</v>
      </c>
      <c r="I2181" s="4" t="s">
        <v>21</v>
      </c>
      <c r="J2181" s="3">
        <v>5</v>
      </c>
      <c r="K2181" s="3" t="s">
        <v>38</v>
      </c>
      <c r="L2181" s="3">
        <v>1</v>
      </c>
      <c r="M2181" s="3">
        <v>12</v>
      </c>
      <c r="N2181" s="3" t="s">
        <v>28</v>
      </c>
    </row>
    <row r="2182" spans="1:14" x14ac:dyDescent="0.3">
      <c r="A2182" s="7" t="s">
        <v>2265</v>
      </c>
      <c r="B2182" s="7" t="s">
        <v>47</v>
      </c>
      <c r="C2182" s="7">
        <v>2</v>
      </c>
      <c r="D2182" s="10">
        <v>68</v>
      </c>
      <c r="E2182" s="10">
        <v>136</v>
      </c>
      <c r="F2182" s="9">
        <v>45737</v>
      </c>
      <c r="G2182" s="9">
        <v>45747</v>
      </c>
      <c r="H2182" s="7" t="s">
        <v>26</v>
      </c>
      <c r="I2182" s="8" t="s">
        <v>45</v>
      </c>
      <c r="J2182" s="7">
        <v>3</v>
      </c>
      <c r="K2182" s="7" t="s">
        <v>38</v>
      </c>
      <c r="L2182" s="7">
        <v>10</v>
      </c>
      <c r="M2182" s="7">
        <v>12</v>
      </c>
      <c r="N2182" s="7" t="s">
        <v>28</v>
      </c>
    </row>
    <row r="2183" spans="1:14" x14ac:dyDescent="0.3">
      <c r="A2183" s="3" t="s">
        <v>2266</v>
      </c>
      <c r="B2183" s="3" t="s">
        <v>49</v>
      </c>
      <c r="C2183" s="3">
        <v>1</v>
      </c>
      <c r="D2183" s="6">
        <v>30.7</v>
      </c>
      <c r="E2183" s="6">
        <v>30.7</v>
      </c>
      <c r="F2183" s="5">
        <v>45737</v>
      </c>
      <c r="G2183" s="5">
        <v>45738</v>
      </c>
      <c r="H2183" s="3" t="s">
        <v>26</v>
      </c>
      <c r="I2183" s="4" t="s">
        <v>21</v>
      </c>
      <c r="J2183" s="3">
        <v>4</v>
      </c>
      <c r="K2183" s="3" t="s">
        <v>38</v>
      </c>
      <c r="L2183" s="3">
        <v>1</v>
      </c>
      <c r="M2183" s="3">
        <v>12</v>
      </c>
      <c r="N2183" s="3" t="s">
        <v>28</v>
      </c>
    </row>
    <row r="2184" spans="1:14" x14ac:dyDescent="0.3">
      <c r="A2184" s="7" t="s">
        <v>2267</v>
      </c>
      <c r="B2184" s="7" t="s">
        <v>141</v>
      </c>
      <c r="C2184" s="7">
        <v>13</v>
      </c>
      <c r="D2184" s="10">
        <v>51.6</v>
      </c>
      <c r="E2184" s="10">
        <v>670.80000000000007</v>
      </c>
      <c r="F2184" s="9">
        <v>45737</v>
      </c>
      <c r="G2184" s="9">
        <v>45740</v>
      </c>
      <c r="H2184" s="7" t="s">
        <v>94</v>
      </c>
      <c r="I2184" s="8" t="s">
        <v>40</v>
      </c>
      <c r="J2184" s="7">
        <v>5</v>
      </c>
      <c r="K2184" s="7" t="s">
        <v>38</v>
      </c>
      <c r="L2184" s="7">
        <v>3</v>
      </c>
      <c r="M2184" s="7">
        <v>12</v>
      </c>
      <c r="N2184" s="7" t="s">
        <v>95</v>
      </c>
    </row>
    <row r="2185" spans="1:14" x14ac:dyDescent="0.3">
      <c r="A2185" s="3" t="s">
        <v>2268</v>
      </c>
      <c r="B2185" s="3" t="s">
        <v>49</v>
      </c>
      <c r="C2185" s="3">
        <v>3</v>
      </c>
      <c r="D2185" s="6">
        <v>20.6</v>
      </c>
      <c r="E2185" s="6">
        <v>61.8</v>
      </c>
      <c r="F2185" s="5">
        <v>45737</v>
      </c>
      <c r="G2185" s="5">
        <v>45741</v>
      </c>
      <c r="H2185" s="3" t="s">
        <v>31</v>
      </c>
      <c r="I2185" s="4" t="s">
        <v>75</v>
      </c>
      <c r="J2185" s="3">
        <v>5</v>
      </c>
      <c r="K2185" s="3" t="s">
        <v>38</v>
      </c>
      <c r="L2185" s="3">
        <v>4</v>
      </c>
      <c r="M2185" s="3">
        <v>12</v>
      </c>
      <c r="N2185" s="3" t="s">
        <v>33</v>
      </c>
    </row>
    <row r="2186" spans="1:14" x14ac:dyDescent="0.3">
      <c r="A2186" s="7" t="s">
        <v>2269</v>
      </c>
      <c r="B2186" s="7" t="s">
        <v>49</v>
      </c>
      <c r="C2186" s="7">
        <v>1</v>
      </c>
      <c r="D2186" s="10">
        <v>24.8</v>
      </c>
      <c r="E2186" s="10">
        <v>24.8</v>
      </c>
      <c r="F2186" s="9">
        <v>45737</v>
      </c>
      <c r="G2186" s="9">
        <v>45738</v>
      </c>
      <c r="H2186" s="7" t="s">
        <v>26</v>
      </c>
      <c r="I2186" s="8" t="s">
        <v>75</v>
      </c>
      <c r="J2186" s="7">
        <v>4</v>
      </c>
      <c r="K2186" s="7" t="s">
        <v>38</v>
      </c>
      <c r="L2186" s="7">
        <v>1</v>
      </c>
      <c r="M2186" s="7">
        <v>12</v>
      </c>
      <c r="N2186" s="7" t="s">
        <v>28</v>
      </c>
    </row>
    <row r="2187" spans="1:14" x14ac:dyDescent="0.3">
      <c r="A2187" s="3" t="s">
        <v>2270</v>
      </c>
      <c r="B2187" s="3" t="s">
        <v>20</v>
      </c>
      <c r="C2187" s="3">
        <v>7</v>
      </c>
      <c r="D2187" s="6">
        <v>11.2</v>
      </c>
      <c r="E2187" s="6">
        <v>78.399999999999991</v>
      </c>
      <c r="F2187" s="5">
        <v>45737</v>
      </c>
      <c r="G2187" s="5">
        <v>45740</v>
      </c>
      <c r="H2187" s="3" t="s">
        <v>26</v>
      </c>
      <c r="I2187" s="4" t="s">
        <v>40</v>
      </c>
      <c r="J2187" s="3">
        <v>4</v>
      </c>
      <c r="K2187" s="3" t="s">
        <v>38</v>
      </c>
      <c r="L2187" s="3">
        <v>3</v>
      </c>
      <c r="M2187" s="3">
        <v>12</v>
      </c>
      <c r="N2187" s="3" t="s">
        <v>28</v>
      </c>
    </row>
    <row r="2188" spans="1:14" x14ac:dyDescent="0.3">
      <c r="A2188" s="7" t="s">
        <v>2271</v>
      </c>
      <c r="B2188" s="7" t="s">
        <v>72</v>
      </c>
      <c r="C2188" s="7">
        <v>2</v>
      </c>
      <c r="D2188" s="10">
        <v>51.2</v>
      </c>
      <c r="E2188" s="10">
        <v>102.4</v>
      </c>
      <c r="F2188" s="9">
        <v>45737</v>
      </c>
      <c r="G2188" s="9">
        <v>45738</v>
      </c>
      <c r="H2188" s="7" t="s">
        <v>31</v>
      </c>
      <c r="I2188" s="8" t="s">
        <v>40</v>
      </c>
      <c r="J2188" s="7">
        <v>5</v>
      </c>
      <c r="K2188" s="7" t="s">
        <v>38</v>
      </c>
      <c r="L2188" s="7">
        <v>1</v>
      </c>
      <c r="M2188" s="7">
        <v>12</v>
      </c>
      <c r="N2188" s="7" t="s">
        <v>33</v>
      </c>
    </row>
    <row r="2189" spans="1:14" x14ac:dyDescent="0.3">
      <c r="A2189" s="3" t="s">
        <v>2272</v>
      </c>
      <c r="B2189" s="3" t="s">
        <v>47</v>
      </c>
      <c r="C2189" s="3">
        <v>6</v>
      </c>
      <c r="D2189" s="6">
        <v>90.5</v>
      </c>
      <c r="E2189" s="6">
        <v>543</v>
      </c>
      <c r="F2189" s="5">
        <v>45737</v>
      </c>
      <c r="G2189" s="5">
        <v>45738</v>
      </c>
      <c r="H2189" s="3" t="s">
        <v>31</v>
      </c>
      <c r="I2189" s="4" t="s">
        <v>40</v>
      </c>
      <c r="J2189" s="3">
        <v>2</v>
      </c>
      <c r="K2189" s="3" t="s">
        <v>38</v>
      </c>
      <c r="L2189" s="3">
        <v>1</v>
      </c>
      <c r="M2189" s="3">
        <v>12</v>
      </c>
      <c r="N2189" s="3" t="s">
        <v>33</v>
      </c>
    </row>
    <row r="2190" spans="1:14" x14ac:dyDescent="0.3">
      <c r="A2190" s="7" t="s">
        <v>2273</v>
      </c>
      <c r="B2190" s="7" t="s">
        <v>25</v>
      </c>
      <c r="C2190" s="7">
        <v>2</v>
      </c>
      <c r="D2190" s="10">
        <v>42.4</v>
      </c>
      <c r="E2190" s="10">
        <v>84.8</v>
      </c>
      <c r="F2190" s="9">
        <v>45737</v>
      </c>
      <c r="G2190" s="9">
        <v>45738</v>
      </c>
      <c r="H2190" s="7" t="s">
        <v>26</v>
      </c>
      <c r="I2190" s="8" t="s">
        <v>40</v>
      </c>
      <c r="J2190" s="7">
        <v>5</v>
      </c>
      <c r="K2190" s="7" t="s">
        <v>54</v>
      </c>
      <c r="L2190" s="7">
        <v>1</v>
      </c>
      <c r="M2190" s="7">
        <v>12</v>
      </c>
      <c r="N2190" s="7" t="s">
        <v>28</v>
      </c>
    </row>
    <row r="2191" spans="1:14" x14ac:dyDescent="0.3">
      <c r="A2191" s="3" t="s">
        <v>2274</v>
      </c>
      <c r="B2191" s="3" t="s">
        <v>25</v>
      </c>
      <c r="C2191" s="3">
        <v>2</v>
      </c>
      <c r="D2191" s="6">
        <v>38.200000000000003</v>
      </c>
      <c r="E2191" s="6">
        <v>76.400000000000006</v>
      </c>
      <c r="F2191" s="5">
        <v>45737</v>
      </c>
      <c r="G2191" s="5">
        <v>45738</v>
      </c>
      <c r="H2191" s="3" t="s">
        <v>26</v>
      </c>
      <c r="I2191" s="4" t="s">
        <v>21</v>
      </c>
      <c r="J2191" s="3">
        <v>4</v>
      </c>
      <c r="K2191" s="3" t="s">
        <v>57</v>
      </c>
      <c r="L2191" s="3">
        <v>1</v>
      </c>
      <c r="M2191" s="3">
        <v>12</v>
      </c>
      <c r="N2191" s="3" t="s">
        <v>28</v>
      </c>
    </row>
    <row r="2192" spans="1:14" x14ac:dyDescent="0.3">
      <c r="A2192" s="7" t="s">
        <v>2275</v>
      </c>
      <c r="B2192" s="7" t="s">
        <v>30</v>
      </c>
      <c r="C2192" s="7">
        <v>9</v>
      </c>
      <c r="D2192" s="10">
        <v>121.3</v>
      </c>
      <c r="E2192" s="10">
        <v>1091.7</v>
      </c>
      <c r="F2192" s="9">
        <v>45737</v>
      </c>
      <c r="G2192" s="9">
        <v>45742</v>
      </c>
      <c r="H2192" s="7" t="s">
        <v>26</v>
      </c>
      <c r="I2192" s="8" t="s">
        <v>21</v>
      </c>
      <c r="J2192" s="7">
        <v>4</v>
      </c>
      <c r="K2192" s="7" t="s">
        <v>60</v>
      </c>
      <c r="L2192" s="7">
        <v>5</v>
      </c>
      <c r="M2192" s="7">
        <v>12</v>
      </c>
      <c r="N2192" s="7" t="s">
        <v>28</v>
      </c>
    </row>
    <row r="2193" spans="1:14" x14ac:dyDescent="0.3">
      <c r="A2193" s="3" t="s">
        <v>2276</v>
      </c>
      <c r="B2193" s="3" t="s">
        <v>44</v>
      </c>
      <c r="C2193" s="3">
        <v>2</v>
      </c>
      <c r="D2193" s="6">
        <v>46.9</v>
      </c>
      <c r="E2193" s="6">
        <v>93.8</v>
      </c>
      <c r="F2193" s="5">
        <v>45737</v>
      </c>
      <c r="G2193" s="5">
        <v>45744</v>
      </c>
      <c r="H2193" s="3" t="s">
        <v>26</v>
      </c>
      <c r="I2193" s="4" t="s">
        <v>21</v>
      </c>
      <c r="J2193" s="3">
        <v>4</v>
      </c>
      <c r="K2193" s="3" t="s">
        <v>67</v>
      </c>
      <c r="L2193" s="3">
        <v>7</v>
      </c>
      <c r="M2193" s="3">
        <v>12</v>
      </c>
      <c r="N2193" s="3" t="s">
        <v>28</v>
      </c>
    </row>
    <row r="2194" spans="1:14" x14ac:dyDescent="0.3">
      <c r="A2194" s="7" t="s">
        <v>2277</v>
      </c>
      <c r="B2194" s="7" t="s">
        <v>59</v>
      </c>
      <c r="C2194" s="7">
        <v>1</v>
      </c>
      <c r="D2194" s="10">
        <v>55.3</v>
      </c>
      <c r="E2194" s="10">
        <v>55.3</v>
      </c>
      <c r="F2194" s="9">
        <v>45737</v>
      </c>
      <c r="G2194" s="9">
        <v>45739</v>
      </c>
      <c r="H2194" s="7" t="s">
        <v>26</v>
      </c>
      <c r="I2194" s="8" t="s">
        <v>21</v>
      </c>
      <c r="J2194" s="7">
        <v>4</v>
      </c>
      <c r="K2194" s="7" t="s">
        <v>67</v>
      </c>
      <c r="L2194" s="7">
        <v>2</v>
      </c>
      <c r="M2194" s="7">
        <v>12</v>
      </c>
      <c r="N2194" s="7" t="s">
        <v>28</v>
      </c>
    </row>
    <row r="2195" spans="1:14" x14ac:dyDescent="0.3">
      <c r="A2195" s="3" t="s">
        <v>2278</v>
      </c>
      <c r="B2195" s="3" t="s">
        <v>30</v>
      </c>
      <c r="C2195" s="3">
        <v>3</v>
      </c>
      <c r="D2195" s="6">
        <v>70.599999999999994</v>
      </c>
      <c r="E2195" s="6">
        <v>211.8</v>
      </c>
      <c r="F2195" s="5">
        <v>45738</v>
      </c>
      <c r="G2195" s="5">
        <v>45738</v>
      </c>
      <c r="H2195" s="3" t="s">
        <v>31</v>
      </c>
      <c r="I2195" s="4" t="s">
        <v>21</v>
      </c>
      <c r="J2195" s="3">
        <v>3</v>
      </c>
      <c r="K2195" s="3" t="s">
        <v>67</v>
      </c>
      <c r="L2195" s="3">
        <v>0</v>
      </c>
      <c r="M2195" s="3">
        <v>12</v>
      </c>
      <c r="N2195" s="3" t="s">
        <v>33</v>
      </c>
    </row>
    <row r="2196" spans="1:14" x14ac:dyDescent="0.3">
      <c r="A2196" s="7" t="s">
        <v>2279</v>
      </c>
      <c r="B2196" s="7" t="s">
        <v>86</v>
      </c>
      <c r="C2196" s="7">
        <v>4</v>
      </c>
      <c r="D2196" s="10">
        <v>26.1</v>
      </c>
      <c r="E2196" s="10">
        <v>104.4</v>
      </c>
      <c r="F2196" s="9">
        <v>45738</v>
      </c>
      <c r="G2196" s="9">
        <v>45740</v>
      </c>
      <c r="H2196" s="7" t="s">
        <v>26</v>
      </c>
      <c r="I2196" s="8" t="s">
        <v>21</v>
      </c>
      <c r="J2196" s="7">
        <v>4</v>
      </c>
      <c r="K2196" s="7" t="s">
        <v>67</v>
      </c>
      <c r="L2196" s="7">
        <v>2</v>
      </c>
      <c r="M2196" s="7">
        <v>12</v>
      </c>
      <c r="N2196" s="7" t="s">
        <v>28</v>
      </c>
    </row>
    <row r="2197" spans="1:14" x14ac:dyDescent="0.3">
      <c r="A2197" s="3" t="s">
        <v>2280</v>
      </c>
      <c r="B2197" s="3" t="s">
        <v>51</v>
      </c>
      <c r="C2197" s="3">
        <v>11</v>
      </c>
      <c r="D2197" s="6">
        <v>34.5</v>
      </c>
      <c r="E2197" s="6">
        <v>379.5</v>
      </c>
      <c r="F2197" s="5">
        <v>45738</v>
      </c>
      <c r="G2197" s="5">
        <v>45742</v>
      </c>
      <c r="H2197" s="3" t="s">
        <v>26</v>
      </c>
      <c r="I2197" s="4" t="s">
        <v>45</v>
      </c>
      <c r="J2197" s="3">
        <v>4</v>
      </c>
      <c r="K2197" s="3" t="s">
        <v>109</v>
      </c>
      <c r="L2197" s="3">
        <v>4</v>
      </c>
      <c r="M2197" s="3">
        <v>12</v>
      </c>
      <c r="N2197" s="3" t="s">
        <v>28</v>
      </c>
    </row>
    <row r="2198" spans="1:14" x14ac:dyDescent="0.3">
      <c r="A2198" s="7" t="s">
        <v>2281</v>
      </c>
      <c r="B2198" s="7" t="s">
        <v>25</v>
      </c>
      <c r="C2198" s="7">
        <v>2</v>
      </c>
      <c r="D2198" s="10">
        <v>64.2</v>
      </c>
      <c r="E2198" s="10">
        <v>128.4</v>
      </c>
      <c r="F2198" s="9">
        <v>45738</v>
      </c>
      <c r="G2198" s="9">
        <v>45739</v>
      </c>
      <c r="H2198" s="7" t="s">
        <v>31</v>
      </c>
      <c r="I2198" s="8" t="s">
        <v>21</v>
      </c>
      <c r="J2198" s="7">
        <v>3</v>
      </c>
      <c r="K2198" s="7" t="s">
        <v>109</v>
      </c>
      <c r="L2198" s="7">
        <v>1</v>
      </c>
      <c r="M2198" s="7">
        <v>12</v>
      </c>
      <c r="N2198" s="7" t="s">
        <v>33</v>
      </c>
    </row>
    <row r="2199" spans="1:14" x14ac:dyDescent="0.3">
      <c r="A2199" s="3" t="s">
        <v>2282</v>
      </c>
      <c r="B2199" s="3" t="s">
        <v>30</v>
      </c>
      <c r="C2199" s="3">
        <v>4</v>
      </c>
      <c r="D2199" s="6">
        <v>145.69999999999999</v>
      </c>
      <c r="E2199" s="6">
        <v>582.79999999999995</v>
      </c>
      <c r="F2199" s="5">
        <v>45738</v>
      </c>
      <c r="G2199" s="5">
        <v>45739</v>
      </c>
      <c r="H2199" s="3" t="s">
        <v>31</v>
      </c>
      <c r="I2199" s="4" t="s">
        <v>21</v>
      </c>
      <c r="J2199" s="3">
        <v>2</v>
      </c>
      <c r="K2199" s="3" t="s">
        <v>109</v>
      </c>
      <c r="L2199" s="3">
        <v>1</v>
      </c>
      <c r="M2199" s="3">
        <v>12</v>
      </c>
      <c r="N2199" s="3" t="s">
        <v>33</v>
      </c>
    </row>
    <row r="2200" spans="1:14" x14ac:dyDescent="0.3">
      <c r="A2200" s="7" t="s">
        <v>2283</v>
      </c>
      <c r="B2200" s="7" t="s">
        <v>74</v>
      </c>
      <c r="C2200" s="7">
        <v>2</v>
      </c>
      <c r="D2200" s="10">
        <v>78.5</v>
      </c>
      <c r="E2200" s="10">
        <v>157</v>
      </c>
      <c r="F2200" s="9">
        <v>45738</v>
      </c>
      <c r="G2200" s="9">
        <v>45739</v>
      </c>
      <c r="H2200" s="7" t="s">
        <v>26</v>
      </c>
      <c r="I2200" s="8" t="s">
        <v>45</v>
      </c>
      <c r="J2200" s="7">
        <v>4</v>
      </c>
      <c r="K2200" s="7" t="s">
        <v>207</v>
      </c>
      <c r="L2200" s="7">
        <v>1</v>
      </c>
      <c r="M2200" s="7">
        <v>12</v>
      </c>
      <c r="N2200" s="7" t="s">
        <v>28</v>
      </c>
    </row>
    <row r="2201" spans="1:14" x14ac:dyDescent="0.3">
      <c r="A2201" s="3" t="s">
        <v>2284</v>
      </c>
      <c r="B2201" s="3" t="s">
        <v>25</v>
      </c>
      <c r="C2201" s="3">
        <v>1</v>
      </c>
      <c r="D2201" s="6">
        <v>34.200000000000003</v>
      </c>
      <c r="E2201" s="6">
        <v>34.200000000000003</v>
      </c>
      <c r="F2201" s="5">
        <v>45738</v>
      </c>
      <c r="G2201" s="5">
        <v>45740</v>
      </c>
      <c r="H2201" s="3" t="s">
        <v>26</v>
      </c>
      <c r="I2201" s="4" t="s">
        <v>21</v>
      </c>
      <c r="J2201" s="3">
        <v>4</v>
      </c>
      <c r="K2201" s="3" t="s">
        <v>77</v>
      </c>
      <c r="L2201" s="3">
        <v>2</v>
      </c>
      <c r="M2201" s="3">
        <v>12</v>
      </c>
      <c r="N2201" s="3" t="s">
        <v>28</v>
      </c>
    </row>
    <row r="2202" spans="1:14" x14ac:dyDescent="0.3">
      <c r="A2202" s="7" t="s">
        <v>2285</v>
      </c>
      <c r="B2202" s="7" t="s">
        <v>177</v>
      </c>
      <c r="C2202" s="7">
        <v>1</v>
      </c>
      <c r="D2202" s="10">
        <v>26.2</v>
      </c>
      <c r="E2202" s="10">
        <v>26.2</v>
      </c>
      <c r="F2202" s="9">
        <v>45738</v>
      </c>
      <c r="G2202" s="9">
        <v>45739</v>
      </c>
      <c r="H2202" s="7" t="s">
        <v>26</v>
      </c>
      <c r="I2202" s="8" t="s">
        <v>45</v>
      </c>
      <c r="J2202" s="7">
        <v>4</v>
      </c>
      <c r="K2202" s="7" t="s">
        <v>77</v>
      </c>
      <c r="L2202" s="7">
        <v>1</v>
      </c>
      <c r="M2202" s="7">
        <v>12</v>
      </c>
      <c r="N2202" s="7" t="s">
        <v>28</v>
      </c>
    </row>
    <row r="2203" spans="1:14" x14ac:dyDescent="0.3">
      <c r="A2203" s="3" t="s">
        <v>2286</v>
      </c>
      <c r="B2203" s="3" t="s">
        <v>44</v>
      </c>
      <c r="C2203" s="3">
        <v>4</v>
      </c>
      <c r="D2203" s="6">
        <v>53.2</v>
      </c>
      <c r="E2203" s="6">
        <v>212.8</v>
      </c>
      <c r="F2203" s="5">
        <v>45738</v>
      </c>
      <c r="G2203" s="5">
        <v>45739</v>
      </c>
      <c r="H2203" s="3" t="s">
        <v>26</v>
      </c>
      <c r="I2203" s="4" t="s">
        <v>40</v>
      </c>
      <c r="J2203" s="3">
        <v>3</v>
      </c>
      <c r="K2203" s="3" t="s">
        <v>82</v>
      </c>
      <c r="L2203" s="3">
        <v>1</v>
      </c>
      <c r="M2203" s="3">
        <v>12</v>
      </c>
      <c r="N2203" s="3" t="s">
        <v>28</v>
      </c>
    </row>
    <row r="2204" spans="1:14" x14ac:dyDescent="0.3">
      <c r="A2204" s="7" t="s">
        <v>2287</v>
      </c>
      <c r="B2204" s="7" t="s">
        <v>25</v>
      </c>
      <c r="C2204" s="7">
        <v>1</v>
      </c>
      <c r="D2204" s="10">
        <v>35.4</v>
      </c>
      <c r="E2204" s="10">
        <v>35.4</v>
      </c>
      <c r="F2204" s="9">
        <v>45738</v>
      </c>
      <c r="G2204" s="9">
        <v>45742</v>
      </c>
      <c r="H2204" s="7" t="s">
        <v>26</v>
      </c>
      <c r="I2204" s="8" t="s">
        <v>40</v>
      </c>
      <c r="J2204" s="7">
        <v>2</v>
      </c>
      <c r="K2204" s="7" t="s">
        <v>114</v>
      </c>
      <c r="L2204" s="7">
        <v>4</v>
      </c>
      <c r="M2204" s="7">
        <v>12</v>
      </c>
      <c r="N2204" s="7" t="s">
        <v>28</v>
      </c>
    </row>
    <row r="2205" spans="1:14" x14ac:dyDescent="0.3">
      <c r="A2205" s="3" t="s">
        <v>2288</v>
      </c>
      <c r="B2205" s="3" t="s">
        <v>86</v>
      </c>
      <c r="C2205" s="3">
        <v>2</v>
      </c>
      <c r="D2205" s="6">
        <v>21.3</v>
      </c>
      <c r="E2205" s="6">
        <v>42.6</v>
      </c>
      <c r="F2205" s="5">
        <v>45738</v>
      </c>
      <c r="G2205" s="5">
        <v>45739</v>
      </c>
      <c r="H2205" s="3" t="s">
        <v>26</v>
      </c>
      <c r="I2205" s="4" t="s">
        <v>45</v>
      </c>
      <c r="J2205" s="3">
        <v>4</v>
      </c>
      <c r="K2205" s="3" t="s">
        <v>119</v>
      </c>
      <c r="L2205" s="3">
        <v>1</v>
      </c>
      <c r="M2205" s="3">
        <v>12</v>
      </c>
      <c r="N2205" s="3" t="s">
        <v>28</v>
      </c>
    </row>
    <row r="2206" spans="1:14" x14ac:dyDescent="0.3">
      <c r="A2206" s="7" t="s">
        <v>2289</v>
      </c>
      <c r="B2206" s="7" t="s">
        <v>49</v>
      </c>
      <c r="C2206" s="7">
        <v>4</v>
      </c>
      <c r="D2206" s="10">
        <v>32.9</v>
      </c>
      <c r="E2206" s="10">
        <v>131.6</v>
      </c>
      <c r="F2206" s="9">
        <v>45738</v>
      </c>
      <c r="G2206" s="9">
        <v>45741</v>
      </c>
      <c r="H2206" s="7" t="s">
        <v>31</v>
      </c>
      <c r="I2206" s="8" t="s">
        <v>75</v>
      </c>
      <c r="J2206" s="7">
        <v>5</v>
      </c>
      <c r="K2206" s="7" t="s">
        <v>121</v>
      </c>
      <c r="L2206" s="7">
        <v>3</v>
      </c>
      <c r="M2206" s="7">
        <v>12</v>
      </c>
      <c r="N2206" s="7" t="s">
        <v>33</v>
      </c>
    </row>
    <row r="2207" spans="1:14" x14ac:dyDescent="0.3">
      <c r="A2207" s="3" t="s">
        <v>2290</v>
      </c>
      <c r="B2207" s="3" t="s">
        <v>42</v>
      </c>
      <c r="C2207" s="3">
        <v>15</v>
      </c>
      <c r="D2207" s="6">
        <v>85.5</v>
      </c>
      <c r="E2207" s="6">
        <v>1282.5</v>
      </c>
      <c r="F2207" s="5">
        <v>45738</v>
      </c>
      <c r="G2207" s="5">
        <v>45740</v>
      </c>
      <c r="H2207" s="3" t="s">
        <v>31</v>
      </c>
      <c r="I2207" s="4" t="s">
        <v>56</v>
      </c>
      <c r="J2207" s="3">
        <v>3</v>
      </c>
      <c r="K2207" s="3" t="s">
        <v>121</v>
      </c>
      <c r="L2207" s="3">
        <v>2</v>
      </c>
      <c r="M2207" s="3">
        <v>12</v>
      </c>
      <c r="N2207" s="3" t="s">
        <v>33</v>
      </c>
    </row>
    <row r="2208" spans="1:14" x14ac:dyDescent="0.3">
      <c r="A2208" s="7" t="s">
        <v>2291</v>
      </c>
      <c r="B2208" s="7" t="s">
        <v>37</v>
      </c>
      <c r="C2208" s="7">
        <v>1</v>
      </c>
      <c r="D2208" s="10">
        <v>26.8</v>
      </c>
      <c r="E2208" s="10">
        <v>26.8</v>
      </c>
      <c r="F2208" s="9">
        <v>45738</v>
      </c>
      <c r="G2208" s="9">
        <v>45739</v>
      </c>
      <c r="H2208" s="7" t="s">
        <v>31</v>
      </c>
      <c r="I2208" s="8" t="s">
        <v>21</v>
      </c>
      <c r="J2208" s="7">
        <v>3</v>
      </c>
      <c r="K2208" s="7" t="s">
        <v>32</v>
      </c>
      <c r="L2208" s="7">
        <v>1</v>
      </c>
      <c r="M2208" s="7">
        <v>12</v>
      </c>
      <c r="N2208" s="7" t="s">
        <v>33</v>
      </c>
    </row>
    <row r="2209" spans="1:14" x14ac:dyDescent="0.3">
      <c r="A2209" s="3" t="s">
        <v>2292</v>
      </c>
      <c r="B2209" s="3" t="s">
        <v>51</v>
      </c>
      <c r="C2209" s="3">
        <v>26</v>
      </c>
      <c r="D2209" s="6">
        <v>31.7</v>
      </c>
      <c r="E2209" s="6">
        <v>824.19999999999993</v>
      </c>
      <c r="F2209" s="5">
        <v>45738</v>
      </c>
      <c r="G2209" s="5">
        <v>45738</v>
      </c>
      <c r="H2209" s="3" t="s">
        <v>31</v>
      </c>
      <c r="I2209" s="4" t="s">
        <v>56</v>
      </c>
      <c r="J2209" s="3">
        <v>4</v>
      </c>
      <c r="K2209" s="3" t="s">
        <v>32</v>
      </c>
      <c r="L2209" s="3">
        <v>0</v>
      </c>
      <c r="M2209" s="3">
        <v>12</v>
      </c>
      <c r="N2209" s="3" t="s">
        <v>33</v>
      </c>
    </row>
    <row r="2210" spans="1:14" x14ac:dyDescent="0.3">
      <c r="A2210" s="7" t="s">
        <v>2293</v>
      </c>
      <c r="B2210" s="7" t="s">
        <v>25</v>
      </c>
      <c r="C2210" s="7">
        <v>2</v>
      </c>
      <c r="D2210" s="10">
        <v>78.3</v>
      </c>
      <c r="E2210" s="10">
        <v>156.6</v>
      </c>
      <c r="F2210" s="9">
        <v>45738</v>
      </c>
      <c r="G2210" s="9">
        <v>45740</v>
      </c>
      <c r="H2210" s="7" t="s">
        <v>31</v>
      </c>
      <c r="I2210" s="8" t="s">
        <v>40</v>
      </c>
      <c r="J2210" s="7">
        <v>3</v>
      </c>
      <c r="K2210" s="7" t="s">
        <v>38</v>
      </c>
      <c r="L2210" s="7">
        <v>2</v>
      </c>
      <c r="M2210" s="7">
        <v>12</v>
      </c>
      <c r="N2210" s="7" t="s">
        <v>33</v>
      </c>
    </row>
    <row r="2211" spans="1:14" x14ac:dyDescent="0.3">
      <c r="A2211" s="3" t="s">
        <v>2294</v>
      </c>
      <c r="B2211" s="3" t="s">
        <v>44</v>
      </c>
      <c r="C2211" s="3">
        <v>1</v>
      </c>
      <c r="D2211" s="6">
        <v>43.9</v>
      </c>
      <c r="E2211" s="6">
        <v>43.9</v>
      </c>
      <c r="F2211" s="5">
        <v>45738</v>
      </c>
      <c r="G2211" s="5">
        <v>45739</v>
      </c>
      <c r="H2211" s="3" t="s">
        <v>26</v>
      </c>
      <c r="I2211" s="4" t="s">
        <v>21</v>
      </c>
      <c r="J2211" s="3">
        <v>4</v>
      </c>
      <c r="K2211" s="3" t="s">
        <v>38</v>
      </c>
      <c r="L2211" s="3">
        <v>1</v>
      </c>
      <c r="M2211" s="3">
        <v>12</v>
      </c>
      <c r="N2211" s="3" t="s">
        <v>28</v>
      </c>
    </row>
    <row r="2212" spans="1:14" x14ac:dyDescent="0.3">
      <c r="A2212" s="7" t="s">
        <v>2295</v>
      </c>
      <c r="B2212" s="7" t="s">
        <v>152</v>
      </c>
      <c r="C2212" s="7">
        <v>3</v>
      </c>
      <c r="D2212" s="10">
        <v>84</v>
      </c>
      <c r="E2212" s="10">
        <v>252</v>
      </c>
      <c r="F2212" s="9">
        <v>45738</v>
      </c>
      <c r="G2212" s="9">
        <v>45740</v>
      </c>
      <c r="H2212" s="7"/>
      <c r="I2212" s="8" t="s">
        <v>56</v>
      </c>
      <c r="J2212" s="7">
        <v>5</v>
      </c>
      <c r="K2212" s="7" t="s">
        <v>38</v>
      </c>
      <c r="L2212" s="7">
        <v>2</v>
      </c>
      <c r="M2212" s="7">
        <v>12</v>
      </c>
      <c r="N2212" s="7" t="s">
        <v>23</v>
      </c>
    </row>
    <row r="2213" spans="1:14" x14ac:dyDescent="0.3">
      <c r="A2213" s="3" t="s">
        <v>2296</v>
      </c>
      <c r="B2213" s="3" t="s">
        <v>20</v>
      </c>
      <c r="C2213" s="3">
        <v>3</v>
      </c>
      <c r="D2213" s="6">
        <v>11.4</v>
      </c>
      <c r="E2213" s="6">
        <v>34.200000000000003</v>
      </c>
      <c r="F2213" s="5">
        <v>45738</v>
      </c>
      <c r="G2213" s="5">
        <v>45739</v>
      </c>
      <c r="H2213" s="3" t="s">
        <v>26</v>
      </c>
      <c r="I2213" s="4" t="s">
        <v>75</v>
      </c>
      <c r="J2213" s="3">
        <v>4</v>
      </c>
      <c r="K2213" s="3" t="s">
        <v>38</v>
      </c>
      <c r="L2213" s="3">
        <v>1</v>
      </c>
      <c r="M2213" s="3">
        <v>12</v>
      </c>
      <c r="N2213" s="3" t="s">
        <v>28</v>
      </c>
    </row>
    <row r="2214" spans="1:14" x14ac:dyDescent="0.3">
      <c r="A2214" s="7" t="s">
        <v>2297</v>
      </c>
      <c r="B2214" s="7" t="s">
        <v>74</v>
      </c>
      <c r="C2214" s="7">
        <v>8</v>
      </c>
      <c r="D2214" s="10">
        <v>47.5</v>
      </c>
      <c r="E2214" s="10">
        <v>380</v>
      </c>
      <c r="F2214" s="9">
        <v>45738</v>
      </c>
      <c r="G2214" s="9">
        <v>45746</v>
      </c>
      <c r="H2214" s="7" t="s">
        <v>31</v>
      </c>
      <c r="I2214" s="8" t="s">
        <v>21</v>
      </c>
      <c r="J2214" s="7">
        <v>4</v>
      </c>
      <c r="K2214" s="7" t="s">
        <v>38</v>
      </c>
      <c r="L2214" s="7">
        <v>8</v>
      </c>
      <c r="M2214" s="7">
        <v>12</v>
      </c>
      <c r="N2214" s="7" t="s">
        <v>33</v>
      </c>
    </row>
    <row r="2215" spans="1:14" x14ac:dyDescent="0.3">
      <c r="A2215" s="3" t="s">
        <v>2298</v>
      </c>
      <c r="B2215" s="3" t="s">
        <v>51</v>
      </c>
      <c r="C2215" s="3">
        <v>11</v>
      </c>
      <c r="D2215" s="6">
        <v>50.5</v>
      </c>
      <c r="E2215" s="6">
        <v>555.5</v>
      </c>
      <c r="F2215" s="5">
        <v>45738</v>
      </c>
      <c r="G2215" s="5">
        <v>45740</v>
      </c>
      <c r="H2215" s="3" t="s">
        <v>26</v>
      </c>
      <c r="I2215" s="4" t="s">
        <v>45</v>
      </c>
      <c r="J2215" s="3">
        <v>4</v>
      </c>
      <c r="K2215" s="3" t="s">
        <v>38</v>
      </c>
      <c r="L2215" s="3">
        <v>2</v>
      </c>
      <c r="M2215" s="3">
        <v>12</v>
      </c>
      <c r="N2215" s="3" t="s">
        <v>28</v>
      </c>
    </row>
    <row r="2216" spans="1:14" x14ac:dyDescent="0.3">
      <c r="A2216" s="7" t="s">
        <v>2299</v>
      </c>
      <c r="B2216" s="7" t="s">
        <v>129</v>
      </c>
      <c r="C2216" s="7">
        <v>1</v>
      </c>
      <c r="D2216" s="10">
        <v>36.299999999999997</v>
      </c>
      <c r="E2216" s="10">
        <v>36.299999999999997</v>
      </c>
      <c r="F2216" s="9">
        <v>45738</v>
      </c>
      <c r="G2216" s="9">
        <v>45741</v>
      </c>
      <c r="H2216" s="7" t="s">
        <v>94</v>
      </c>
      <c r="I2216" s="8" t="s">
        <v>21</v>
      </c>
      <c r="J2216" s="7">
        <v>3</v>
      </c>
      <c r="K2216" s="7" t="s">
        <v>67</v>
      </c>
      <c r="L2216" s="7">
        <v>3</v>
      </c>
      <c r="M2216" s="7">
        <v>12</v>
      </c>
      <c r="N2216" s="7" t="s">
        <v>95</v>
      </c>
    </row>
    <row r="2217" spans="1:14" x14ac:dyDescent="0.3">
      <c r="A2217" s="3" t="s">
        <v>2300</v>
      </c>
      <c r="B2217" s="3" t="s">
        <v>49</v>
      </c>
      <c r="C2217" s="3">
        <v>2</v>
      </c>
      <c r="D2217" s="6">
        <v>35.4</v>
      </c>
      <c r="E2217" s="6">
        <v>70.8</v>
      </c>
      <c r="F2217" s="5">
        <v>45738</v>
      </c>
      <c r="G2217" s="5">
        <v>45739</v>
      </c>
      <c r="H2217" s="3" t="s">
        <v>31</v>
      </c>
      <c r="I2217" s="4" t="s">
        <v>21</v>
      </c>
      <c r="J2217" s="3">
        <v>4</v>
      </c>
      <c r="K2217" s="3" t="s">
        <v>109</v>
      </c>
      <c r="L2217" s="3">
        <v>1</v>
      </c>
      <c r="M2217" s="3">
        <v>12</v>
      </c>
      <c r="N2217" s="3" t="s">
        <v>33</v>
      </c>
    </row>
    <row r="2218" spans="1:14" x14ac:dyDescent="0.3">
      <c r="A2218" s="7" t="s">
        <v>2301</v>
      </c>
      <c r="B2218" s="7" t="s">
        <v>25</v>
      </c>
      <c r="C2218" s="7">
        <v>3</v>
      </c>
      <c r="D2218" s="10">
        <v>45.9</v>
      </c>
      <c r="E2218" s="10">
        <v>137.69999999999999</v>
      </c>
      <c r="F2218" s="9">
        <v>45739</v>
      </c>
      <c r="G2218" s="9">
        <v>45740</v>
      </c>
      <c r="H2218" s="7" t="s">
        <v>26</v>
      </c>
      <c r="I2218" s="8" t="s">
        <v>56</v>
      </c>
      <c r="J2218" s="7">
        <v>4</v>
      </c>
      <c r="K2218" s="7" t="s">
        <v>77</v>
      </c>
      <c r="L2218" s="7">
        <v>1</v>
      </c>
      <c r="M2218" s="7">
        <v>13</v>
      </c>
      <c r="N2218" s="7" t="s">
        <v>28</v>
      </c>
    </row>
    <row r="2219" spans="1:14" x14ac:dyDescent="0.3">
      <c r="A2219" s="3" t="s">
        <v>2302</v>
      </c>
      <c r="B2219" s="3" t="s">
        <v>44</v>
      </c>
      <c r="C2219" s="3">
        <v>10</v>
      </c>
      <c r="D2219" s="6">
        <v>41.2</v>
      </c>
      <c r="E2219" s="6">
        <v>412</v>
      </c>
      <c r="F2219" s="5">
        <v>45739</v>
      </c>
      <c r="G2219" s="5">
        <v>45743</v>
      </c>
      <c r="H2219" s="3" t="s">
        <v>26</v>
      </c>
      <c r="I2219" s="4" t="s">
        <v>21</v>
      </c>
      <c r="J2219" s="3">
        <v>4</v>
      </c>
      <c r="K2219" s="3" t="s">
        <v>82</v>
      </c>
      <c r="L2219" s="3">
        <v>4</v>
      </c>
      <c r="M2219" s="3">
        <v>13</v>
      </c>
      <c r="N2219" s="3" t="s">
        <v>28</v>
      </c>
    </row>
    <row r="2220" spans="1:14" x14ac:dyDescent="0.3">
      <c r="A2220" s="7" t="s">
        <v>2303</v>
      </c>
      <c r="B2220" s="7" t="s">
        <v>141</v>
      </c>
      <c r="C2220" s="7">
        <v>2</v>
      </c>
      <c r="D2220" s="10">
        <v>45.1</v>
      </c>
      <c r="E2220" s="10">
        <v>90.2</v>
      </c>
      <c r="F2220" s="9">
        <v>45739</v>
      </c>
      <c r="G2220" s="9">
        <v>45740</v>
      </c>
      <c r="H2220" s="7" t="s">
        <v>26</v>
      </c>
      <c r="I2220" s="8" t="s">
        <v>40</v>
      </c>
      <c r="J2220" s="7">
        <v>3</v>
      </c>
      <c r="K2220" s="7" t="s">
        <v>121</v>
      </c>
      <c r="L2220" s="7">
        <v>1</v>
      </c>
      <c r="M2220" s="7">
        <v>13</v>
      </c>
      <c r="N2220" s="7" t="s">
        <v>28</v>
      </c>
    </row>
    <row r="2221" spans="1:14" x14ac:dyDescent="0.3">
      <c r="A2221" s="3" t="s">
        <v>2304</v>
      </c>
      <c r="B2221" s="3" t="s">
        <v>44</v>
      </c>
      <c r="C2221" s="3">
        <v>10</v>
      </c>
      <c r="D2221" s="6">
        <v>63.6</v>
      </c>
      <c r="E2221" s="6">
        <v>636</v>
      </c>
      <c r="F2221" s="5">
        <v>45739</v>
      </c>
      <c r="G2221" s="5">
        <v>45739</v>
      </c>
      <c r="H2221" s="3" t="s">
        <v>26</v>
      </c>
      <c r="I2221" s="4" t="s">
        <v>45</v>
      </c>
      <c r="J2221" s="3">
        <v>4</v>
      </c>
      <c r="K2221" s="3" t="s">
        <v>27</v>
      </c>
      <c r="L2221" s="3">
        <v>0</v>
      </c>
      <c r="M2221" s="3">
        <v>13</v>
      </c>
      <c r="N2221" s="3" t="s">
        <v>28</v>
      </c>
    </row>
    <row r="2222" spans="1:14" x14ac:dyDescent="0.3">
      <c r="A2222" s="7" t="s">
        <v>2305</v>
      </c>
      <c r="B2222" s="7" t="s">
        <v>49</v>
      </c>
      <c r="C2222" s="7">
        <v>1</v>
      </c>
      <c r="D2222" s="10">
        <v>70.5</v>
      </c>
      <c r="E2222" s="10">
        <v>70.5</v>
      </c>
      <c r="F2222" s="9">
        <v>45739</v>
      </c>
      <c r="G2222" s="9">
        <v>45740</v>
      </c>
      <c r="H2222" s="7" t="s">
        <v>26</v>
      </c>
      <c r="I2222" s="8" t="s">
        <v>21</v>
      </c>
      <c r="J2222" s="7">
        <v>4</v>
      </c>
      <c r="K2222" s="7" t="s">
        <v>38</v>
      </c>
      <c r="L2222" s="7">
        <v>1</v>
      </c>
      <c r="M2222" s="7">
        <v>13</v>
      </c>
      <c r="N2222" s="7" t="s">
        <v>28</v>
      </c>
    </row>
    <row r="2223" spans="1:14" x14ac:dyDescent="0.3">
      <c r="A2223" s="3" t="s">
        <v>2306</v>
      </c>
      <c r="B2223" s="3" t="s">
        <v>44</v>
      </c>
      <c r="C2223" s="3">
        <v>1</v>
      </c>
      <c r="D2223" s="6">
        <v>41.3</v>
      </c>
      <c r="E2223" s="6">
        <v>41.3</v>
      </c>
      <c r="F2223" s="5">
        <v>45739</v>
      </c>
      <c r="G2223" s="5">
        <v>45739</v>
      </c>
      <c r="H2223" s="3" t="s">
        <v>26</v>
      </c>
      <c r="I2223" s="4" t="s">
        <v>75</v>
      </c>
      <c r="J2223" s="3">
        <v>4</v>
      </c>
      <c r="K2223" s="3" t="s">
        <v>38</v>
      </c>
      <c r="L2223" s="3">
        <v>0</v>
      </c>
      <c r="M2223" s="3">
        <v>13</v>
      </c>
      <c r="N2223" s="3" t="s">
        <v>28</v>
      </c>
    </row>
    <row r="2224" spans="1:14" x14ac:dyDescent="0.3">
      <c r="A2224" s="7" t="s">
        <v>2307</v>
      </c>
      <c r="B2224" s="7" t="s">
        <v>37</v>
      </c>
      <c r="C2224" s="7">
        <v>1</v>
      </c>
      <c r="D2224" s="10">
        <v>35.299999999999997</v>
      </c>
      <c r="E2224" s="10">
        <v>35.299999999999997</v>
      </c>
      <c r="F2224" s="9">
        <v>45739</v>
      </c>
      <c r="G2224" s="9">
        <v>45742</v>
      </c>
      <c r="H2224" s="7" t="s">
        <v>31</v>
      </c>
      <c r="I2224" s="8" t="s">
        <v>75</v>
      </c>
      <c r="J2224" s="7">
        <v>5</v>
      </c>
      <c r="K2224" s="7" t="s">
        <v>38</v>
      </c>
      <c r="L2224" s="7">
        <v>3</v>
      </c>
      <c r="M2224" s="7">
        <v>13</v>
      </c>
      <c r="N2224" s="7" t="s">
        <v>33</v>
      </c>
    </row>
    <row r="2225" spans="1:14" x14ac:dyDescent="0.3">
      <c r="A2225" s="3" t="s">
        <v>2308</v>
      </c>
      <c r="B2225" s="3" t="s">
        <v>49</v>
      </c>
      <c r="C2225" s="3">
        <v>5</v>
      </c>
      <c r="D2225" s="6">
        <v>34.700000000000003</v>
      </c>
      <c r="E2225" s="6">
        <v>173.5</v>
      </c>
      <c r="F2225" s="5">
        <v>45739</v>
      </c>
      <c r="G2225" s="5">
        <v>45740</v>
      </c>
      <c r="H2225" s="3" t="s">
        <v>31</v>
      </c>
      <c r="I2225" s="4" t="s">
        <v>21</v>
      </c>
      <c r="J2225" s="3">
        <v>5</v>
      </c>
      <c r="K2225" s="3" t="s">
        <v>38</v>
      </c>
      <c r="L2225" s="3">
        <v>1</v>
      </c>
      <c r="M2225" s="3">
        <v>13</v>
      </c>
      <c r="N2225" s="3" t="s">
        <v>33</v>
      </c>
    </row>
    <row r="2226" spans="1:14" x14ac:dyDescent="0.3">
      <c r="A2226" s="7" t="s">
        <v>2309</v>
      </c>
      <c r="B2226" s="7" t="s">
        <v>49</v>
      </c>
      <c r="C2226" s="7">
        <v>3</v>
      </c>
      <c r="D2226" s="10">
        <v>26.1</v>
      </c>
      <c r="E2226" s="10">
        <v>78.300000000000011</v>
      </c>
      <c r="F2226" s="9">
        <v>45739</v>
      </c>
      <c r="G2226" s="9">
        <v>45740</v>
      </c>
      <c r="H2226" s="7" t="s">
        <v>31</v>
      </c>
      <c r="I2226" s="8" t="s">
        <v>21</v>
      </c>
      <c r="J2226" s="7">
        <v>4</v>
      </c>
      <c r="K2226" s="7" t="s">
        <v>38</v>
      </c>
      <c r="L2226" s="7">
        <v>1</v>
      </c>
      <c r="M2226" s="7">
        <v>13</v>
      </c>
      <c r="N2226" s="7" t="s">
        <v>33</v>
      </c>
    </row>
    <row r="2227" spans="1:14" x14ac:dyDescent="0.3">
      <c r="A2227" s="3" t="s">
        <v>2310</v>
      </c>
      <c r="B2227" s="3" t="s">
        <v>51</v>
      </c>
      <c r="C2227" s="3">
        <v>5</v>
      </c>
      <c r="D2227" s="6">
        <v>22.6</v>
      </c>
      <c r="E2227" s="6">
        <v>113</v>
      </c>
      <c r="F2227" s="5">
        <v>45739</v>
      </c>
      <c r="G2227" s="5">
        <v>45739</v>
      </c>
      <c r="H2227" s="3" t="s">
        <v>31</v>
      </c>
      <c r="I2227" s="4" t="s">
        <v>40</v>
      </c>
      <c r="J2227" s="3">
        <v>5</v>
      </c>
      <c r="K2227" s="3" t="s">
        <v>38</v>
      </c>
      <c r="L2227" s="3">
        <v>0</v>
      </c>
      <c r="M2227" s="3">
        <v>13</v>
      </c>
      <c r="N2227" s="3" t="s">
        <v>33</v>
      </c>
    </row>
    <row r="2228" spans="1:14" x14ac:dyDescent="0.3">
      <c r="A2228" s="7" t="s">
        <v>2311</v>
      </c>
      <c r="B2228" s="7" t="s">
        <v>30</v>
      </c>
      <c r="C2228" s="7">
        <v>2</v>
      </c>
      <c r="D2228" s="10">
        <v>154.4</v>
      </c>
      <c r="E2228" s="10">
        <v>308.8</v>
      </c>
      <c r="F2228" s="9">
        <v>45739</v>
      </c>
      <c r="G2228" s="9">
        <v>45742</v>
      </c>
      <c r="H2228" s="7" t="s">
        <v>26</v>
      </c>
      <c r="I2228" s="8" t="s">
        <v>40</v>
      </c>
      <c r="J2228" s="7">
        <v>3</v>
      </c>
      <c r="K2228" s="7" t="s">
        <v>38</v>
      </c>
      <c r="L2228" s="7">
        <v>3</v>
      </c>
      <c r="M2228" s="7">
        <v>13</v>
      </c>
      <c r="N2228" s="7" t="s">
        <v>28</v>
      </c>
    </row>
    <row r="2229" spans="1:14" x14ac:dyDescent="0.3">
      <c r="A2229" s="3" t="s">
        <v>2312</v>
      </c>
      <c r="B2229" s="3" t="s">
        <v>49</v>
      </c>
      <c r="C2229" s="3">
        <v>2</v>
      </c>
      <c r="D2229" s="6">
        <v>18.399999999999999</v>
      </c>
      <c r="E2229" s="6">
        <v>36.799999999999997</v>
      </c>
      <c r="F2229" s="5">
        <v>45739</v>
      </c>
      <c r="G2229" s="5">
        <v>45740</v>
      </c>
      <c r="H2229" s="3" t="s">
        <v>26</v>
      </c>
      <c r="I2229" s="4" t="s">
        <v>21</v>
      </c>
      <c r="J2229" s="3">
        <v>4</v>
      </c>
      <c r="K2229" s="3" t="s">
        <v>38</v>
      </c>
      <c r="L2229" s="3">
        <v>1</v>
      </c>
      <c r="M2229" s="3">
        <v>13</v>
      </c>
      <c r="N2229" s="3" t="s">
        <v>28</v>
      </c>
    </row>
    <row r="2230" spans="1:14" x14ac:dyDescent="0.3">
      <c r="A2230" s="7" t="s">
        <v>2313</v>
      </c>
      <c r="B2230" s="7" t="s">
        <v>86</v>
      </c>
      <c r="C2230" s="7">
        <v>1</v>
      </c>
      <c r="D2230" s="10">
        <v>25</v>
      </c>
      <c r="E2230" s="10">
        <v>25</v>
      </c>
      <c r="F2230" s="9">
        <v>45739</v>
      </c>
      <c r="G2230" s="9">
        <v>45742</v>
      </c>
      <c r="H2230" s="7" t="s">
        <v>31</v>
      </c>
      <c r="I2230" s="8" t="s">
        <v>21</v>
      </c>
      <c r="J2230" s="7">
        <v>4</v>
      </c>
      <c r="K2230" s="7" t="s">
        <v>38</v>
      </c>
      <c r="L2230" s="7">
        <v>3</v>
      </c>
      <c r="M2230" s="7">
        <v>13</v>
      </c>
      <c r="N2230" s="7" t="s">
        <v>33</v>
      </c>
    </row>
    <row r="2231" spans="1:14" x14ac:dyDescent="0.3">
      <c r="A2231" s="3" t="s">
        <v>2314</v>
      </c>
      <c r="B2231" s="3" t="s">
        <v>30</v>
      </c>
      <c r="C2231" s="3">
        <v>6</v>
      </c>
      <c r="D2231" s="6">
        <v>105.6</v>
      </c>
      <c r="E2231" s="6">
        <v>633.59999999999991</v>
      </c>
      <c r="F2231" s="5">
        <v>45739</v>
      </c>
      <c r="G2231" s="5">
        <v>45739</v>
      </c>
      <c r="H2231" s="3" t="s">
        <v>31</v>
      </c>
      <c r="I2231" s="4" t="s">
        <v>21</v>
      </c>
      <c r="J2231" s="3">
        <v>4</v>
      </c>
      <c r="K2231" s="3" t="s">
        <v>38</v>
      </c>
      <c r="L2231" s="3">
        <v>0</v>
      </c>
      <c r="M2231" s="3">
        <v>13</v>
      </c>
      <c r="N2231" s="3" t="s">
        <v>33</v>
      </c>
    </row>
    <row r="2232" spans="1:14" x14ac:dyDescent="0.3">
      <c r="A2232" s="7" t="s">
        <v>2315</v>
      </c>
      <c r="B2232" s="7" t="s">
        <v>152</v>
      </c>
      <c r="C2232" s="7">
        <v>8</v>
      </c>
      <c r="D2232" s="10">
        <v>59.6</v>
      </c>
      <c r="E2232" s="10">
        <v>476.8</v>
      </c>
      <c r="F2232" s="9">
        <v>45739</v>
      </c>
      <c r="G2232" s="9">
        <v>45739</v>
      </c>
      <c r="H2232" s="7" t="s">
        <v>31</v>
      </c>
      <c r="I2232" s="8" t="s">
        <v>21</v>
      </c>
      <c r="J2232" s="7">
        <v>5</v>
      </c>
      <c r="K2232" s="7" t="s">
        <v>164</v>
      </c>
      <c r="L2232" s="7">
        <v>0</v>
      </c>
      <c r="M2232" s="7">
        <v>13</v>
      </c>
      <c r="N2232" s="7" t="s">
        <v>33</v>
      </c>
    </row>
    <row r="2233" spans="1:14" x14ac:dyDescent="0.3">
      <c r="A2233" s="3" t="s">
        <v>2316</v>
      </c>
      <c r="B2233" s="3" t="s">
        <v>129</v>
      </c>
      <c r="C2233" s="3">
        <v>3</v>
      </c>
      <c r="D2233" s="6">
        <v>75.400000000000006</v>
      </c>
      <c r="E2233" s="6">
        <v>226.2</v>
      </c>
      <c r="F2233" s="5">
        <v>45739</v>
      </c>
      <c r="G2233" s="5">
        <v>45744</v>
      </c>
      <c r="H2233" s="3" t="s">
        <v>26</v>
      </c>
      <c r="I2233" s="4" t="s">
        <v>21</v>
      </c>
      <c r="J2233" s="3">
        <v>3</v>
      </c>
      <c r="K2233" s="3" t="s">
        <v>64</v>
      </c>
      <c r="L2233" s="3">
        <v>5</v>
      </c>
      <c r="M2233" s="3">
        <v>13</v>
      </c>
      <c r="N2233" s="3" t="s">
        <v>28</v>
      </c>
    </row>
    <row r="2234" spans="1:14" x14ac:dyDescent="0.3">
      <c r="A2234" s="7" t="s">
        <v>2317</v>
      </c>
      <c r="B2234" s="7" t="s">
        <v>47</v>
      </c>
      <c r="C2234" s="7">
        <v>1</v>
      </c>
      <c r="D2234" s="10">
        <v>104.4</v>
      </c>
      <c r="E2234" s="10">
        <v>104.4</v>
      </c>
      <c r="F2234" s="9">
        <v>45739</v>
      </c>
      <c r="G2234" s="9">
        <v>45740</v>
      </c>
      <c r="H2234" s="7" t="s">
        <v>31</v>
      </c>
      <c r="I2234" s="8" t="s">
        <v>21</v>
      </c>
      <c r="J2234" s="7">
        <v>4</v>
      </c>
      <c r="K2234" s="7" t="s">
        <v>67</v>
      </c>
      <c r="L2234" s="7">
        <v>1</v>
      </c>
      <c r="M2234" s="7">
        <v>13</v>
      </c>
      <c r="N2234" s="7" t="s">
        <v>33</v>
      </c>
    </row>
    <row r="2235" spans="1:14" x14ac:dyDescent="0.3">
      <c r="A2235" s="3" t="s">
        <v>2318</v>
      </c>
      <c r="B2235" s="3" t="s">
        <v>30</v>
      </c>
      <c r="C2235" s="3">
        <v>10</v>
      </c>
      <c r="D2235" s="6">
        <v>208.2</v>
      </c>
      <c r="E2235" s="6">
        <v>2082</v>
      </c>
      <c r="F2235" s="5">
        <v>45739</v>
      </c>
      <c r="G2235" s="5">
        <v>45740</v>
      </c>
      <c r="H2235" s="3" t="s">
        <v>26</v>
      </c>
      <c r="I2235" s="4" t="s">
        <v>21</v>
      </c>
      <c r="J2235" s="3">
        <v>5</v>
      </c>
      <c r="K2235" s="3" t="s">
        <v>67</v>
      </c>
      <c r="L2235" s="3">
        <v>1</v>
      </c>
      <c r="M2235" s="3">
        <v>13</v>
      </c>
      <c r="N2235" s="3" t="s">
        <v>28</v>
      </c>
    </row>
    <row r="2236" spans="1:14" x14ac:dyDescent="0.3">
      <c r="A2236" s="7" t="s">
        <v>2319</v>
      </c>
      <c r="B2236" s="7" t="s">
        <v>44</v>
      </c>
      <c r="C2236" s="7">
        <v>2</v>
      </c>
      <c r="D2236" s="10">
        <v>45</v>
      </c>
      <c r="E2236" s="10">
        <v>90</v>
      </c>
      <c r="F2236" s="9">
        <v>45739</v>
      </c>
      <c r="G2236" s="9">
        <v>45742</v>
      </c>
      <c r="H2236" s="7" t="s">
        <v>31</v>
      </c>
      <c r="I2236" s="8" t="s">
        <v>21</v>
      </c>
      <c r="J2236" s="7">
        <v>4</v>
      </c>
      <c r="K2236" s="7" t="s">
        <v>79</v>
      </c>
      <c r="L2236" s="7">
        <v>3</v>
      </c>
      <c r="M2236" s="7">
        <v>13</v>
      </c>
      <c r="N2236" s="7" t="s">
        <v>33</v>
      </c>
    </row>
    <row r="2237" spans="1:14" x14ac:dyDescent="0.3">
      <c r="A2237" s="3" t="s">
        <v>2320</v>
      </c>
      <c r="B2237" s="3" t="s">
        <v>129</v>
      </c>
      <c r="C2237" s="3">
        <v>2</v>
      </c>
      <c r="D2237" s="6">
        <v>20.3</v>
      </c>
      <c r="E2237" s="6">
        <v>40.6</v>
      </c>
      <c r="F2237" s="5">
        <v>45740</v>
      </c>
      <c r="G2237" s="5">
        <v>45742</v>
      </c>
      <c r="H2237" s="3"/>
      <c r="I2237" s="4" t="s">
        <v>40</v>
      </c>
      <c r="J2237" s="3">
        <v>4</v>
      </c>
      <c r="K2237" s="3" t="s">
        <v>82</v>
      </c>
      <c r="L2237" s="3">
        <v>2</v>
      </c>
      <c r="M2237" s="3">
        <v>13</v>
      </c>
      <c r="N2237" s="3" t="s">
        <v>23</v>
      </c>
    </row>
    <row r="2238" spans="1:14" x14ac:dyDescent="0.3">
      <c r="A2238" s="7" t="s">
        <v>2321</v>
      </c>
      <c r="B2238" s="7" t="s">
        <v>30</v>
      </c>
      <c r="C2238" s="7">
        <v>3</v>
      </c>
      <c r="D2238" s="10">
        <v>94.4</v>
      </c>
      <c r="E2238" s="10">
        <v>283.2</v>
      </c>
      <c r="F2238" s="9">
        <v>45740</v>
      </c>
      <c r="G2238" s="9">
        <v>45741</v>
      </c>
      <c r="H2238" s="7" t="s">
        <v>31</v>
      </c>
      <c r="I2238" s="8" t="s">
        <v>21</v>
      </c>
      <c r="J2238" s="7">
        <v>5</v>
      </c>
      <c r="K2238" s="7" t="s">
        <v>82</v>
      </c>
      <c r="L2238" s="7">
        <v>1</v>
      </c>
      <c r="M2238" s="7">
        <v>13</v>
      </c>
      <c r="N2238" s="7" t="s">
        <v>33</v>
      </c>
    </row>
    <row r="2239" spans="1:14" x14ac:dyDescent="0.3">
      <c r="A2239" s="3" t="s">
        <v>2322</v>
      </c>
      <c r="B2239" s="3" t="s">
        <v>51</v>
      </c>
      <c r="C2239" s="3">
        <v>1</v>
      </c>
      <c r="D2239" s="6">
        <v>49</v>
      </c>
      <c r="E2239" s="6">
        <v>49</v>
      </c>
      <c r="F2239" s="5">
        <v>45740</v>
      </c>
      <c r="G2239" s="5">
        <v>45742</v>
      </c>
      <c r="H2239" s="3" t="s">
        <v>31</v>
      </c>
      <c r="I2239" s="4" t="s">
        <v>21</v>
      </c>
      <c r="J2239" s="3">
        <v>5</v>
      </c>
      <c r="K2239" s="3" t="s">
        <v>119</v>
      </c>
      <c r="L2239" s="3">
        <v>2</v>
      </c>
      <c r="M2239" s="3">
        <v>13</v>
      </c>
      <c r="N2239" s="3" t="s">
        <v>33</v>
      </c>
    </row>
    <row r="2240" spans="1:14" x14ac:dyDescent="0.3">
      <c r="A2240" s="7" t="s">
        <v>2323</v>
      </c>
      <c r="B2240" s="7" t="s">
        <v>37</v>
      </c>
      <c r="C2240" s="7">
        <v>2</v>
      </c>
      <c r="D2240" s="10">
        <v>27.2</v>
      </c>
      <c r="E2240" s="10">
        <v>54.4</v>
      </c>
      <c r="F2240" s="9">
        <v>45740</v>
      </c>
      <c r="G2240" s="9">
        <v>45742</v>
      </c>
      <c r="H2240" s="7" t="s">
        <v>26</v>
      </c>
      <c r="I2240" s="8" t="s">
        <v>21</v>
      </c>
      <c r="J2240" s="7">
        <v>5</v>
      </c>
      <c r="K2240" s="7" t="s">
        <v>27</v>
      </c>
      <c r="L2240" s="7">
        <v>2</v>
      </c>
      <c r="M2240" s="7">
        <v>13</v>
      </c>
      <c r="N2240" s="7" t="s">
        <v>28</v>
      </c>
    </row>
    <row r="2241" spans="1:14" x14ac:dyDescent="0.3">
      <c r="A2241" s="3" t="s">
        <v>2324</v>
      </c>
      <c r="B2241" s="3" t="s">
        <v>30</v>
      </c>
      <c r="C2241" s="3">
        <v>6</v>
      </c>
      <c r="D2241" s="6">
        <v>72.599999999999994</v>
      </c>
      <c r="E2241" s="6">
        <v>435.6</v>
      </c>
      <c r="F2241" s="5">
        <v>45740</v>
      </c>
      <c r="G2241" s="5">
        <v>45741</v>
      </c>
      <c r="H2241" s="3" t="s">
        <v>31</v>
      </c>
      <c r="I2241" s="4" t="s">
        <v>21</v>
      </c>
      <c r="J2241" s="3">
        <v>5</v>
      </c>
      <c r="K2241" s="3" t="s">
        <v>32</v>
      </c>
      <c r="L2241" s="3">
        <v>1</v>
      </c>
      <c r="M2241" s="3">
        <v>13</v>
      </c>
      <c r="N2241" s="3" t="s">
        <v>33</v>
      </c>
    </row>
    <row r="2242" spans="1:14" x14ac:dyDescent="0.3">
      <c r="A2242" s="7" t="s">
        <v>2325</v>
      </c>
      <c r="B2242" s="7" t="s">
        <v>129</v>
      </c>
      <c r="C2242" s="7">
        <v>4</v>
      </c>
      <c r="D2242" s="10">
        <v>62.4</v>
      </c>
      <c r="E2242" s="10">
        <v>249.6</v>
      </c>
      <c r="F2242" s="9">
        <v>45740</v>
      </c>
      <c r="G2242" s="9">
        <v>45741</v>
      </c>
      <c r="H2242" s="7" t="s">
        <v>31</v>
      </c>
      <c r="I2242" s="8" t="s">
        <v>21</v>
      </c>
      <c r="J2242" s="7">
        <v>4</v>
      </c>
      <c r="K2242" s="7" t="s">
        <v>38</v>
      </c>
      <c r="L2242" s="7">
        <v>1</v>
      </c>
      <c r="M2242" s="7">
        <v>13</v>
      </c>
      <c r="N2242" s="7" t="s">
        <v>33</v>
      </c>
    </row>
    <row r="2243" spans="1:14" x14ac:dyDescent="0.3">
      <c r="A2243" s="3" t="s">
        <v>2326</v>
      </c>
      <c r="B2243" s="3" t="s">
        <v>49</v>
      </c>
      <c r="C2243" s="3">
        <v>3</v>
      </c>
      <c r="D2243" s="6">
        <v>19.100000000000001</v>
      </c>
      <c r="E2243" s="6">
        <v>57.3</v>
      </c>
      <c r="F2243" s="5">
        <v>45740</v>
      </c>
      <c r="G2243" s="5">
        <v>45742</v>
      </c>
      <c r="H2243" s="3" t="s">
        <v>26</v>
      </c>
      <c r="I2243" s="4" t="s">
        <v>21</v>
      </c>
      <c r="J2243" s="3">
        <v>3</v>
      </c>
      <c r="K2243" s="3" t="s">
        <v>38</v>
      </c>
      <c r="L2243" s="3">
        <v>2</v>
      </c>
      <c r="M2243" s="3">
        <v>13</v>
      </c>
      <c r="N2243" s="3" t="s">
        <v>28</v>
      </c>
    </row>
    <row r="2244" spans="1:14" x14ac:dyDescent="0.3">
      <c r="A2244" s="7" t="s">
        <v>2327</v>
      </c>
      <c r="B2244" s="7" t="s">
        <v>59</v>
      </c>
      <c r="C2244" s="7">
        <v>1</v>
      </c>
      <c r="D2244" s="10">
        <v>29.6</v>
      </c>
      <c r="E2244" s="10">
        <v>29.6</v>
      </c>
      <c r="F2244" s="9">
        <v>45740</v>
      </c>
      <c r="G2244" s="9">
        <v>45744</v>
      </c>
      <c r="H2244" s="7" t="s">
        <v>26</v>
      </c>
      <c r="I2244" s="8" t="s">
        <v>21</v>
      </c>
      <c r="J2244" s="7">
        <v>2</v>
      </c>
      <c r="K2244" s="7" t="s">
        <v>38</v>
      </c>
      <c r="L2244" s="7">
        <v>4</v>
      </c>
      <c r="M2244" s="7">
        <v>13</v>
      </c>
      <c r="N2244" s="7" t="s">
        <v>28</v>
      </c>
    </row>
    <row r="2245" spans="1:14" x14ac:dyDescent="0.3">
      <c r="A2245" s="3" t="s">
        <v>2328</v>
      </c>
      <c r="B2245" s="3" t="s">
        <v>49</v>
      </c>
      <c r="C2245" s="3">
        <v>2</v>
      </c>
      <c r="D2245" s="6">
        <v>18.899999999999999</v>
      </c>
      <c r="E2245" s="6">
        <v>37.799999999999997</v>
      </c>
      <c r="F2245" s="5">
        <v>45740</v>
      </c>
      <c r="G2245" s="5">
        <v>45742</v>
      </c>
      <c r="H2245" s="3" t="s">
        <v>31</v>
      </c>
      <c r="I2245" s="4" t="s">
        <v>75</v>
      </c>
      <c r="J2245" s="3">
        <v>5</v>
      </c>
      <c r="K2245" s="3" t="s">
        <v>38</v>
      </c>
      <c r="L2245" s="3">
        <v>2</v>
      </c>
      <c r="M2245" s="3">
        <v>13</v>
      </c>
      <c r="N2245" s="3" t="s">
        <v>33</v>
      </c>
    </row>
    <row r="2246" spans="1:14" x14ac:dyDescent="0.3">
      <c r="A2246" s="7" t="s">
        <v>2329</v>
      </c>
      <c r="B2246" s="7" t="s">
        <v>59</v>
      </c>
      <c r="C2246" s="7">
        <v>5</v>
      </c>
      <c r="D2246" s="10">
        <v>41.4</v>
      </c>
      <c r="E2246" s="10">
        <v>207</v>
      </c>
      <c r="F2246" s="9">
        <v>45740</v>
      </c>
      <c r="G2246" s="9">
        <v>45741</v>
      </c>
      <c r="H2246" s="7" t="s">
        <v>26</v>
      </c>
      <c r="I2246" s="8" t="s">
        <v>56</v>
      </c>
      <c r="J2246" s="7">
        <v>4</v>
      </c>
      <c r="K2246" s="7" t="s">
        <v>38</v>
      </c>
      <c r="L2246" s="7">
        <v>1</v>
      </c>
      <c r="M2246" s="7">
        <v>13</v>
      </c>
      <c r="N2246" s="7" t="s">
        <v>28</v>
      </c>
    </row>
    <row r="2247" spans="1:14" x14ac:dyDescent="0.3">
      <c r="A2247" s="3" t="s">
        <v>2330</v>
      </c>
      <c r="B2247" s="3" t="s">
        <v>30</v>
      </c>
      <c r="C2247" s="3">
        <v>1</v>
      </c>
      <c r="D2247" s="6">
        <v>118.4</v>
      </c>
      <c r="E2247" s="6">
        <v>118.4</v>
      </c>
      <c r="F2247" s="5">
        <v>45740</v>
      </c>
      <c r="G2247" s="5">
        <v>45741</v>
      </c>
      <c r="H2247" s="3" t="s">
        <v>31</v>
      </c>
      <c r="I2247" s="4" t="s">
        <v>21</v>
      </c>
      <c r="J2247" s="3">
        <v>5</v>
      </c>
      <c r="K2247" s="3" t="s">
        <v>38</v>
      </c>
      <c r="L2247" s="3">
        <v>1</v>
      </c>
      <c r="M2247" s="3">
        <v>13</v>
      </c>
      <c r="N2247" s="3" t="s">
        <v>33</v>
      </c>
    </row>
    <row r="2248" spans="1:14" x14ac:dyDescent="0.3">
      <c r="A2248" s="7" t="s">
        <v>2331</v>
      </c>
      <c r="B2248" s="7" t="s">
        <v>30</v>
      </c>
      <c r="C2248" s="7">
        <v>2</v>
      </c>
      <c r="D2248" s="10">
        <v>125.3</v>
      </c>
      <c r="E2248" s="10">
        <v>250.6</v>
      </c>
      <c r="F2248" s="9">
        <v>45740</v>
      </c>
      <c r="G2248" s="9">
        <v>45743</v>
      </c>
      <c r="H2248" s="7" t="s">
        <v>31</v>
      </c>
      <c r="I2248" s="8" t="s">
        <v>21</v>
      </c>
      <c r="J2248" s="7">
        <v>5</v>
      </c>
      <c r="K2248" s="7" t="s">
        <v>38</v>
      </c>
      <c r="L2248" s="7">
        <v>3</v>
      </c>
      <c r="M2248" s="7">
        <v>13</v>
      </c>
      <c r="N2248" s="7" t="s">
        <v>33</v>
      </c>
    </row>
    <row r="2249" spans="1:14" x14ac:dyDescent="0.3">
      <c r="A2249" s="3" t="s">
        <v>2332</v>
      </c>
      <c r="B2249" s="3" t="s">
        <v>35</v>
      </c>
      <c r="C2249" s="3">
        <v>2</v>
      </c>
      <c r="D2249" s="6">
        <v>85.8</v>
      </c>
      <c r="E2249" s="6">
        <v>171.6</v>
      </c>
      <c r="F2249" s="5">
        <v>45740</v>
      </c>
      <c r="G2249" s="5">
        <v>45741</v>
      </c>
      <c r="H2249" s="3" t="s">
        <v>31</v>
      </c>
      <c r="I2249" s="4" t="s">
        <v>40</v>
      </c>
      <c r="J2249" s="3">
        <v>2</v>
      </c>
      <c r="K2249" s="3" t="s">
        <v>38</v>
      </c>
      <c r="L2249" s="3">
        <v>1</v>
      </c>
      <c r="M2249" s="3">
        <v>13</v>
      </c>
      <c r="N2249" s="3" t="s">
        <v>33</v>
      </c>
    </row>
    <row r="2250" spans="1:14" x14ac:dyDescent="0.3">
      <c r="A2250" s="7" t="s">
        <v>2333</v>
      </c>
      <c r="B2250" s="7" t="s">
        <v>44</v>
      </c>
      <c r="C2250" s="7">
        <v>1</v>
      </c>
      <c r="D2250" s="10">
        <v>44.2</v>
      </c>
      <c r="E2250" s="10">
        <v>44.2</v>
      </c>
      <c r="F2250" s="9">
        <v>45740</v>
      </c>
      <c r="G2250" s="9">
        <v>45743</v>
      </c>
      <c r="H2250" s="7" t="s">
        <v>26</v>
      </c>
      <c r="I2250" s="8" t="s">
        <v>40</v>
      </c>
      <c r="J2250" s="7">
        <v>4</v>
      </c>
      <c r="K2250" s="7" t="s">
        <v>38</v>
      </c>
      <c r="L2250" s="7">
        <v>3</v>
      </c>
      <c r="M2250" s="7">
        <v>13</v>
      </c>
      <c r="N2250" s="7" t="s">
        <v>28</v>
      </c>
    </row>
    <row r="2251" spans="1:14" x14ac:dyDescent="0.3">
      <c r="A2251" s="3" t="s">
        <v>2334</v>
      </c>
      <c r="B2251" s="3" t="s">
        <v>42</v>
      </c>
      <c r="C2251" s="3">
        <v>4</v>
      </c>
      <c r="D2251" s="6">
        <v>74.099999999999994</v>
      </c>
      <c r="E2251" s="6">
        <v>296.39999999999998</v>
      </c>
      <c r="F2251" s="5">
        <v>45740</v>
      </c>
      <c r="G2251" s="5">
        <v>45742</v>
      </c>
      <c r="H2251" s="3" t="s">
        <v>31</v>
      </c>
      <c r="I2251" s="4" t="s">
        <v>21</v>
      </c>
      <c r="J2251" s="3">
        <v>4</v>
      </c>
      <c r="K2251" s="3" t="s">
        <v>38</v>
      </c>
      <c r="L2251" s="3">
        <v>2</v>
      </c>
      <c r="M2251" s="3">
        <v>13</v>
      </c>
      <c r="N2251" s="3" t="s">
        <v>33</v>
      </c>
    </row>
    <row r="2252" spans="1:14" x14ac:dyDescent="0.3">
      <c r="A2252" s="7" t="s">
        <v>2335</v>
      </c>
      <c r="B2252" s="7" t="s">
        <v>49</v>
      </c>
      <c r="C2252" s="7">
        <v>1</v>
      </c>
      <c r="D2252" s="10">
        <v>33.799999999999997</v>
      </c>
      <c r="E2252" s="10">
        <v>33.799999999999997</v>
      </c>
      <c r="F2252" s="9">
        <v>45740</v>
      </c>
      <c r="G2252" s="9">
        <v>45741</v>
      </c>
      <c r="H2252" s="7" t="s">
        <v>31</v>
      </c>
      <c r="I2252" s="8" t="s">
        <v>45</v>
      </c>
      <c r="J2252" s="7">
        <v>5</v>
      </c>
      <c r="K2252" s="7" t="s">
        <v>192</v>
      </c>
      <c r="L2252" s="7">
        <v>1</v>
      </c>
      <c r="M2252" s="7">
        <v>13</v>
      </c>
      <c r="N2252" s="7" t="s">
        <v>33</v>
      </c>
    </row>
    <row r="2253" spans="1:14" x14ac:dyDescent="0.3">
      <c r="A2253" s="3" t="s">
        <v>2336</v>
      </c>
      <c r="B2253" s="3" t="s">
        <v>25</v>
      </c>
      <c r="C2253" s="3">
        <v>2</v>
      </c>
      <c r="D2253" s="6">
        <v>39.1</v>
      </c>
      <c r="E2253" s="6">
        <v>78.2</v>
      </c>
      <c r="F2253" s="5">
        <v>45740</v>
      </c>
      <c r="G2253" s="5">
        <v>45741</v>
      </c>
      <c r="H2253" s="3" t="s">
        <v>26</v>
      </c>
      <c r="I2253" s="4" t="s">
        <v>21</v>
      </c>
      <c r="J2253" s="3">
        <v>3</v>
      </c>
      <c r="K2253" s="3" t="s">
        <v>192</v>
      </c>
      <c r="L2253" s="3">
        <v>1</v>
      </c>
      <c r="M2253" s="3">
        <v>13</v>
      </c>
      <c r="N2253" s="3" t="s">
        <v>28</v>
      </c>
    </row>
    <row r="2254" spans="1:14" x14ac:dyDescent="0.3">
      <c r="A2254" s="7" t="s">
        <v>2337</v>
      </c>
      <c r="B2254" s="7" t="s">
        <v>20</v>
      </c>
      <c r="C2254" s="7">
        <v>1</v>
      </c>
      <c r="D2254" s="10">
        <v>37.200000000000003</v>
      </c>
      <c r="E2254" s="10">
        <v>37.200000000000003</v>
      </c>
      <c r="F2254" s="9">
        <v>45740</v>
      </c>
      <c r="G2254" s="9">
        <v>45741</v>
      </c>
      <c r="H2254" s="7" t="s">
        <v>26</v>
      </c>
      <c r="I2254" s="8" t="s">
        <v>21</v>
      </c>
      <c r="J2254" s="7">
        <v>3</v>
      </c>
      <c r="K2254" s="7" t="s">
        <v>104</v>
      </c>
      <c r="L2254" s="7">
        <v>1</v>
      </c>
      <c r="M2254" s="7">
        <v>13</v>
      </c>
      <c r="N2254" s="7" t="s">
        <v>28</v>
      </c>
    </row>
    <row r="2255" spans="1:14" x14ac:dyDescent="0.3">
      <c r="A2255" s="3" t="s">
        <v>2338</v>
      </c>
      <c r="B2255" s="3" t="s">
        <v>129</v>
      </c>
      <c r="C2255" s="3">
        <v>3</v>
      </c>
      <c r="D2255" s="6">
        <v>33.9</v>
      </c>
      <c r="E2255" s="6">
        <v>101.7</v>
      </c>
      <c r="F2255" s="5">
        <v>45740</v>
      </c>
      <c r="G2255" s="5">
        <v>45742</v>
      </c>
      <c r="H2255" s="3" t="s">
        <v>26</v>
      </c>
      <c r="I2255" s="4" t="s">
        <v>45</v>
      </c>
      <c r="J2255" s="3">
        <v>4</v>
      </c>
      <c r="K2255" s="3" t="s">
        <v>60</v>
      </c>
      <c r="L2255" s="3">
        <v>2</v>
      </c>
      <c r="M2255" s="3">
        <v>13</v>
      </c>
      <c r="N2255" s="3" t="s">
        <v>28</v>
      </c>
    </row>
    <row r="2256" spans="1:14" x14ac:dyDescent="0.3">
      <c r="A2256" s="7" t="s">
        <v>2339</v>
      </c>
      <c r="B2256" s="7" t="s">
        <v>47</v>
      </c>
      <c r="C2256" s="7">
        <v>15</v>
      </c>
      <c r="D2256" s="10">
        <v>73.3</v>
      </c>
      <c r="E2256" s="10">
        <v>1099.5</v>
      </c>
      <c r="F2256" s="9">
        <v>45740</v>
      </c>
      <c r="G2256" s="9">
        <v>45743</v>
      </c>
      <c r="H2256" s="7" t="s">
        <v>31</v>
      </c>
      <c r="I2256" s="8" t="s">
        <v>45</v>
      </c>
      <c r="J2256" s="7">
        <v>3</v>
      </c>
      <c r="K2256" s="7" t="s">
        <v>67</v>
      </c>
      <c r="L2256" s="7">
        <v>3</v>
      </c>
      <c r="M2256" s="7">
        <v>13</v>
      </c>
      <c r="N2256" s="7" t="s">
        <v>33</v>
      </c>
    </row>
    <row r="2257" spans="1:14" x14ac:dyDescent="0.3">
      <c r="A2257" s="3" t="s">
        <v>2340</v>
      </c>
      <c r="B2257" s="3" t="s">
        <v>49</v>
      </c>
      <c r="C2257" s="3">
        <v>4</v>
      </c>
      <c r="D2257" s="6">
        <v>35</v>
      </c>
      <c r="E2257" s="6">
        <v>140</v>
      </c>
      <c r="F2257" s="5">
        <v>45740</v>
      </c>
      <c r="G2257" s="5">
        <v>45742</v>
      </c>
      <c r="H2257" s="3" t="s">
        <v>31</v>
      </c>
      <c r="I2257" s="4" t="s">
        <v>40</v>
      </c>
      <c r="J2257" s="3">
        <v>4</v>
      </c>
      <c r="K2257" s="3" t="s">
        <v>67</v>
      </c>
      <c r="L2257" s="3">
        <v>2</v>
      </c>
      <c r="M2257" s="3">
        <v>13</v>
      </c>
      <c r="N2257" s="3" t="s">
        <v>33</v>
      </c>
    </row>
    <row r="2258" spans="1:14" x14ac:dyDescent="0.3">
      <c r="A2258" s="7" t="s">
        <v>2341</v>
      </c>
      <c r="B2258" s="7" t="s">
        <v>20</v>
      </c>
      <c r="C2258" s="7">
        <v>3</v>
      </c>
      <c r="D2258" s="10">
        <v>22.2</v>
      </c>
      <c r="E2258" s="10">
        <v>66.599999999999994</v>
      </c>
      <c r="F2258" s="9">
        <v>45740</v>
      </c>
      <c r="G2258" s="9">
        <v>45741</v>
      </c>
      <c r="H2258" s="7" t="s">
        <v>26</v>
      </c>
      <c r="I2258" s="8" t="s">
        <v>40</v>
      </c>
      <c r="J2258" s="7">
        <v>4</v>
      </c>
      <c r="K2258" s="7" t="s">
        <v>109</v>
      </c>
      <c r="L2258" s="7">
        <v>1</v>
      </c>
      <c r="M2258" s="7">
        <v>13</v>
      </c>
      <c r="N2258" s="7" t="s">
        <v>28</v>
      </c>
    </row>
    <row r="2259" spans="1:14" x14ac:dyDescent="0.3">
      <c r="A2259" s="3" t="s">
        <v>2342</v>
      </c>
      <c r="B2259" s="3" t="s">
        <v>59</v>
      </c>
      <c r="C2259" s="3">
        <v>1</v>
      </c>
      <c r="D2259" s="6">
        <v>32.4</v>
      </c>
      <c r="E2259" s="6">
        <v>32.4</v>
      </c>
      <c r="F2259" s="5">
        <v>45740</v>
      </c>
      <c r="G2259" s="5">
        <v>45741</v>
      </c>
      <c r="H2259" s="3" t="s">
        <v>31</v>
      </c>
      <c r="I2259" s="4" t="s">
        <v>21</v>
      </c>
      <c r="J2259" s="3">
        <v>4</v>
      </c>
      <c r="K2259" s="3" t="s">
        <v>82</v>
      </c>
      <c r="L2259" s="3">
        <v>1</v>
      </c>
      <c r="M2259" s="3">
        <v>13</v>
      </c>
      <c r="N2259" s="3" t="s">
        <v>33</v>
      </c>
    </row>
    <row r="2260" spans="1:14" x14ac:dyDescent="0.3">
      <c r="A2260" s="7" t="s">
        <v>2343</v>
      </c>
      <c r="B2260" s="7" t="s">
        <v>42</v>
      </c>
      <c r="C2260" s="7">
        <v>3</v>
      </c>
      <c r="D2260" s="10">
        <v>88.4</v>
      </c>
      <c r="E2260" s="10">
        <v>265.2</v>
      </c>
      <c r="F2260" s="9">
        <v>45741</v>
      </c>
      <c r="G2260" s="9">
        <v>45743</v>
      </c>
      <c r="H2260" s="7" t="s">
        <v>31</v>
      </c>
      <c r="I2260" s="8" t="s">
        <v>40</v>
      </c>
      <c r="J2260" s="7">
        <v>3</v>
      </c>
      <c r="K2260" s="7" t="s">
        <v>82</v>
      </c>
      <c r="L2260" s="7">
        <v>2</v>
      </c>
      <c r="M2260" s="7">
        <v>13</v>
      </c>
      <c r="N2260" s="7" t="s">
        <v>33</v>
      </c>
    </row>
    <row r="2261" spans="1:14" x14ac:dyDescent="0.3">
      <c r="A2261" s="3" t="s">
        <v>2344</v>
      </c>
      <c r="B2261" s="3" t="s">
        <v>42</v>
      </c>
      <c r="C2261" s="3">
        <v>16</v>
      </c>
      <c r="D2261" s="6">
        <v>30.5</v>
      </c>
      <c r="E2261" s="6">
        <v>488</v>
      </c>
      <c r="F2261" s="5">
        <v>45741</v>
      </c>
      <c r="G2261" s="5">
        <v>45742</v>
      </c>
      <c r="H2261" s="3" t="s">
        <v>31</v>
      </c>
      <c r="I2261" s="4" t="s">
        <v>45</v>
      </c>
      <c r="J2261" s="3">
        <v>4</v>
      </c>
      <c r="K2261" s="3" t="s">
        <v>82</v>
      </c>
      <c r="L2261" s="3">
        <v>1</v>
      </c>
      <c r="M2261" s="3">
        <v>13</v>
      </c>
      <c r="N2261" s="3" t="s">
        <v>33</v>
      </c>
    </row>
    <row r="2262" spans="1:14" x14ac:dyDescent="0.3">
      <c r="A2262" s="7" t="s">
        <v>2345</v>
      </c>
      <c r="B2262" s="7" t="s">
        <v>25</v>
      </c>
      <c r="C2262" s="7">
        <v>6</v>
      </c>
      <c r="D2262" s="10">
        <v>38.1</v>
      </c>
      <c r="E2262" s="10">
        <v>228.6</v>
      </c>
      <c r="F2262" s="9">
        <v>45741</v>
      </c>
      <c r="G2262" s="9">
        <v>45743</v>
      </c>
      <c r="H2262" s="7" t="s">
        <v>31</v>
      </c>
      <c r="I2262" s="8" t="s">
        <v>21</v>
      </c>
      <c r="J2262" s="7">
        <v>3</v>
      </c>
      <c r="K2262" s="7" t="s">
        <v>82</v>
      </c>
      <c r="L2262" s="7">
        <v>2</v>
      </c>
      <c r="M2262" s="7">
        <v>13</v>
      </c>
      <c r="N2262" s="7" t="s">
        <v>33</v>
      </c>
    </row>
    <row r="2263" spans="1:14" x14ac:dyDescent="0.3">
      <c r="A2263" s="3" t="s">
        <v>2346</v>
      </c>
      <c r="B2263" s="3" t="s">
        <v>59</v>
      </c>
      <c r="C2263" s="3">
        <v>5</v>
      </c>
      <c r="D2263" s="6">
        <v>37.6</v>
      </c>
      <c r="E2263" s="6">
        <v>188</v>
      </c>
      <c r="F2263" s="5">
        <v>45741</v>
      </c>
      <c r="G2263" s="5">
        <v>45745</v>
      </c>
      <c r="H2263" s="3" t="s">
        <v>26</v>
      </c>
      <c r="I2263" s="4" t="s">
        <v>21</v>
      </c>
      <c r="J2263" s="3">
        <v>4</v>
      </c>
      <c r="K2263" s="3" t="s">
        <v>82</v>
      </c>
      <c r="L2263" s="3">
        <v>4</v>
      </c>
      <c r="M2263" s="3">
        <v>13</v>
      </c>
      <c r="N2263" s="3" t="s">
        <v>28</v>
      </c>
    </row>
    <row r="2264" spans="1:14" x14ac:dyDescent="0.3">
      <c r="A2264" s="7" t="s">
        <v>2347</v>
      </c>
      <c r="B2264" s="7" t="s">
        <v>129</v>
      </c>
      <c r="C2264" s="7">
        <v>2</v>
      </c>
      <c r="D2264" s="10">
        <v>31.4</v>
      </c>
      <c r="E2264" s="10">
        <v>62.8</v>
      </c>
      <c r="F2264" s="9">
        <v>45741</v>
      </c>
      <c r="G2264" s="9">
        <v>45742</v>
      </c>
      <c r="H2264" s="7" t="s">
        <v>26</v>
      </c>
      <c r="I2264" s="8" t="s">
        <v>21</v>
      </c>
      <c r="J2264" s="7">
        <v>5</v>
      </c>
      <c r="K2264" s="7" t="s">
        <v>82</v>
      </c>
      <c r="L2264" s="7">
        <v>1</v>
      </c>
      <c r="M2264" s="7">
        <v>13</v>
      </c>
      <c r="N2264" s="7" t="s">
        <v>28</v>
      </c>
    </row>
    <row r="2265" spans="1:14" x14ac:dyDescent="0.3">
      <c r="A2265" s="3" t="s">
        <v>2348</v>
      </c>
      <c r="B2265" s="3" t="s">
        <v>44</v>
      </c>
      <c r="C2265" s="3">
        <v>2</v>
      </c>
      <c r="D2265" s="6">
        <v>61.5</v>
      </c>
      <c r="E2265" s="6">
        <v>123</v>
      </c>
      <c r="F2265" s="5">
        <v>45741</v>
      </c>
      <c r="G2265" s="5">
        <v>45742</v>
      </c>
      <c r="H2265" s="3" t="s">
        <v>26</v>
      </c>
      <c r="I2265" s="4" t="s">
        <v>56</v>
      </c>
      <c r="J2265" s="3">
        <v>4</v>
      </c>
      <c r="K2265" s="3" t="s">
        <v>298</v>
      </c>
      <c r="L2265" s="3">
        <v>1</v>
      </c>
      <c r="M2265" s="3">
        <v>13</v>
      </c>
      <c r="N2265" s="3" t="s">
        <v>28</v>
      </c>
    </row>
    <row r="2266" spans="1:14" x14ac:dyDescent="0.3">
      <c r="A2266" s="7" t="s">
        <v>2349</v>
      </c>
      <c r="B2266" s="7" t="s">
        <v>44</v>
      </c>
      <c r="C2266" s="7">
        <v>1</v>
      </c>
      <c r="D2266" s="10">
        <v>72.599999999999994</v>
      </c>
      <c r="E2266" s="10">
        <v>72.599999999999994</v>
      </c>
      <c r="F2266" s="9">
        <v>45741</v>
      </c>
      <c r="G2266" s="9">
        <v>45742</v>
      </c>
      <c r="H2266" s="7" t="s">
        <v>26</v>
      </c>
      <c r="I2266" s="8" t="s">
        <v>21</v>
      </c>
      <c r="J2266" s="7">
        <v>3</v>
      </c>
      <c r="K2266" s="7" t="s">
        <v>121</v>
      </c>
      <c r="L2266" s="7">
        <v>1</v>
      </c>
      <c r="M2266" s="7">
        <v>13</v>
      </c>
      <c r="N2266" s="7" t="s">
        <v>28</v>
      </c>
    </row>
    <row r="2267" spans="1:14" x14ac:dyDescent="0.3">
      <c r="A2267" s="3" t="s">
        <v>2350</v>
      </c>
      <c r="B2267" s="3" t="s">
        <v>51</v>
      </c>
      <c r="C2267" s="3">
        <v>3</v>
      </c>
      <c r="D2267" s="6">
        <v>26.9</v>
      </c>
      <c r="E2267" s="6">
        <v>80.699999999999989</v>
      </c>
      <c r="F2267" s="5">
        <v>45741</v>
      </c>
      <c r="G2267" s="5">
        <v>45746</v>
      </c>
      <c r="H2267" s="3" t="s">
        <v>94</v>
      </c>
      <c r="I2267" s="4" t="s">
        <v>75</v>
      </c>
      <c r="J2267" s="3">
        <v>3</v>
      </c>
      <c r="K2267" s="3" t="s">
        <v>153</v>
      </c>
      <c r="L2267" s="3">
        <v>5</v>
      </c>
      <c r="M2267" s="3">
        <v>13</v>
      </c>
      <c r="N2267" s="3" t="s">
        <v>95</v>
      </c>
    </row>
    <row r="2268" spans="1:14" x14ac:dyDescent="0.3">
      <c r="A2268" s="7" t="s">
        <v>2351</v>
      </c>
      <c r="B2268" s="7" t="s">
        <v>141</v>
      </c>
      <c r="C2268" s="7">
        <v>12</v>
      </c>
      <c r="D2268" s="10">
        <v>29.4</v>
      </c>
      <c r="E2268" s="10">
        <v>352.8</v>
      </c>
      <c r="F2268" s="9">
        <v>45741</v>
      </c>
      <c r="G2268" s="9">
        <v>45742</v>
      </c>
      <c r="H2268" s="7" t="s">
        <v>31</v>
      </c>
      <c r="I2268" s="8" t="s">
        <v>40</v>
      </c>
      <c r="J2268" s="7">
        <v>4</v>
      </c>
      <c r="K2268" s="7" t="s">
        <v>214</v>
      </c>
      <c r="L2268" s="7">
        <v>1</v>
      </c>
      <c r="M2268" s="7">
        <v>13</v>
      </c>
      <c r="N2268" s="7" t="s">
        <v>33</v>
      </c>
    </row>
    <row r="2269" spans="1:14" x14ac:dyDescent="0.3">
      <c r="A2269" s="3" t="s">
        <v>2352</v>
      </c>
      <c r="B2269" s="3" t="s">
        <v>141</v>
      </c>
      <c r="C2269" s="3">
        <v>2</v>
      </c>
      <c r="D2269" s="6">
        <v>42.1</v>
      </c>
      <c r="E2269" s="6">
        <v>84.2</v>
      </c>
      <c r="F2269" s="5">
        <v>45741</v>
      </c>
      <c r="G2269" s="5">
        <v>45742</v>
      </c>
      <c r="H2269" s="3" t="s">
        <v>31</v>
      </c>
      <c r="I2269" s="4" t="s">
        <v>56</v>
      </c>
      <c r="J2269" s="3">
        <v>3</v>
      </c>
      <c r="K2269" s="3" t="s">
        <v>27</v>
      </c>
      <c r="L2269" s="3">
        <v>1</v>
      </c>
      <c r="M2269" s="3">
        <v>13</v>
      </c>
      <c r="N2269" s="3" t="s">
        <v>33</v>
      </c>
    </row>
    <row r="2270" spans="1:14" x14ac:dyDescent="0.3">
      <c r="A2270" s="7" t="s">
        <v>2353</v>
      </c>
      <c r="B2270" s="7" t="s">
        <v>42</v>
      </c>
      <c r="C2270" s="7">
        <v>1</v>
      </c>
      <c r="D2270" s="10">
        <v>40.5</v>
      </c>
      <c r="E2270" s="10">
        <v>40.5</v>
      </c>
      <c r="F2270" s="9">
        <v>45741</v>
      </c>
      <c r="G2270" s="9">
        <v>45742</v>
      </c>
      <c r="H2270" s="7" t="s">
        <v>31</v>
      </c>
      <c r="I2270" s="8" t="s">
        <v>45</v>
      </c>
      <c r="J2270" s="7">
        <v>3</v>
      </c>
      <c r="K2270" s="7" t="s">
        <v>27</v>
      </c>
      <c r="L2270" s="7">
        <v>1</v>
      </c>
      <c r="M2270" s="7">
        <v>13</v>
      </c>
      <c r="N2270" s="7" t="s">
        <v>33</v>
      </c>
    </row>
    <row r="2271" spans="1:14" x14ac:dyDescent="0.3">
      <c r="A2271" s="3" t="s">
        <v>2354</v>
      </c>
      <c r="B2271" s="3" t="s">
        <v>30</v>
      </c>
      <c r="C2271" s="3">
        <v>4</v>
      </c>
      <c r="D2271" s="6">
        <v>182.3</v>
      </c>
      <c r="E2271" s="6">
        <v>729.2</v>
      </c>
      <c r="F2271" s="5">
        <v>45741</v>
      </c>
      <c r="G2271" s="5">
        <v>45742</v>
      </c>
      <c r="H2271" s="3" t="s">
        <v>31</v>
      </c>
      <c r="I2271" s="4" t="s">
        <v>40</v>
      </c>
      <c r="J2271" s="3">
        <v>4</v>
      </c>
      <c r="K2271" s="3" t="s">
        <v>27</v>
      </c>
      <c r="L2271" s="3">
        <v>1</v>
      </c>
      <c r="M2271" s="3">
        <v>13</v>
      </c>
      <c r="N2271" s="3" t="s">
        <v>33</v>
      </c>
    </row>
    <row r="2272" spans="1:14" x14ac:dyDescent="0.3">
      <c r="A2272" s="7" t="s">
        <v>2355</v>
      </c>
      <c r="B2272" s="7" t="s">
        <v>30</v>
      </c>
      <c r="C2272" s="7">
        <v>5</v>
      </c>
      <c r="D2272" s="10">
        <v>157</v>
      </c>
      <c r="E2272" s="10">
        <v>785</v>
      </c>
      <c r="F2272" s="9">
        <v>45741</v>
      </c>
      <c r="G2272" s="9">
        <v>45744</v>
      </c>
      <c r="H2272" s="7" t="s">
        <v>31</v>
      </c>
      <c r="I2272" s="8" t="s">
        <v>40</v>
      </c>
      <c r="J2272" s="7">
        <v>5</v>
      </c>
      <c r="K2272" s="7" t="s">
        <v>32</v>
      </c>
      <c r="L2272" s="7">
        <v>3</v>
      </c>
      <c r="M2272" s="7">
        <v>13</v>
      </c>
      <c r="N2272" s="7" t="s">
        <v>33</v>
      </c>
    </row>
    <row r="2273" spans="1:14" x14ac:dyDescent="0.3">
      <c r="A2273" s="3" t="s">
        <v>2356</v>
      </c>
      <c r="B2273" s="3" t="s">
        <v>141</v>
      </c>
      <c r="C2273" s="3">
        <v>5</v>
      </c>
      <c r="D2273" s="6">
        <v>45.2</v>
      </c>
      <c r="E2273" s="6">
        <v>226</v>
      </c>
      <c r="F2273" s="5">
        <v>45741</v>
      </c>
      <c r="G2273" s="5">
        <v>45744</v>
      </c>
      <c r="H2273" s="3" t="s">
        <v>31</v>
      </c>
      <c r="I2273" s="4" t="s">
        <v>40</v>
      </c>
      <c r="J2273" s="3">
        <v>4</v>
      </c>
      <c r="K2273" s="3" t="s">
        <v>153</v>
      </c>
      <c r="L2273" s="3">
        <v>3</v>
      </c>
      <c r="M2273" s="3">
        <v>13</v>
      </c>
      <c r="N2273" s="3" t="s">
        <v>33</v>
      </c>
    </row>
    <row r="2274" spans="1:14" x14ac:dyDescent="0.3">
      <c r="A2274" s="7" t="s">
        <v>2357</v>
      </c>
      <c r="B2274" s="7" t="s">
        <v>129</v>
      </c>
      <c r="C2274" s="7">
        <v>4</v>
      </c>
      <c r="D2274" s="10">
        <v>27.4</v>
      </c>
      <c r="E2274" s="10">
        <v>109.6</v>
      </c>
      <c r="F2274" s="9">
        <v>45741</v>
      </c>
      <c r="G2274" s="9">
        <v>45743</v>
      </c>
      <c r="H2274" s="7" t="s">
        <v>31</v>
      </c>
      <c r="I2274" s="8" t="s">
        <v>21</v>
      </c>
      <c r="J2274" s="7">
        <v>4</v>
      </c>
      <c r="K2274" s="7" t="s">
        <v>38</v>
      </c>
      <c r="L2274" s="7">
        <v>2</v>
      </c>
      <c r="M2274" s="7">
        <v>13</v>
      </c>
      <c r="N2274" s="7" t="s">
        <v>33</v>
      </c>
    </row>
    <row r="2275" spans="1:14" x14ac:dyDescent="0.3">
      <c r="A2275" s="3" t="s">
        <v>2358</v>
      </c>
      <c r="B2275" s="3" t="s">
        <v>42</v>
      </c>
      <c r="C2275" s="3">
        <v>5</v>
      </c>
      <c r="D2275" s="6">
        <v>34.1</v>
      </c>
      <c r="E2275" s="6">
        <v>170.5</v>
      </c>
      <c r="F2275" s="5">
        <v>45741</v>
      </c>
      <c r="G2275" s="5">
        <v>45743</v>
      </c>
      <c r="H2275" s="3" t="s">
        <v>26</v>
      </c>
      <c r="I2275" s="4" t="s">
        <v>21</v>
      </c>
      <c r="J2275" s="3">
        <v>5</v>
      </c>
      <c r="K2275" s="3" t="s">
        <v>38</v>
      </c>
      <c r="L2275" s="3">
        <v>2</v>
      </c>
      <c r="M2275" s="3">
        <v>13</v>
      </c>
      <c r="N2275" s="3" t="s">
        <v>28</v>
      </c>
    </row>
    <row r="2276" spans="1:14" x14ac:dyDescent="0.3">
      <c r="A2276" s="7" t="s">
        <v>2359</v>
      </c>
      <c r="B2276" s="7" t="s">
        <v>20</v>
      </c>
      <c r="C2276" s="7">
        <v>2</v>
      </c>
      <c r="D2276" s="10">
        <v>26</v>
      </c>
      <c r="E2276" s="10">
        <v>52</v>
      </c>
      <c r="F2276" s="9">
        <v>45741</v>
      </c>
      <c r="G2276" s="9">
        <v>45743</v>
      </c>
      <c r="H2276" s="7" t="s">
        <v>26</v>
      </c>
      <c r="I2276" s="8" t="s">
        <v>45</v>
      </c>
      <c r="J2276" s="7">
        <v>3</v>
      </c>
      <c r="K2276" s="7" t="s">
        <v>38</v>
      </c>
      <c r="L2276" s="7">
        <v>2</v>
      </c>
      <c r="M2276" s="7">
        <v>13</v>
      </c>
      <c r="N2276" s="7" t="s">
        <v>28</v>
      </c>
    </row>
    <row r="2277" spans="1:14" x14ac:dyDescent="0.3">
      <c r="A2277" s="3" t="s">
        <v>2360</v>
      </c>
      <c r="B2277" s="3" t="s">
        <v>49</v>
      </c>
      <c r="C2277" s="3">
        <v>7</v>
      </c>
      <c r="D2277" s="6">
        <v>19.399999999999999</v>
      </c>
      <c r="E2277" s="6">
        <v>135.80000000000001</v>
      </c>
      <c r="F2277" s="5">
        <v>45741</v>
      </c>
      <c r="G2277" s="5">
        <v>45743</v>
      </c>
      <c r="H2277" s="3"/>
      <c r="I2277" s="4" t="s">
        <v>40</v>
      </c>
      <c r="J2277" s="3">
        <v>3</v>
      </c>
      <c r="K2277" s="3" t="s">
        <v>38</v>
      </c>
      <c r="L2277" s="3">
        <v>2</v>
      </c>
      <c r="M2277" s="3">
        <v>13</v>
      </c>
      <c r="N2277" s="3" t="s">
        <v>23</v>
      </c>
    </row>
    <row r="2278" spans="1:14" x14ac:dyDescent="0.3">
      <c r="A2278" s="7" t="s">
        <v>2361</v>
      </c>
      <c r="B2278" s="7" t="s">
        <v>134</v>
      </c>
      <c r="C2278" s="7">
        <v>3</v>
      </c>
      <c r="D2278" s="10">
        <v>30.3</v>
      </c>
      <c r="E2278" s="10">
        <v>90.9</v>
      </c>
      <c r="F2278" s="9">
        <v>45741</v>
      </c>
      <c r="G2278" s="9">
        <v>45744</v>
      </c>
      <c r="H2278" s="7" t="s">
        <v>31</v>
      </c>
      <c r="I2278" s="8" t="s">
        <v>40</v>
      </c>
      <c r="J2278" s="7">
        <v>5</v>
      </c>
      <c r="K2278" s="7" t="s">
        <v>38</v>
      </c>
      <c r="L2278" s="7">
        <v>3</v>
      </c>
      <c r="M2278" s="7">
        <v>13</v>
      </c>
      <c r="N2278" s="7" t="s">
        <v>33</v>
      </c>
    </row>
    <row r="2279" spans="1:14" x14ac:dyDescent="0.3">
      <c r="A2279" s="3" t="s">
        <v>2362</v>
      </c>
      <c r="B2279" s="3" t="s">
        <v>30</v>
      </c>
      <c r="C2279" s="3">
        <v>3</v>
      </c>
      <c r="D2279" s="6">
        <v>101.4</v>
      </c>
      <c r="E2279" s="6">
        <v>304.2</v>
      </c>
      <c r="F2279" s="5">
        <v>45741</v>
      </c>
      <c r="G2279" s="5">
        <v>45742</v>
      </c>
      <c r="H2279" s="3" t="s">
        <v>26</v>
      </c>
      <c r="I2279" s="4" t="s">
        <v>21</v>
      </c>
      <c r="J2279" s="3">
        <v>4</v>
      </c>
      <c r="K2279" s="3" t="s">
        <v>38</v>
      </c>
      <c r="L2279" s="3">
        <v>1</v>
      </c>
      <c r="M2279" s="3">
        <v>13</v>
      </c>
      <c r="N2279" s="3" t="s">
        <v>28</v>
      </c>
    </row>
    <row r="2280" spans="1:14" x14ac:dyDescent="0.3">
      <c r="A2280" s="7" t="s">
        <v>2363</v>
      </c>
      <c r="B2280" s="7" t="s">
        <v>35</v>
      </c>
      <c r="C2280" s="7">
        <v>5</v>
      </c>
      <c r="D2280" s="10">
        <v>55.5</v>
      </c>
      <c r="E2280" s="10">
        <v>277.5</v>
      </c>
      <c r="F2280" s="9">
        <v>45741</v>
      </c>
      <c r="G2280" s="9">
        <v>45744</v>
      </c>
      <c r="H2280" s="7" t="s">
        <v>26</v>
      </c>
      <c r="I2280" s="8" t="s">
        <v>40</v>
      </c>
      <c r="J2280" s="7">
        <v>4</v>
      </c>
      <c r="K2280" s="7" t="s">
        <v>192</v>
      </c>
      <c r="L2280" s="7">
        <v>3</v>
      </c>
      <c r="M2280" s="7">
        <v>13</v>
      </c>
      <c r="N2280" s="7" t="s">
        <v>28</v>
      </c>
    </row>
    <row r="2281" spans="1:14" x14ac:dyDescent="0.3">
      <c r="A2281" s="3" t="s">
        <v>2364</v>
      </c>
      <c r="B2281" s="3" t="s">
        <v>49</v>
      </c>
      <c r="C2281" s="3">
        <v>1</v>
      </c>
      <c r="D2281" s="6">
        <v>23.1</v>
      </c>
      <c r="E2281" s="6">
        <v>23.1</v>
      </c>
      <c r="F2281" s="5">
        <v>45741</v>
      </c>
      <c r="G2281" s="5">
        <v>45742</v>
      </c>
      <c r="H2281" s="3" t="s">
        <v>26</v>
      </c>
      <c r="I2281" s="4" t="s">
        <v>21</v>
      </c>
      <c r="J2281" s="3">
        <v>4</v>
      </c>
      <c r="K2281" s="3" t="s">
        <v>194</v>
      </c>
      <c r="L2281" s="3">
        <v>1</v>
      </c>
      <c r="M2281" s="3">
        <v>13</v>
      </c>
      <c r="N2281" s="3" t="s">
        <v>28</v>
      </c>
    </row>
    <row r="2282" spans="1:14" x14ac:dyDescent="0.3">
      <c r="A2282" s="7" t="s">
        <v>2365</v>
      </c>
      <c r="B2282" s="7" t="s">
        <v>152</v>
      </c>
      <c r="C2282" s="7">
        <v>2</v>
      </c>
      <c r="D2282" s="10">
        <v>38.9</v>
      </c>
      <c r="E2282" s="10">
        <v>77.8</v>
      </c>
      <c r="F2282" s="9">
        <v>45741</v>
      </c>
      <c r="G2282" s="9">
        <v>45742</v>
      </c>
      <c r="H2282" s="7" t="s">
        <v>26</v>
      </c>
      <c r="I2282" s="8" t="s">
        <v>45</v>
      </c>
      <c r="J2282" s="7">
        <v>4</v>
      </c>
      <c r="K2282" s="7" t="s">
        <v>194</v>
      </c>
      <c r="L2282" s="7">
        <v>1</v>
      </c>
      <c r="M2282" s="7">
        <v>13</v>
      </c>
      <c r="N2282" s="7" t="s">
        <v>28</v>
      </c>
    </row>
    <row r="2283" spans="1:14" x14ac:dyDescent="0.3">
      <c r="A2283" s="3" t="s">
        <v>2366</v>
      </c>
      <c r="B2283" s="3" t="s">
        <v>44</v>
      </c>
      <c r="C2283" s="3">
        <v>9</v>
      </c>
      <c r="D2283" s="6">
        <v>116.3</v>
      </c>
      <c r="E2283" s="6">
        <v>1046.7</v>
      </c>
      <c r="F2283" s="5">
        <v>45741</v>
      </c>
      <c r="G2283" s="5">
        <v>45745</v>
      </c>
      <c r="H2283" s="3" t="s">
        <v>31</v>
      </c>
      <c r="I2283" s="4" t="s">
        <v>21</v>
      </c>
      <c r="J2283" s="3">
        <v>4</v>
      </c>
      <c r="K2283" s="3" t="s">
        <v>57</v>
      </c>
      <c r="L2283" s="3">
        <v>4</v>
      </c>
      <c r="M2283" s="3">
        <v>13</v>
      </c>
      <c r="N2283" s="3" t="s">
        <v>33</v>
      </c>
    </row>
    <row r="2284" spans="1:14" x14ac:dyDescent="0.3">
      <c r="A2284" s="7" t="s">
        <v>2367</v>
      </c>
      <c r="B2284" s="7" t="s">
        <v>134</v>
      </c>
      <c r="C2284" s="7">
        <v>9</v>
      </c>
      <c r="D2284" s="10">
        <v>64.099999999999994</v>
      </c>
      <c r="E2284" s="10">
        <v>576.9</v>
      </c>
      <c r="F2284" s="9">
        <v>45741</v>
      </c>
      <c r="G2284" s="9">
        <v>45741</v>
      </c>
      <c r="H2284" s="7" t="s">
        <v>31</v>
      </c>
      <c r="I2284" s="8" t="s">
        <v>21</v>
      </c>
      <c r="J2284" s="7">
        <v>5</v>
      </c>
      <c r="K2284" s="7" t="s">
        <v>60</v>
      </c>
      <c r="L2284" s="7">
        <v>0</v>
      </c>
      <c r="M2284" s="7">
        <v>13</v>
      </c>
      <c r="N2284" s="7" t="s">
        <v>33</v>
      </c>
    </row>
    <row r="2285" spans="1:14" x14ac:dyDescent="0.3">
      <c r="A2285" s="3" t="s">
        <v>2368</v>
      </c>
      <c r="B2285" s="3" t="s">
        <v>30</v>
      </c>
      <c r="C2285" s="3">
        <v>6</v>
      </c>
      <c r="D2285" s="6">
        <v>109.2</v>
      </c>
      <c r="E2285" s="6">
        <v>655.20000000000005</v>
      </c>
      <c r="F2285" s="5">
        <v>45741</v>
      </c>
      <c r="G2285" s="5">
        <v>45743</v>
      </c>
      <c r="H2285" s="3" t="s">
        <v>26</v>
      </c>
      <c r="I2285" s="4" t="s">
        <v>21</v>
      </c>
      <c r="J2285" s="3">
        <v>3</v>
      </c>
      <c r="K2285" s="3" t="s">
        <v>67</v>
      </c>
      <c r="L2285" s="3">
        <v>2</v>
      </c>
      <c r="M2285" s="3">
        <v>13</v>
      </c>
      <c r="N2285" s="3" t="s">
        <v>28</v>
      </c>
    </row>
    <row r="2286" spans="1:14" x14ac:dyDescent="0.3">
      <c r="A2286" s="7" t="s">
        <v>2369</v>
      </c>
      <c r="B2286" s="7" t="s">
        <v>59</v>
      </c>
      <c r="C2286" s="7">
        <v>5</v>
      </c>
      <c r="D2286" s="10">
        <v>23.2</v>
      </c>
      <c r="E2286" s="10">
        <v>116</v>
      </c>
      <c r="F2286" s="9">
        <v>45742</v>
      </c>
      <c r="G2286" s="9">
        <v>45743</v>
      </c>
      <c r="H2286" s="7" t="s">
        <v>26</v>
      </c>
      <c r="I2286" s="8" t="s">
        <v>21</v>
      </c>
      <c r="J2286" s="7">
        <v>3</v>
      </c>
      <c r="K2286" s="7" t="s">
        <v>67</v>
      </c>
      <c r="L2286" s="7">
        <v>1</v>
      </c>
      <c r="M2286" s="7">
        <v>13</v>
      </c>
      <c r="N2286" s="7" t="s">
        <v>28</v>
      </c>
    </row>
    <row r="2287" spans="1:14" x14ac:dyDescent="0.3">
      <c r="A2287" s="3" t="s">
        <v>2370</v>
      </c>
      <c r="B2287" s="3" t="s">
        <v>152</v>
      </c>
      <c r="C2287" s="3">
        <v>6</v>
      </c>
      <c r="D2287" s="6">
        <v>81.2</v>
      </c>
      <c r="E2287" s="6">
        <v>487.2</v>
      </c>
      <c r="F2287" s="5">
        <v>45742</v>
      </c>
      <c r="G2287" s="5">
        <v>45744</v>
      </c>
      <c r="H2287" s="3" t="s">
        <v>26</v>
      </c>
      <c r="I2287" s="4" t="s">
        <v>45</v>
      </c>
      <c r="J2287" s="3">
        <v>5</v>
      </c>
      <c r="K2287" s="3" t="s">
        <v>67</v>
      </c>
      <c r="L2287" s="3">
        <v>2</v>
      </c>
      <c r="M2287" s="3">
        <v>13</v>
      </c>
      <c r="N2287" s="3" t="s">
        <v>28</v>
      </c>
    </row>
    <row r="2288" spans="1:14" x14ac:dyDescent="0.3">
      <c r="A2288" s="7" t="s">
        <v>2371</v>
      </c>
      <c r="B2288" s="7" t="s">
        <v>25</v>
      </c>
      <c r="C2288" s="7">
        <v>14</v>
      </c>
      <c r="D2288" s="10">
        <v>35.700000000000003</v>
      </c>
      <c r="E2288" s="10">
        <v>499.80000000000013</v>
      </c>
      <c r="F2288" s="9">
        <v>45742</v>
      </c>
      <c r="G2288" s="9">
        <v>45743</v>
      </c>
      <c r="H2288" s="7" t="s">
        <v>26</v>
      </c>
      <c r="I2288" s="8" t="s">
        <v>56</v>
      </c>
      <c r="J2288" s="7">
        <v>4</v>
      </c>
      <c r="K2288" s="7" t="s">
        <v>67</v>
      </c>
      <c r="L2288" s="7">
        <v>1</v>
      </c>
      <c r="M2288" s="7">
        <v>13</v>
      </c>
      <c r="N2288" s="7" t="s">
        <v>28</v>
      </c>
    </row>
    <row r="2289" spans="1:14" x14ac:dyDescent="0.3">
      <c r="A2289" s="3" t="s">
        <v>2372</v>
      </c>
      <c r="B2289" s="3" t="s">
        <v>47</v>
      </c>
      <c r="C2289" s="3">
        <v>2</v>
      </c>
      <c r="D2289" s="6">
        <v>44.5</v>
      </c>
      <c r="E2289" s="6">
        <v>89</v>
      </c>
      <c r="F2289" s="5">
        <v>45742</v>
      </c>
      <c r="G2289" s="5">
        <v>45745</v>
      </c>
      <c r="H2289" s="3" t="s">
        <v>26</v>
      </c>
      <c r="I2289" s="4" t="s">
        <v>75</v>
      </c>
      <c r="J2289" s="3">
        <v>4</v>
      </c>
      <c r="K2289" s="3" t="s">
        <v>77</v>
      </c>
      <c r="L2289" s="3">
        <v>3</v>
      </c>
      <c r="M2289" s="3">
        <v>13</v>
      </c>
      <c r="N2289" s="3" t="s">
        <v>28</v>
      </c>
    </row>
    <row r="2290" spans="1:14" x14ac:dyDescent="0.3">
      <c r="A2290" s="7" t="s">
        <v>2373</v>
      </c>
      <c r="B2290" s="7" t="s">
        <v>25</v>
      </c>
      <c r="C2290" s="7">
        <v>5</v>
      </c>
      <c r="D2290" s="10">
        <v>32</v>
      </c>
      <c r="E2290" s="10">
        <v>160</v>
      </c>
      <c r="F2290" s="9">
        <v>45742</v>
      </c>
      <c r="G2290" s="9">
        <v>45744</v>
      </c>
      <c r="H2290" s="7" t="s">
        <v>94</v>
      </c>
      <c r="I2290" s="8" t="s">
        <v>40</v>
      </c>
      <c r="J2290" s="7">
        <v>3</v>
      </c>
      <c r="K2290" s="7" t="s">
        <v>77</v>
      </c>
      <c r="L2290" s="7">
        <v>2</v>
      </c>
      <c r="M2290" s="7">
        <v>13</v>
      </c>
      <c r="N2290" s="7" t="s">
        <v>95</v>
      </c>
    </row>
    <row r="2291" spans="1:14" x14ac:dyDescent="0.3">
      <c r="A2291" s="3" t="s">
        <v>2374</v>
      </c>
      <c r="B2291" s="3" t="s">
        <v>49</v>
      </c>
      <c r="C2291" s="3">
        <v>1</v>
      </c>
      <c r="D2291" s="6">
        <v>25.7</v>
      </c>
      <c r="E2291" s="6">
        <v>25.7</v>
      </c>
      <c r="F2291" s="5">
        <v>45742</v>
      </c>
      <c r="G2291" s="5">
        <v>45743</v>
      </c>
      <c r="H2291" s="3" t="s">
        <v>26</v>
      </c>
      <c r="I2291" s="4" t="s">
        <v>21</v>
      </c>
      <c r="J2291" s="3">
        <v>4</v>
      </c>
      <c r="K2291" s="3" t="s">
        <v>79</v>
      </c>
      <c r="L2291" s="3">
        <v>1</v>
      </c>
      <c r="M2291" s="3">
        <v>13</v>
      </c>
      <c r="N2291" s="3" t="s">
        <v>28</v>
      </c>
    </row>
    <row r="2292" spans="1:14" x14ac:dyDescent="0.3">
      <c r="A2292" s="7" t="s">
        <v>2375</v>
      </c>
      <c r="B2292" s="7" t="s">
        <v>134</v>
      </c>
      <c r="C2292" s="7">
        <v>3</v>
      </c>
      <c r="D2292" s="10">
        <v>65.599999999999994</v>
      </c>
      <c r="E2292" s="10">
        <v>196.8</v>
      </c>
      <c r="F2292" s="9">
        <v>45742</v>
      </c>
      <c r="G2292" s="9">
        <v>45748</v>
      </c>
      <c r="H2292" s="7" t="s">
        <v>26</v>
      </c>
      <c r="I2292" s="8" t="s">
        <v>21</v>
      </c>
      <c r="J2292" s="7">
        <v>4</v>
      </c>
      <c r="K2292" s="7" t="s">
        <v>82</v>
      </c>
      <c r="L2292" s="7">
        <v>6</v>
      </c>
      <c r="M2292" s="7">
        <v>13</v>
      </c>
      <c r="N2292" s="7" t="s">
        <v>28</v>
      </c>
    </row>
    <row r="2293" spans="1:14" x14ac:dyDescent="0.3">
      <c r="A2293" s="3" t="s">
        <v>2376</v>
      </c>
      <c r="B2293" s="3" t="s">
        <v>25</v>
      </c>
      <c r="C2293" s="3">
        <v>4</v>
      </c>
      <c r="D2293" s="6">
        <v>52.1</v>
      </c>
      <c r="E2293" s="6">
        <v>208.4</v>
      </c>
      <c r="F2293" s="5">
        <v>45742</v>
      </c>
      <c r="G2293" s="5">
        <v>45743</v>
      </c>
      <c r="H2293" s="3" t="s">
        <v>31</v>
      </c>
      <c r="I2293" s="4" t="s">
        <v>21</v>
      </c>
      <c r="J2293" s="3">
        <v>5</v>
      </c>
      <c r="K2293" s="3" t="s">
        <v>82</v>
      </c>
      <c r="L2293" s="3">
        <v>1</v>
      </c>
      <c r="M2293" s="3">
        <v>13</v>
      </c>
      <c r="N2293" s="3" t="s">
        <v>33</v>
      </c>
    </row>
    <row r="2294" spans="1:14" x14ac:dyDescent="0.3">
      <c r="A2294" s="7" t="s">
        <v>2377</v>
      </c>
      <c r="B2294" s="7" t="s">
        <v>49</v>
      </c>
      <c r="C2294" s="7">
        <v>1</v>
      </c>
      <c r="D2294" s="10">
        <v>31</v>
      </c>
      <c r="E2294" s="10">
        <v>31</v>
      </c>
      <c r="F2294" s="9">
        <v>45742</v>
      </c>
      <c r="G2294" s="9">
        <v>45743</v>
      </c>
      <c r="H2294" s="7" t="s">
        <v>26</v>
      </c>
      <c r="I2294" s="8" t="s">
        <v>21</v>
      </c>
      <c r="J2294" s="7">
        <v>3</v>
      </c>
      <c r="K2294" s="7" t="s">
        <v>116</v>
      </c>
      <c r="L2294" s="7">
        <v>1</v>
      </c>
      <c r="M2294" s="7">
        <v>13</v>
      </c>
      <c r="N2294" s="7" t="s">
        <v>28</v>
      </c>
    </row>
    <row r="2295" spans="1:14" x14ac:dyDescent="0.3">
      <c r="A2295" s="3" t="s">
        <v>2378</v>
      </c>
      <c r="B2295" s="3" t="s">
        <v>49</v>
      </c>
      <c r="C2295" s="3">
        <v>1</v>
      </c>
      <c r="D2295" s="6">
        <v>32</v>
      </c>
      <c r="E2295" s="6">
        <v>32</v>
      </c>
      <c r="F2295" s="5">
        <v>45742</v>
      </c>
      <c r="G2295" s="5">
        <v>45744</v>
      </c>
      <c r="H2295" s="3" t="s">
        <v>94</v>
      </c>
      <c r="I2295" s="4" t="s">
        <v>56</v>
      </c>
      <c r="J2295" s="3">
        <v>3</v>
      </c>
      <c r="K2295" s="3" t="s">
        <v>298</v>
      </c>
      <c r="L2295" s="3">
        <v>2</v>
      </c>
      <c r="M2295" s="3">
        <v>13</v>
      </c>
      <c r="N2295" s="3" t="s">
        <v>95</v>
      </c>
    </row>
    <row r="2296" spans="1:14" x14ac:dyDescent="0.3">
      <c r="A2296" s="7" t="s">
        <v>2379</v>
      </c>
      <c r="B2296" s="7" t="s">
        <v>134</v>
      </c>
      <c r="C2296" s="7">
        <v>4</v>
      </c>
      <c r="D2296" s="10">
        <v>58.3</v>
      </c>
      <c r="E2296" s="10">
        <v>233.2</v>
      </c>
      <c r="F2296" s="9">
        <v>45742</v>
      </c>
      <c r="G2296" s="9">
        <v>45746</v>
      </c>
      <c r="H2296" s="7" t="s">
        <v>26</v>
      </c>
      <c r="I2296" s="8" t="s">
        <v>40</v>
      </c>
      <c r="J2296" s="7">
        <v>2</v>
      </c>
      <c r="K2296" s="7" t="s">
        <v>119</v>
      </c>
      <c r="L2296" s="7">
        <v>4</v>
      </c>
      <c r="M2296" s="7">
        <v>13</v>
      </c>
      <c r="N2296" s="7" t="s">
        <v>28</v>
      </c>
    </row>
    <row r="2297" spans="1:14" x14ac:dyDescent="0.3">
      <c r="A2297" s="3" t="s">
        <v>2380</v>
      </c>
      <c r="B2297" s="3" t="s">
        <v>49</v>
      </c>
      <c r="C2297" s="3">
        <v>3</v>
      </c>
      <c r="D2297" s="6">
        <v>31</v>
      </c>
      <c r="E2297" s="6">
        <v>93</v>
      </c>
      <c r="F2297" s="5">
        <v>45742</v>
      </c>
      <c r="G2297" s="5">
        <v>45744</v>
      </c>
      <c r="H2297" s="3" t="s">
        <v>31</v>
      </c>
      <c r="I2297" s="4" t="s">
        <v>45</v>
      </c>
      <c r="J2297" s="3">
        <v>2</v>
      </c>
      <c r="K2297" s="3" t="s">
        <v>87</v>
      </c>
      <c r="L2297" s="3">
        <v>2</v>
      </c>
      <c r="M2297" s="3">
        <v>13</v>
      </c>
      <c r="N2297" s="3" t="s">
        <v>33</v>
      </c>
    </row>
    <row r="2298" spans="1:14" x14ac:dyDescent="0.3">
      <c r="A2298" s="7" t="s">
        <v>2381</v>
      </c>
      <c r="B2298" s="7" t="s">
        <v>35</v>
      </c>
      <c r="C2298" s="7">
        <v>1</v>
      </c>
      <c r="D2298" s="10">
        <v>40.299999999999997</v>
      </c>
      <c r="E2298" s="10">
        <v>40.299999999999997</v>
      </c>
      <c r="F2298" s="9">
        <v>45742</v>
      </c>
      <c r="G2298" s="9">
        <v>45743</v>
      </c>
      <c r="H2298" s="7" t="s">
        <v>26</v>
      </c>
      <c r="I2298" s="8" t="s">
        <v>40</v>
      </c>
      <c r="J2298" s="7">
        <v>5</v>
      </c>
      <c r="K2298" s="7" t="s">
        <v>274</v>
      </c>
      <c r="L2298" s="7">
        <v>1</v>
      </c>
      <c r="M2298" s="7">
        <v>13</v>
      </c>
      <c r="N2298" s="7" t="s">
        <v>28</v>
      </c>
    </row>
    <row r="2299" spans="1:14" x14ac:dyDescent="0.3">
      <c r="A2299" s="3" t="s">
        <v>2382</v>
      </c>
      <c r="B2299" s="3" t="s">
        <v>44</v>
      </c>
      <c r="C2299" s="3">
        <v>3</v>
      </c>
      <c r="D2299" s="6">
        <v>47.3</v>
      </c>
      <c r="E2299" s="6">
        <v>141.9</v>
      </c>
      <c r="F2299" s="5">
        <v>45742</v>
      </c>
      <c r="G2299" s="5">
        <v>45744</v>
      </c>
      <c r="H2299" s="3" t="s">
        <v>26</v>
      </c>
      <c r="I2299" s="4" t="s">
        <v>75</v>
      </c>
      <c r="J2299" s="3">
        <v>5</v>
      </c>
      <c r="K2299" s="3" t="s">
        <v>32</v>
      </c>
      <c r="L2299" s="3">
        <v>2</v>
      </c>
      <c r="M2299" s="3">
        <v>13</v>
      </c>
      <c r="N2299" s="3" t="s">
        <v>28</v>
      </c>
    </row>
    <row r="2300" spans="1:14" x14ac:dyDescent="0.3">
      <c r="A2300" s="7" t="s">
        <v>2383</v>
      </c>
      <c r="B2300" s="7" t="s">
        <v>30</v>
      </c>
      <c r="C2300" s="7">
        <v>1</v>
      </c>
      <c r="D2300" s="10">
        <v>82.8</v>
      </c>
      <c r="E2300" s="10">
        <v>82.8</v>
      </c>
      <c r="F2300" s="9">
        <v>45742</v>
      </c>
      <c r="G2300" s="9">
        <v>45743</v>
      </c>
      <c r="H2300" s="7" t="s">
        <v>26</v>
      </c>
      <c r="I2300" s="8" t="s">
        <v>21</v>
      </c>
      <c r="J2300" s="7">
        <v>4</v>
      </c>
      <c r="K2300" s="7" t="s">
        <v>32</v>
      </c>
      <c r="L2300" s="7">
        <v>1</v>
      </c>
      <c r="M2300" s="7">
        <v>13</v>
      </c>
      <c r="N2300" s="7" t="s">
        <v>28</v>
      </c>
    </row>
    <row r="2301" spans="1:14" x14ac:dyDescent="0.3">
      <c r="A2301" s="3" t="s">
        <v>2384</v>
      </c>
      <c r="B2301" s="3" t="s">
        <v>49</v>
      </c>
      <c r="C2301" s="3">
        <v>1</v>
      </c>
      <c r="D2301" s="6">
        <v>18.5</v>
      </c>
      <c r="E2301" s="6">
        <v>18.5</v>
      </c>
      <c r="F2301" s="5">
        <v>45742</v>
      </c>
      <c r="G2301" s="5">
        <v>45756</v>
      </c>
      <c r="H2301" s="3" t="s">
        <v>31</v>
      </c>
      <c r="I2301" s="4" t="s">
        <v>21</v>
      </c>
      <c r="J2301" s="3">
        <v>4</v>
      </c>
      <c r="K2301" s="3" t="s">
        <v>119</v>
      </c>
      <c r="L2301" s="3">
        <v>14</v>
      </c>
      <c r="M2301" s="3">
        <v>13</v>
      </c>
      <c r="N2301" s="3" t="s">
        <v>33</v>
      </c>
    </row>
    <row r="2302" spans="1:14" x14ac:dyDescent="0.3">
      <c r="A2302" s="7" t="s">
        <v>2385</v>
      </c>
      <c r="B2302" s="7" t="s">
        <v>35</v>
      </c>
      <c r="C2302" s="7">
        <v>2</v>
      </c>
      <c r="D2302" s="10">
        <v>60.4</v>
      </c>
      <c r="E2302" s="10">
        <v>120.8</v>
      </c>
      <c r="F2302" s="9">
        <v>45742</v>
      </c>
      <c r="G2302" s="9">
        <v>45743</v>
      </c>
      <c r="H2302" s="7" t="s">
        <v>26</v>
      </c>
      <c r="I2302" s="8" t="s">
        <v>45</v>
      </c>
      <c r="J2302" s="7">
        <v>4</v>
      </c>
      <c r="K2302" s="7" t="s">
        <v>153</v>
      </c>
      <c r="L2302" s="7">
        <v>1</v>
      </c>
      <c r="M2302" s="7">
        <v>13</v>
      </c>
      <c r="N2302" s="7" t="s">
        <v>28</v>
      </c>
    </row>
    <row r="2303" spans="1:14" x14ac:dyDescent="0.3">
      <c r="A2303" s="3" t="s">
        <v>2386</v>
      </c>
      <c r="B2303" s="3" t="s">
        <v>44</v>
      </c>
      <c r="C2303" s="3">
        <v>5</v>
      </c>
      <c r="D2303" s="6">
        <v>80.2</v>
      </c>
      <c r="E2303" s="6">
        <v>401</v>
      </c>
      <c r="F2303" s="5">
        <v>45742</v>
      </c>
      <c r="G2303" s="5">
        <v>45749</v>
      </c>
      <c r="H2303" s="3" t="s">
        <v>26</v>
      </c>
      <c r="I2303" s="4" t="s">
        <v>40</v>
      </c>
      <c r="J2303" s="3">
        <v>3</v>
      </c>
      <c r="K2303" s="3" t="s">
        <v>207</v>
      </c>
      <c r="L2303" s="3">
        <v>7</v>
      </c>
      <c r="M2303" s="3">
        <v>13</v>
      </c>
      <c r="N2303" s="3" t="s">
        <v>28</v>
      </c>
    </row>
    <row r="2304" spans="1:14" x14ac:dyDescent="0.3">
      <c r="A2304" s="7" t="s">
        <v>2387</v>
      </c>
      <c r="B2304" s="7" t="s">
        <v>37</v>
      </c>
      <c r="C2304" s="7">
        <v>1</v>
      </c>
      <c r="D2304" s="10">
        <v>41.5</v>
      </c>
      <c r="E2304" s="10">
        <v>41.5</v>
      </c>
      <c r="F2304" s="9">
        <v>45742</v>
      </c>
      <c r="G2304" s="9">
        <v>45744</v>
      </c>
      <c r="H2304" s="7" t="s">
        <v>26</v>
      </c>
      <c r="I2304" s="8" t="s">
        <v>45</v>
      </c>
      <c r="J2304" s="7">
        <v>4</v>
      </c>
      <c r="K2304" s="7" t="s">
        <v>38</v>
      </c>
      <c r="L2304" s="7">
        <v>2</v>
      </c>
      <c r="M2304" s="7">
        <v>13</v>
      </c>
      <c r="N2304" s="7" t="s">
        <v>28</v>
      </c>
    </row>
    <row r="2305" spans="1:14" x14ac:dyDescent="0.3">
      <c r="A2305" s="3" t="s">
        <v>2388</v>
      </c>
      <c r="B2305" s="3" t="s">
        <v>30</v>
      </c>
      <c r="C2305" s="3">
        <v>2</v>
      </c>
      <c r="D2305" s="6">
        <v>83.9</v>
      </c>
      <c r="E2305" s="6">
        <v>167.8</v>
      </c>
      <c r="F2305" s="5">
        <v>45742</v>
      </c>
      <c r="G2305" s="5">
        <v>45745</v>
      </c>
      <c r="H2305" s="3" t="s">
        <v>31</v>
      </c>
      <c r="I2305" s="4" t="s">
        <v>21</v>
      </c>
      <c r="J2305" s="3">
        <v>4</v>
      </c>
      <c r="K2305" s="3" t="s">
        <v>38</v>
      </c>
      <c r="L2305" s="3">
        <v>3</v>
      </c>
      <c r="M2305" s="3">
        <v>13</v>
      </c>
      <c r="N2305" s="3" t="s">
        <v>33</v>
      </c>
    </row>
    <row r="2306" spans="1:14" x14ac:dyDescent="0.3">
      <c r="A2306" s="7" t="s">
        <v>2389</v>
      </c>
      <c r="B2306" s="7" t="s">
        <v>49</v>
      </c>
      <c r="C2306" s="7">
        <v>2</v>
      </c>
      <c r="D2306" s="10">
        <v>16.7</v>
      </c>
      <c r="E2306" s="10">
        <v>33.4</v>
      </c>
      <c r="F2306" s="9">
        <v>45742</v>
      </c>
      <c r="G2306" s="9">
        <v>45746</v>
      </c>
      <c r="H2306" s="7" t="s">
        <v>31</v>
      </c>
      <c r="I2306" s="8" t="s">
        <v>21</v>
      </c>
      <c r="J2306" s="7">
        <v>3</v>
      </c>
      <c r="K2306" s="7" t="s">
        <v>38</v>
      </c>
      <c r="L2306" s="7">
        <v>4</v>
      </c>
      <c r="M2306" s="7">
        <v>13</v>
      </c>
      <c r="N2306" s="7" t="s">
        <v>33</v>
      </c>
    </row>
    <row r="2307" spans="1:14" x14ac:dyDescent="0.3">
      <c r="A2307" s="3" t="s">
        <v>2390</v>
      </c>
      <c r="B2307" s="3" t="s">
        <v>51</v>
      </c>
      <c r="C2307" s="3">
        <v>2</v>
      </c>
      <c r="D2307" s="6">
        <v>72.900000000000006</v>
      </c>
      <c r="E2307" s="6">
        <v>145.80000000000001</v>
      </c>
      <c r="F2307" s="5">
        <v>45742</v>
      </c>
      <c r="G2307" s="5">
        <v>45743</v>
      </c>
      <c r="H2307" s="3" t="s">
        <v>26</v>
      </c>
      <c r="I2307" s="4" t="s">
        <v>45</v>
      </c>
      <c r="J2307" s="3">
        <v>3</v>
      </c>
      <c r="K2307" s="3" t="s">
        <v>38</v>
      </c>
      <c r="L2307" s="3">
        <v>1</v>
      </c>
      <c r="M2307" s="3">
        <v>13</v>
      </c>
      <c r="N2307" s="3" t="s">
        <v>28</v>
      </c>
    </row>
    <row r="2308" spans="1:14" x14ac:dyDescent="0.3">
      <c r="A2308" s="7" t="s">
        <v>2391</v>
      </c>
      <c r="B2308" s="7" t="s">
        <v>42</v>
      </c>
      <c r="C2308" s="7">
        <v>2</v>
      </c>
      <c r="D2308" s="10">
        <v>50.2</v>
      </c>
      <c r="E2308" s="10">
        <v>100.4</v>
      </c>
      <c r="F2308" s="9">
        <v>45742</v>
      </c>
      <c r="G2308" s="9">
        <v>45744</v>
      </c>
      <c r="H2308" s="7" t="s">
        <v>31</v>
      </c>
      <c r="I2308" s="8" t="s">
        <v>40</v>
      </c>
      <c r="J2308" s="7">
        <v>5</v>
      </c>
      <c r="K2308" s="7" t="s">
        <v>38</v>
      </c>
      <c r="L2308" s="7">
        <v>2</v>
      </c>
      <c r="M2308" s="7">
        <v>13</v>
      </c>
      <c r="N2308" s="7" t="s">
        <v>33</v>
      </c>
    </row>
    <row r="2309" spans="1:14" x14ac:dyDescent="0.3">
      <c r="A2309" s="3" t="s">
        <v>2392</v>
      </c>
      <c r="B2309" s="3" t="s">
        <v>35</v>
      </c>
      <c r="C2309" s="3">
        <v>2</v>
      </c>
      <c r="D2309" s="6">
        <v>34.200000000000003</v>
      </c>
      <c r="E2309" s="6">
        <v>68.400000000000006</v>
      </c>
      <c r="F2309" s="5">
        <v>45742</v>
      </c>
      <c r="G2309" s="5">
        <v>45752</v>
      </c>
      <c r="H2309" s="3"/>
      <c r="I2309" s="4" t="s">
        <v>40</v>
      </c>
      <c r="J2309" s="3">
        <v>4</v>
      </c>
      <c r="K2309" s="3" t="s">
        <v>38</v>
      </c>
      <c r="L2309" s="3">
        <v>10</v>
      </c>
      <c r="M2309" s="3">
        <v>13</v>
      </c>
      <c r="N2309" s="3" t="s">
        <v>23</v>
      </c>
    </row>
    <row r="2310" spans="1:14" x14ac:dyDescent="0.3">
      <c r="A2310" s="7" t="s">
        <v>2393</v>
      </c>
      <c r="B2310" s="7" t="s">
        <v>42</v>
      </c>
      <c r="C2310" s="7">
        <v>2</v>
      </c>
      <c r="D2310" s="10">
        <v>107.9</v>
      </c>
      <c r="E2310" s="10">
        <v>215.8</v>
      </c>
      <c r="F2310" s="9">
        <v>45742</v>
      </c>
      <c r="G2310" s="9">
        <v>45742</v>
      </c>
      <c r="H2310" s="7" t="s">
        <v>26</v>
      </c>
      <c r="I2310" s="8" t="s">
        <v>40</v>
      </c>
      <c r="J2310" s="7">
        <v>2</v>
      </c>
      <c r="K2310" s="7" t="s">
        <v>38</v>
      </c>
      <c r="L2310" s="7">
        <v>0</v>
      </c>
      <c r="M2310" s="7">
        <v>13</v>
      </c>
      <c r="N2310" s="7" t="s">
        <v>28</v>
      </c>
    </row>
    <row r="2311" spans="1:14" x14ac:dyDescent="0.3">
      <c r="A2311" s="3" t="s">
        <v>2394</v>
      </c>
      <c r="B2311" s="3" t="s">
        <v>20</v>
      </c>
      <c r="C2311" s="3">
        <v>3</v>
      </c>
      <c r="D2311" s="6">
        <v>17.5</v>
      </c>
      <c r="E2311" s="6">
        <v>52.5</v>
      </c>
      <c r="F2311" s="5">
        <v>45742</v>
      </c>
      <c r="G2311" s="5">
        <v>45744</v>
      </c>
      <c r="H2311" s="3" t="s">
        <v>26</v>
      </c>
      <c r="I2311" s="4" t="s">
        <v>75</v>
      </c>
      <c r="J2311" s="3">
        <v>4</v>
      </c>
      <c r="K2311" s="3" t="s">
        <v>38</v>
      </c>
      <c r="L2311" s="3">
        <v>2</v>
      </c>
      <c r="M2311" s="3">
        <v>13</v>
      </c>
      <c r="N2311" s="3" t="s">
        <v>28</v>
      </c>
    </row>
    <row r="2312" spans="1:14" x14ac:dyDescent="0.3">
      <c r="A2312" s="7" t="s">
        <v>2395</v>
      </c>
      <c r="B2312" s="7" t="s">
        <v>81</v>
      </c>
      <c r="C2312" s="7">
        <v>15</v>
      </c>
      <c r="D2312" s="10">
        <v>44.7</v>
      </c>
      <c r="E2312" s="10">
        <v>670.5</v>
      </c>
      <c r="F2312" s="9">
        <v>45742</v>
      </c>
      <c r="G2312" s="9">
        <v>45743</v>
      </c>
      <c r="H2312" s="7" t="s">
        <v>26</v>
      </c>
      <c r="I2312" s="8" t="s">
        <v>21</v>
      </c>
      <c r="J2312" s="7">
        <v>3</v>
      </c>
      <c r="K2312" s="7" t="s">
        <v>38</v>
      </c>
      <c r="L2312" s="7">
        <v>1</v>
      </c>
      <c r="M2312" s="7">
        <v>13</v>
      </c>
      <c r="N2312" s="7" t="s">
        <v>28</v>
      </c>
    </row>
    <row r="2313" spans="1:14" x14ac:dyDescent="0.3">
      <c r="A2313" s="3" t="s">
        <v>2396</v>
      </c>
      <c r="B2313" s="3" t="s">
        <v>74</v>
      </c>
      <c r="C2313" s="3">
        <v>6</v>
      </c>
      <c r="D2313" s="6">
        <v>92.7</v>
      </c>
      <c r="E2313" s="6">
        <v>556.20000000000005</v>
      </c>
      <c r="F2313" s="5">
        <v>45742</v>
      </c>
      <c r="G2313" s="5">
        <v>45744</v>
      </c>
      <c r="H2313" s="3" t="s">
        <v>31</v>
      </c>
      <c r="I2313" s="4" t="s">
        <v>45</v>
      </c>
      <c r="J2313" s="3">
        <v>3</v>
      </c>
      <c r="K2313" s="3" t="s">
        <v>38</v>
      </c>
      <c r="L2313" s="3">
        <v>2</v>
      </c>
      <c r="M2313" s="3">
        <v>13</v>
      </c>
      <c r="N2313" s="3" t="s">
        <v>33</v>
      </c>
    </row>
    <row r="2314" spans="1:14" x14ac:dyDescent="0.3">
      <c r="A2314" s="7" t="s">
        <v>2397</v>
      </c>
      <c r="B2314" s="7" t="s">
        <v>47</v>
      </c>
      <c r="C2314" s="7">
        <v>3</v>
      </c>
      <c r="D2314" s="10">
        <v>48.8</v>
      </c>
      <c r="E2314" s="10">
        <v>146.4</v>
      </c>
      <c r="F2314" s="9">
        <v>45742</v>
      </c>
      <c r="G2314" s="9">
        <v>45744</v>
      </c>
      <c r="H2314" s="7" t="s">
        <v>31</v>
      </c>
      <c r="I2314" s="8" t="s">
        <v>45</v>
      </c>
      <c r="J2314" s="7">
        <v>4</v>
      </c>
      <c r="K2314" s="7" t="s">
        <v>38</v>
      </c>
      <c r="L2314" s="7">
        <v>2</v>
      </c>
      <c r="M2314" s="7">
        <v>13</v>
      </c>
      <c r="N2314" s="7" t="s">
        <v>33</v>
      </c>
    </row>
    <row r="2315" spans="1:14" x14ac:dyDescent="0.3">
      <c r="A2315" s="3" t="s">
        <v>2398</v>
      </c>
      <c r="B2315" s="3" t="s">
        <v>37</v>
      </c>
      <c r="C2315" s="3">
        <v>16</v>
      </c>
      <c r="D2315" s="6">
        <v>21.3</v>
      </c>
      <c r="E2315" s="6">
        <v>340.8</v>
      </c>
      <c r="F2315" s="5">
        <v>45742</v>
      </c>
      <c r="G2315" s="5">
        <v>45746</v>
      </c>
      <c r="H2315" s="3" t="s">
        <v>31</v>
      </c>
      <c r="I2315" s="4" t="s">
        <v>56</v>
      </c>
      <c r="J2315" s="3">
        <v>1</v>
      </c>
      <c r="K2315" s="3" t="s">
        <v>38</v>
      </c>
      <c r="L2315" s="3">
        <v>4</v>
      </c>
      <c r="M2315" s="3">
        <v>13</v>
      </c>
      <c r="N2315" s="3" t="s">
        <v>33</v>
      </c>
    </row>
    <row r="2316" spans="1:14" x14ac:dyDescent="0.3">
      <c r="A2316" s="7" t="s">
        <v>2399</v>
      </c>
      <c r="B2316" s="7" t="s">
        <v>134</v>
      </c>
      <c r="C2316" s="7">
        <v>1</v>
      </c>
      <c r="D2316" s="10">
        <v>52.5</v>
      </c>
      <c r="E2316" s="10">
        <v>52.5</v>
      </c>
      <c r="F2316" s="9">
        <v>45742</v>
      </c>
      <c r="G2316" s="9">
        <v>45743</v>
      </c>
      <c r="H2316" s="7" t="s">
        <v>31</v>
      </c>
      <c r="I2316" s="8" t="s">
        <v>21</v>
      </c>
      <c r="J2316" s="7">
        <v>4</v>
      </c>
      <c r="K2316" s="7" t="s">
        <v>38</v>
      </c>
      <c r="L2316" s="7">
        <v>1</v>
      </c>
      <c r="M2316" s="7">
        <v>13</v>
      </c>
      <c r="N2316" s="7" t="s">
        <v>33</v>
      </c>
    </row>
    <row r="2317" spans="1:14" x14ac:dyDescent="0.3">
      <c r="A2317" s="3" t="s">
        <v>2400</v>
      </c>
      <c r="B2317" s="3" t="s">
        <v>25</v>
      </c>
      <c r="C2317" s="3">
        <v>2</v>
      </c>
      <c r="D2317" s="6">
        <v>92.4</v>
      </c>
      <c r="E2317" s="6">
        <v>184.8</v>
      </c>
      <c r="F2317" s="5">
        <v>45742</v>
      </c>
      <c r="G2317" s="5">
        <v>45748</v>
      </c>
      <c r="H2317" s="3" t="s">
        <v>31</v>
      </c>
      <c r="I2317" s="4" t="s">
        <v>21</v>
      </c>
      <c r="J2317" s="3">
        <v>5</v>
      </c>
      <c r="K2317" s="3" t="s">
        <v>38</v>
      </c>
      <c r="L2317" s="3">
        <v>6</v>
      </c>
      <c r="M2317" s="3">
        <v>13</v>
      </c>
      <c r="N2317" s="3" t="s">
        <v>33</v>
      </c>
    </row>
    <row r="2318" spans="1:14" x14ac:dyDescent="0.3">
      <c r="A2318" s="7" t="s">
        <v>2401</v>
      </c>
      <c r="B2318" s="7" t="s">
        <v>37</v>
      </c>
      <c r="C2318" s="7">
        <v>11</v>
      </c>
      <c r="D2318" s="10">
        <v>58.3</v>
      </c>
      <c r="E2318" s="10">
        <v>641.29999999999995</v>
      </c>
      <c r="F2318" s="9">
        <v>45742</v>
      </c>
      <c r="G2318" s="9">
        <v>45744</v>
      </c>
      <c r="H2318" s="7" t="s">
        <v>26</v>
      </c>
      <c r="I2318" s="8" t="s">
        <v>40</v>
      </c>
      <c r="J2318" s="7">
        <v>5</v>
      </c>
      <c r="K2318" s="7" t="s">
        <v>38</v>
      </c>
      <c r="L2318" s="7">
        <v>2</v>
      </c>
      <c r="M2318" s="7">
        <v>13</v>
      </c>
      <c r="N2318" s="7" t="s">
        <v>28</v>
      </c>
    </row>
    <row r="2319" spans="1:14" x14ac:dyDescent="0.3">
      <c r="A2319" s="3" t="s">
        <v>2402</v>
      </c>
      <c r="B2319" s="3" t="s">
        <v>44</v>
      </c>
      <c r="C2319" s="3">
        <v>23</v>
      </c>
      <c r="D2319" s="6">
        <v>152.6</v>
      </c>
      <c r="E2319" s="6">
        <v>3509.8</v>
      </c>
      <c r="F2319" s="5">
        <v>45743</v>
      </c>
      <c r="G2319" s="5">
        <v>45745</v>
      </c>
      <c r="H2319" s="3"/>
      <c r="I2319" s="4" t="s">
        <v>21</v>
      </c>
      <c r="J2319" s="3">
        <v>4</v>
      </c>
      <c r="K2319" s="3" t="s">
        <v>38</v>
      </c>
      <c r="L2319" s="3">
        <v>2</v>
      </c>
      <c r="M2319" s="3">
        <v>13</v>
      </c>
      <c r="N2319" s="3" t="s">
        <v>23</v>
      </c>
    </row>
    <row r="2320" spans="1:14" x14ac:dyDescent="0.3">
      <c r="A2320" s="7" t="s">
        <v>2403</v>
      </c>
      <c r="B2320" s="7" t="s">
        <v>49</v>
      </c>
      <c r="C2320" s="7">
        <v>2</v>
      </c>
      <c r="D2320" s="10">
        <v>26</v>
      </c>
      <c r="E2320" s="10">
        <v>52</v>
      </c>
      <c r="F2320" s="9">
        <v>45743</v>
      </c>
      <c r="G2320" s="9">
        <v>45743</v>
      </c>
      <c r="H2320" s="7"/>
      <c r="I2320" s="8" t="s">
        <v>21</v>
      </c>
      <c r="J2320" s="7">
        <v>3</v>
      </c>
      <c r="K2320" s="7" t="s">
        <v>38</v>
      </c>
      <c r="L2320" s="7">
        <v>0</v>
      </c>
      <c r="M2320" s="7">
        <v>13</v>
      </c>
      <c r="N2320" s="7" t="s">
        <v>23</v>
      </c>
    </row>
    <row r="2321" spans="1:14" x14ac:dyDescent="0.3">
      <c r="A2321" s="3" t="s">
        <v>2404</v>
      </c>
      <c r="B2321" s="3" t="s">
        <v>25</v>
      </c>
      <c r="C2321" s="3">
        <v>4</v>
      </c>
      <c r="D2321" s="6">
        <v>33.1</v>
      </c>
      <c r="E2321" s="6">
        <v>132.4</v>
      </c>
      <c r="F2321" s="5">
        <v>45743</v>
      </c>
      <c r="G2321" s="5">
        <v>45743</v>
      </c>
      <c r="H2321" s="3" t="s">
        <v>26</v>
      </c>
      <c r="I2321" s="4" t="s">
        <v>45</v>
      </c>
      <c r="J2321" s="3">
        <v>2</v>
      </c>
      <c r="K2321" s="3" t="s">
        <v>57</v>
      </c>
      <c r="L2321" s="3">
        <v>0</v>
      </c>
      <c r="M2321" s="3">
        <v>13</v>
      </c>
      <c r="N2321" s="3" t="s">
        <v>28</v>
      </c>
    </row>
    <row r="2322" spans="1:14" x14ac:dyDescent="0.3">
      <c r="A2322" s="7" t="s">
        <v>2405</v>
      </c>
      <c r="B2322" s="7" t="s">
        <v>152</v>
      </c>
      <c r="C2322" s="7">
        <v>1</v>
      </c>
      <c r="D2322" s="10">
        <v>51.4</v>
      </c>
      <c r="E2322" s="10">
        <v>51.4</v>
      </c>
      <c r="F2322" s="9">
        <v>45743</v>
      </c>
      <c r="G2322" s="9">
        <v>45745</v>
      </c>
      <c r="H2322" s="7" t="s">
        <v>31</v>
      </c>
      <c r="I2322" s="8" t="s">
        <v>40</v>
      </c>
      <c r="J2322" s="7">
        <v>3</v>
      </c>
      <c r="K2322" s="7" t="s">
        <v>57</v>
      </c>
      <c r="L2322" s="7">
        <v>2</v>
      </c>
      <c r="M2322" s="7">
        <v>13</v>
      </c>
      <c r="N2322" s="7" t="s">
        <v>33</v>
      </c>
    </row>
    <row r="2323" spans="1:14" x14ac:dyDescent="0.3">
      <c r="A2323" s="3" t="s">
        <v>2406</v>
      </c>
      <c r="B2323" s="3" t="s">
        <v>49</v>
      </c>
      <c r="C2323" s="3">
        <v>2</v>
      </c>
      <c r="D2323" s="6">
        <v>30.2</v>
      </c>
      <c r="E2323" s="6">
        <v>60.4</v>
      </c>
      <c r="F2323" s="5">
        <v>45743</v>
      </c>
      <c r="G2323" s="5">
        <v>45744</v>
      </c>
      <c r="H2323" s="3" t="s">
        <v>31</v>
      </c>
      <c r="I2323" s="4" t="s">
        <v>45</v>
      </c>
      <c r="J2323" s="3">
        <v>5</v>
      </c>
      <c r="K2323" s="3" t="s">
        <v>60</v>
      </c>
      <c r="L2323" s="3">
        <v>1</v>
      </c>
      <c r="M2323" s="3">
        <v>13</v>
      </c>
      <c r="N2323" s="3" t="s">
        <v>33</v>
      </c>
    </row>
    <row r="2324" spans="1:14" x14ac:dyDescent="0.3">
      <c r="A2324" s="7" t="s">
        <v>2407</v>
      </c>
      <c r="B2324" s="7" t="s">
        <v>30</v>
      </c>
      <c r="C2324" s="7">
        <v>6</v>
      </c>
      <c r="D2324" s="10">
        <v>97</v>
      </c>
      <c r="E2324" s="10">
        <v>582</v>
      </c>
      <c r="F2324" s="9">
        <v>45743</v>
      </c>
      <c r="G2324" s="9">
        <v>45747</v>
      </c>
      <c r="H2324" s="7" t="s">
        <v>31</v>
      </c>
      <c r="I2324" s="8" t="s">
        <v>21</v>
      </c>
      <c r="J2324" s="7">
        <v>5</v>
      </c>
      <c r="K2324" s="7" t="s">
        <v>64</v>
      </c>
      <c r="L2324" s="7">
        <v>4</v>
      </c>
      <c r="M2324" s="7">
        <v>13</v>
      </c>
      <c r="N2324" s="7" t="s">
        <v>33</v>
      </c>
    </row>
    <row r="2325" spans="1:14" x14ac:dyDescent="0.3">
      <c r="A2325" s="3" t="s">
        <v>2408</v>
      </c>
      <c r="B2325" s="3" t="s">
        <v>30</v>
      </c>
      <c r="C2325" s="3">
        <v>1</v>
      </c>
      <c r="D2325" s="6">
        <v>76.900000000000006</v>
      </c>
      <c r="E2325" s="6">
        <v>76.900000000000006</v>
      </c>
      <c r="F2325" s="5">
        <v>45743</v>
      </c>
      <c r="G2325" s="5">
        <v>45744</v>
      </c>
      <c r="H2325" s="3" t="s">
        <v>26</v>
      </c>
      <c r="I2325" s="4" t="s">
        <v>40</v>
      </c>
      <c r="J2325" s="3">
        <v>5</v>
      </c>
      <c r="K2325" s="3" t="s">
        <v>67</v>
      </c>
      <c r="L2325" s="3">
        <v>1</v>
      </c>
      <c r="M2325" s="3">
        <v>13</v>
      </c>
      <c r="N2325" s="3" t="s">
        <v>28</v>
      </c>
    </row>
    <row r="2326" spans="1:14" x14ac:dyDescent="0.3">
      <c r="A2326" s="7" t="s">
        <v>2409</v>
      </c>
      <c r="B2326" s="7" t="s">
        <v>47</v>
      </c>
      <c r="C2326" s="7">
        <v>6</v>
      </c>
      <c r="D2326" s="10">
        <v>36.1</v>
      </c>
      <c r="E2326" s="10">
        <v>216.6</v>
      </c>
      <c r="F2326" s="9">
        <v>45743</v>
      </c>
      <c r="G2326" s="9">
        <v>45747</v>
      </c>
      <c r="H2326" s="7" t="s">
        <v>31</v>
      </c>
      <c r="I2326" s="8" t="s">
        <v>21</v>
      </c>
      <c r="J2326" s="7">
        <v>4</v>
      </c>
      <c r="K2326" s="7" t="s">
        <v>67</v>
      </c>
      <c r="L2326" s="7">
        <v>4</v>
      </c>
      <c r="M2326" s="7">
        <v>13</v>
      </c>
      <c r="N2326" s="7" t="s">
        <v>33</v>
      </c>
    </row>
    <row r="2327" spans="1:14" x14ac:dyDescent="0.3">
      <c r="A2327" s="3" t="s">
        <v>2410</v>
      </c>
      <c r="B2327" s="3" t="s">
        <v>25</v>
      </c>
      <c r="C2327" s="3">
        <v>7</v>
      </c>
      <c r="D2327" s="6">
        <v>34.4</v>
      </c>
      <c r="E2327" s="6">
        <v>240.8</v>
      </c>
      <c r="F2327" s="5">
        <v>45743</v>
      </c>
      <c r="G2327" s="5">
        <v>45743</v>
      </c>
      <c r="H2327" s="3" t="s">
        <v>31</v>
      </c>
      <c r="I2327" s="4" t="s">
        <v>45</v>
      </c>
      <c r="J2327" s="3">
        <v>3</v>
      </c>
      <c r="K2327" s="3" t="s">
        <v>82</v>
      </c>
      <c r="L2327" s="3">
        <v>0</v>
      </c>
      <c r="M2327" s="3">
        <v>13</v>
      </c>
      <c r="N2327" s="3" t="s">
        <v>33</v>
      </c>
    </row>
    <row r="2328" spans="1:14" x14ac:dyDescent="0.3">
      <c r="A2328" s="7" t="s">
        <v>2411</v>
      </c>
      <c r="B2328" s="7" t="s">
        <v>25</v>
      </c>
      <c r="C2328" s="7">
        <v>28</v>
      </c>
      <c r="D2328" s="10">
        <v>53.4</v>
      </c>
      <c r="E2328" s="10">
        <v>1495.2</v>
      </c>
      <c r="F2328" s="9">
        <v>45743</v>
      </c>
      <c r="G2328" s="9">
        <v>45745</v>
      </c>
      <c r="H2328" s="7" t="s">
        <v>31</v>
      </c>
      <c r="I2328" s="8" t="s">
        <v>40</v>
      </c>
      <c r="J2328" s="7">
        <v>4</v>
      </c>
      <c r="K2328" s="7" t="s">
        <v>114</v>
      </c>
      <c r="L2328" s="7">
        <v>2</v>
      </c>
      <c r="M2328" s="7">
        <v>13</v>
      </c>
      <c r="N2328" s="7" t="s">
        <v>33</v>
      </c>
    </row>
    <row r="2329" spans="1:14" x14ac:dyDescent="0.3">
      <c r="A2329" s="3" t="s">
        <v>2412</v>
      </c>
      <c r="B2329" s="3" t="s">
        <v>30</v>
      </c>
      <c r="C2329" s="3">
        <v>1</v>
      </c>
      <c r="D2329" s="6">
        <v>77.599999999999994</v>
      </c>
      <c r="E2329" s="6">
        <v>77.599999999999994</v>
      </c>
      <c r="F2329" s="5">
        <v>45743</v>
      </c>
      <c r="G2329" s="5">
        <v>45744</v>
      </c>
      <c r="H2329" s="3" t="s">
        <v>31</v>
      </c>
      <c r="I2329" s="4" t="s">
        <v>21</v>
      </c>
      <c r="J2329" s="3">
        <v>3</v>
      </c>
      <c r="K2329" s="3" t="s">
        <v>116</v>
      </c>
      <c r="L2329" s="3">
        <v>1</v>
      </c>
      <c r="M2329" s="3">
        <v>13</v>
      </c>
      <c r="N2329" s="3" t="s">
        <v>33</v>
      </c>
    </row>
    <row r="2330" spans="1:14" x14ac:dyDescent="0.3">
      <c r="A2330" s="7" t="s">
        <v>2413</v>
      </c>
      <c r="B2330" s="7" t="s">
        <v>25</v>
      </c>
      <c r="C2330" s="7">
        <v>3</v>
      </c>
      <c r="D2330" s="10">
        <v>71.7</v>
      </c>
      <c r="E2330" s="10">
        <v>215.1</v>
      </c>
      <c r="F2330" s="9">
        <v>45743</v>
      </c>
      <c r="G2330" s="9">
        <v>45746</v>
      </c>
      <c r="H2330" s="7" t="s">
        <v>31</v>
      </c>
      <c r="I2330" s="8" t="s">
        <v>40</v>
      </c>
      <c r="J2330" s="7">
        <v>4</v>
      </c>
      <c r="K2330" s="7" t="s">
        <v>116</v>
      </c>
      <c r="L2330" s="7">
        <v>3</v>
      </c>
      <c r="M2330" s="7">
        <v>13</v>
      </c>
      <c r="N2330" s="7" t="s">
        <v>33</v>
      </c>
    </row>
    <row r="2331" spans="1:14" x14ac:dyDescent="0.3">
      <c r="A2331" s="3" t="s">
        <v>2414</v>
      </c>
      <c r="B2331" s="3" t="s">
        <v>35</v>
      </c>
      <c r="C2331" s="3">
        <v>3</v>
      </c>
      <c r="D2331" s="6">
        <v>80.599999999999994</v>
      </c>
      <c r="E2331" s="6">
        <v>241.8</v>
      </c>
      <c r="F2331" s="5">
        <v>45743</v>
      </c>
      <c r="G2331" s="5">
        <v>45744</v>
      </c>
      <c r="H2331" s="3" t="s">
        <v>26</v>
      </c>
      <c r="I2331" s="4" t="s">
        <v>75</v>
      </c>
      <c r="J2331" s="3">
        <v>3</v>
      </c>
      <c r="K2331" s="3" t="s">
        <v>116</v>
      </c>
      <c r="L2331" s="3">
        <v>1</v>
      </c>
      <c r="M2331" s="3">
        <v>13</v>
      </c>
      <c r="N2331" s="3" t="s">
        <v>28</v>
      </c>
    </row>
    <row r="2332" spans="1:14" x14ac:dyDescent="0.3">
      <c r="A2332" s="7" t="s">
        <v>2415</v>
      </c>
      <c r="B2332" s="7" t="s">
        <v>25</v>
      </c>
      <c r="C2332" s="7">
        <v>15</v>
      </c>
      <c r="D2332" s="10">
        <v>70</v>
      </c>
      <c r="E2332" s="10">
        <v>1050</v>
      </c>
      <c r="F2332" s="9">
        <v>45743</v>
      </c>
      <c r="G2332" s="9">
        <v>45745</v>
      </c>
      <c r="H2332" s="7" t="s">
        <v>26</v>
      </c>
      <c r="I2332" s="8" t="s">
        <v>21</v>
      </c>
      <c r="J2332" s="7">
        <v>4</v>
      </c>
      <c r="K2332" s="7" t="s">
        <v>119</v>
      </c>
      <c r="L2332" s="7">
        <v>2</v>
      </c>
      <c r="M2332" s="7">
        <v>13</v>
      </c>
      <c r="N2332" s="7" t="s">
        <v>28</v>
      </c>
    </row>
    <row r="2333" spans="1:14" x14ac:dyDescent="0.3">
      <c r="A2333" s="3" t="s">
        <v>2416</v>
      </c>
      <c r="B2333" s="3" t="s">
        <v>37</v>
      </c>
      <c r="C2333" s="3">
        <v>6</v>
      </c>
      <c r="D2333" s="6">
        <v>27.3</v>
      </c>
      <c r="E2333" s="6">
        <v>163.80000000000001</v>
      </c>
      <c r="F2333" s="5">
        <v>45743</v>
      </c>
      <c r="G2333" s="5">
        <v>45745</v>
      </c>
      <c r="H2333" s="3" t="s">
        <v>31</v>
      </c>
      <c r="I2333" s="4" t="s">
        <v>40</v>
      </c>
      <c r="J2333" s="3">
        <v>3</v>
      </c>
      <c r="K2333" s="3" t="s">
        <v>32</v>
      </c>
      <c r="L2333" s="3">
        <v>2</v>
      </c>
      <c r="M2333" s="3">
        <v>13</v>
      </c>
      <c r="N2333" s="3" t="s">
        <v>33</v>
      </c>
    </row>
    <row r="2334" spans="1:14" x14ac:dyDescent="0.3">
      <c r="A2334" s="7" t="s">
        <v>2417</v>
      </c>
      <c r="B2334" s="7" t="s">
        <v>49</v>
      </c>
      <c r="C2334" s="7">
        <v>14</v>
      </c>
      <c r="D2334" s="10">
        <v>37.6</v>
      </c>
      <c r="E2334" s="10">
        <v>526.4</v>
      </c>
      <c r="F2334" s="9">
        <v>45743</v>
      </c>
      <c r="G2334" s="9">
        <v>45745</v>
      </c>
      <c r="H2334" s="7" t="s">
        <v>26</v>
      </c>
      <c r="I2334" s="8" t="s">
        <v>40</v>
      </c>
      <c r="J2334" s="7">
        <v>4</v>
      </c>
      <c r="K2334" s="7" t="s">
        <v>38</v>
      </c>
      <c r="L2334" s="7">
        <v>2</v>
      </c>
      <c r="M2334" s="7">
        <v>13</v>
      </c>
      <c r="N2334" s="7" t="s">
        <v>28</v>
      </c>
    </row>
    <row r="2335" spans="1:14" x14ac:dyDescent="0.3">
      <c r="A2335" s="3" t="s">
        <v>2418</v>
      </c>
      <c r="B2335" s="3" t="s">
        <v>42</v>
      </c>
      <c r="C2335" s="3">
        <v>3</v>
      </c>
      <c r="D2335" s="6">
        <v>36.6</v>
      </c>
      <c r="E2335" s="6">
        <v>109.8</v>
      </c>
      <c r="F2335" s="5">
        <v>45743</v>
      </c>
      <c r="G2335" s="5">
        <v>45745</v>
      </c>
      <c r="H2335" s="3" t="s">
        <v>31</v>
      </c>
      <c r="I2335" s="4" t="s">
        <v>75</v>
      </c>
      <c r="J2335" s="3">
        <v>4</v>
      </c>
      <c r="K2335" s="3" t="s">
        <v>38</v>
      </c>
      <c r="L2335" s="3">
        <v>2</v>
      </c>
      <c r="M2335" s="3">
        <v>13</v>
      </c>
      <c r="N2335" s="3" t="s">
        <v>33</v>
      </c>
    </row>
    <row r="2336" spans="1:14" x14ac:dyDescent="0.3">
      <c r="A2336" s="7" t="s">
        <v>2419</v>
      </c>
      <c r="B2336" s="7" t="s">
        <v>81</v>
      </c>
      <c r="C2336" s="7">
        <v>1</v>
      </c>
      <c r="D2336" s="10">
        <v>55.2</v>
      </c>
      <c r="E2336" s="10">
        <v>55.2</v>
      </c>
      <c r="F2336" s="9">
        <v>45743</v>
      </c>
      <c r="G2336" s="9">
        <v>45745</v>
      </c>
      <c r="H2336" s="7" t="s">
        <v>26</v>
      </c>
      <c r="I2336" s="8" t="s">
        <v>56</v>
      </c>
      <c r="J2336" s="7">
        <v>4</v>
      </c>
      <c r="K2336" s="7" t="s">
        <v>38</v>
      </c>
      <c r="L2336" s="7">
        <v>2</v>
      </c>
      <c r="M2336" s="7">
        <v>13</v>
      </c>
      <c r="N2336" s="7" t="s">
        <v>28</v>
      </c>
    </row>
    <row r="2337" spans="1:14" x14ac:dyDescent="0.3">
      <c r="A2337" s="3" t="s">
        <v>2420</v>
      </c>
      <c r="B2337" s="3" t="s">
        <v>44</v>
      </c>
      <c r="C2337" s="3">
        <v>5</v>
      </c>
      <c r="D2337" s="6">
        <v>59.9</v>
      </c>
      <c r="E2337" s="6">
        <v>299.5</v>
      </c>
      <c r="F2337" s="5">
        <v>45743</v>
      </c>
      <c r="G2337" s="5">
        <v>45745</v>
      </c>
      <c r="H2337" s="3" t="s">
        <v>26</v>
      </c>
      <c r="I2337" s="4" t="s">
        <v>21</v>
      </c>
      <c r="J2337" s="3">
        <v>4</v>
      </c>
      <c r="K2337" s="3" t="s">
        <v>38</v>
      </c>
      <c r="L2337" s="3">
        <v>2</v>
      </c>
      <c r="M2337" s="3">
        <v>13</v>
      </c>
      <c r="N2337" s="3" t="s">
        <v>28</v>
      </c>
    </row>
    <row r="2338" spans="1:14" x14ac:dyDescent="0.3">
      <c r="A2338" s="7" t="s">
        <v>2421</v>
      </c>
      <c r="B2338" s="7" t="s">
        <v>44</v>
      </c>
      <c r="C2338" s="7">
        <v>1</v>
      </c>
      <c r="D2338" s="10">
        <v>44</v>
      </c>
      <c r="E2338" s="10">
        <v>44</v>
      </c>
      <c r="F2338" s="9">
        <v>45743</v>
      </c>
      <c r="G2338" s="9">
        <v>45744</v>
      </c>
      <c r="H2338" s="7" t="s">
        <v>31</v>
      </c>
      <c r="I2338" s="8" t="s">
        <v>45</v>
      </c>
      <c r="J2338" s="7">
        <v>5</v>
      </c>
      <c r="K2338" s="7" t="s">
        <v>38</v>
      </c>
      <c r="L2338" s="7">
        <v>1</v>
      </c>
      <c r="M2338" s="7">
        <v>13</v>
      </c>
      <c r="N2338" s="7" t="s">
        <v>33</v>
      </c>
    </row>
    <row r="2339" spans="1:14" x14ac:dyDescent="0.3">
      <c r="A2339" s="3" t="s">
        <v>2422</v>
      </c>
      <c r="B2339" s="3" t="s">
        <v>51</v>
      </c>
      <c r="C2339" s="3">
        <v>2</v>
      </c>
      <c r="D2339" s="6">
        <v>68.7</v>
      </c>
      <c r="E2339" s="6">
        <v>137.4</v>
      </c>
      <c r="F2339" s="5">
        <v>45743</v>
      </c>
      <c r="G2339" s="5">
        <v>45743</v>
      </c>
      <c r="H2339" s="3" t="s">
        <v>26</v>
      </c>
      <c r="I2339" s="4" t="s">
        <v>21</v>
      </c>
      <c r="J2339" s="3">
        <v>4</v>
      </c>
      <c r="K2339" s="3" t="s">
        <v>38</v>
      </c>
      <c r="L2339" s="3">
        <v>0</v>
      </c>
      <c r="M2339" s="3">
        <v>13</v>
      </c>
      <c r="N2339" s="3" t="s">
        <v>28</v>
      </c>
    </row>
    <row r="2340" spans="1:14" x14ac:dyDescent="0.3">
      <c r="A2340" s="7" t="s">
        <v>2423</v>
      </c>
      <c r="B2340" s="7" t="s">
        <v>42</v>
      </c>
      <c r="C2340" s="7">
        <v>2</v>
      </c>
      <c r="D2340" s="10">
        <v>61.6</v>
      </c>
      <c r="E2340" s="10">
        <v>123.2</v>
      </c>
      <c r="F2340" s="9">
        <v>45743</v>
      </c>
      <c r="G2340" s="9">
        <v>45747</v>
      </c>
      <c r="H2340" s="7" t="s">
        <v>26</v>
      </c>
      <c r="I2340" s="8" t="s">
        <v>56</v>
      </c>
      <c r="J2340" s="7">
        <v>3</v>
      </c>
      <c r="K2340" s="7" t="s">
        <v>38</v>
      </c>
      <c r="L2340" s="7">
        <v>4</v>
      </c>
      <c r="M2340" s="7">
        <v>13</v>
      </c>
      <c r="N2340" s="7" t="s">
        <v>28</v>
      </c>
    </row>
    <row r="2341" spans="1:14" x14ac:dyDescent="0.3">
      <c r="A2341" s="3" t="s">
        <v>2424</v>
      </c>
      <c r="B2341" s="3" t="s">
        <v>47</v>
      </c>
      <c r="C2341" s="3">
        <v>7</v>
      </c>
      <c r="D2341" s="6">
        <v>51.8</v>
      </c>
      <c r="E2341" s="6">
        <v>362.6</v>
      </c>
      <c r="F2341" s="5">
        <v>45743</v>
      </c>
      <c r="G2341" s="5">
        <v>45744</v>
      </c>
      <c r="H2341" s="3" t="s">
        <v>26</v>
      </c>
      <c r="I2341" s="4" t="s">
        <v>21</v>
      </c>
      <c r="J2341" s="3">
        <v>4</v>
      </c>
      <c r="K2341" s="3" t="s">
        <v>38</v>
      </c>
      <c r="L2341" s="3">
        <v>1</v>
      </c>
      <c r="M2341" s="3">
        <v>13</v>
      </c>
      <c r="N2341" s="3" t="s">
        <v>28</v>
      </c>
    </row>
    <row r="2342" spans="1:14" x14ac:dyDescent="0.3">
      <c r="A2342" s="7" t="s">
        <v>2425</v>
      </c>
      <c r="B2342" s="7" t="s">
        <v>49</v>
      </c>
      <c r="C2342" s="7">
        <v>10</v>
      </c>
      <c r="D2342" s="10">
        <v>46.2</v>
      </c>
      <c r="E2342" s="10">
        <v>462</v>
      </c>
      <c r="F2342" s="9">
        <v>45743</v>
      </c>
      <c r="G2342" s="9">
        <v>45745</v>
      </c>
      <c r="H2342" s="7" t="s">
        <v>26</v>
      </c>
      <c r="I2342" s="8" t="s">
        <v>40</v>
      </c>
      <c r="J2342" s="7">
        <v>5</v>
      </c>
      <c r="K2342" s="7" t="s">
        <v>38</v>
      </c>
      <c r="L2342" s="7">
        <v>2</v>
      </c>
      <c r="M2342" s="7">
        <v>13</v>
      </c>
      <c r="N2342" s="7" t="s">
        <v>28</v>
      </c>
    </row>
    <row r="2343" spans="1:14" x14ac:dyDescent="0.3">
      <c r="A2343" s="3" t="s">
        <v>2426</v>
      </c>
      <c r="B2343" s="3" t="s">
        <v>20</v>
      </c>
      <c r="C2343" s="3">
        <v>2</v>
      </c>
      <c r="D2343" s="6">
        <v>19.399999999999999</v>
      </c>
      <c r="E2343" s="6">
        <v>38.799999999999997</v>
      </c>
      <c r="F2343" s="5">
        <v>45743</v>
      </c>
      <c r="G2343" s="5">
        <v>45745</v>
      </c>
      <c r="H2343" s="3" t="s">
        <v>31</v>
      </c>
      <c r="I2343" s="4" t="s">
        <v>40</v>
      </c>
      <c r="J2343" s="3">
        <v>5</v>
      </c>
      <c r="K2343" s="3" t="s">
        <v>60</v>
      </c>
      <c r="L2343" s="3">
        <v>2</v>
      </c>
      <c r="M2343" s="3">
        <v>13</v>
      </c>
      <c r="N2343" s="3" t="s">
        <v>33</v>
      </c>
    </row>
    <row r="2344" spans="1:14" x14ac:dyDescent="0.3">
      <c r="A2344" s="7" t="s">
        <v>2427</v>
      </c>
      <c r="B2344" s="7" t="s">
        <v>72</v>
      </c>
      <c r="C2344" s="7">
        <v>3</v>
      </c>
      <c r="D2344" s="10">
        <v>52.1</v>
      </c>
      <c r="E2344" s="10">
        <v>156.30000000000001</v>
      </c>
      <c r="F2344" s="9">
        <v>45743</v>
      </c>
      <c r="G2344" s="9">
        <v>45746</v>
      </c>
      <c r="H2344" s="7" t="s">
        <v>26</v>
      </c>
      <c r="I2344" s="8" t="s">
        <v>56</v>
      </c>
      <c r="J2344" s="7">
        <v>1</v>
      </c>
      <c r="K2344" s="7" t="s">
        <v>60</v>
      </c>
      <c r="L2344" s="7">
        <v>3</v>
      </c>
      <c r="M2344" s="7">
        <v>13</v>
      </c>
      <c r="N2344" s="7" t="s">
        <v>28</v>
      </c>
    </row>
    <row r="2345" spans="1:14" x14ac:dyDescent="0.3">
      <c r="A2345" s="3" t="s">
        <v>2428</v>
      </c>
      <c r="B2345" s="3" t="s">
        <v>44</v>
      </c>
      <c r="C2345" s="3">
        <v>1</v>
      </c>
      <c r="D2345" s="6">
        <v>74.900000000000006</v>
      </c>
      <c r="E2345" s="6">
        <v>74.900000000000006</v>
      </c>
      <c r="F2345" s="5">
        <v>45743</v>
      </c>
      <c r="G2345" s="5">
        <v>45745</v>
      </c>
      <c r="H2345" s="3" t="s">
        <v>94</v>
      </c>
      <c r="I2345" s="4" t="s">
        <v>21</v>
      </c>
      <c r="J2345" s="3">
        <v>4</v>
      </c>
      <c r="K2345" s="3" t="s">
        <v>64</v>
      </c>
      <c r="L2345" s="3">
        <v>2</v>
      </c>
      <c r="M2345" s="3">
        <v>13</v>
      </c>
      <c r="N2345" s="3" t="s">
        <v>95</v>
      </c>
    </row>
    <row r="2346" spans="1:14" x14ac:dyDescent="0.3">
      <c r="A2346" s="7" t="s">
        <v>2429</v>
      </c>
      <c r="B2346" s="7" t="s">
        <v>51</v>
      </c>
      <c r="C2346" s="7">
        <v>7</v>
      </c>
      <c r="D2346" s="10">
        <v>49.6</v>
      </c>
      <c r="E2346" s="10">
        <v>347.2</v>
      </c>
      <c r="F2346" s="9">
        <v>45743</v>
      </c>
      <c r="G2346" s="9">
        <v>45746</v>
      </c>
      <c r="H2346" s="7" t="s">
        <v>31</v>
      </c>
      <c r="I2346" s="8" t="s">
        <v>75</v>
      </c>
      <c r="J2346" s="7">
        <v>4</v>
      </c>
      <c r="K2346" s="7" t="s">
        <v>67</v>
      </c>
      <c r="L2346" s="7">
        <v>3</v>
      </c>
      <c r="M2346" s="7">
        <v>13</v>
      </c>
      <c r="N2346" s="7" t="s">
        <v>33</v>
      </c>
    </row>
    <row r="2347" spans="1:14" x14ac:dyDescent="0.3">
      <c r="A2347" s="3" t="s">
        <v>2430</v>
      </c>
      <c r="B2347" s="3" t="s">
        <v>134</v>
      </c>
      <c r="C2347" s="3">
        <v>4</v>
      </c>
      <c r="D2347" s="6">
        <v>82.8</v>
      </c>
      <c r="E2347" s="6">
        <v>331.2</v>
      </c>
      <c r="F2347" s="5">
        <v>45744</v>
      </c>
      <c r="G2347" s="5">
        <v>45747</v>
      </c>
      <c r="H2347" s="3" t="s">
        <v>31</v>
      </c>
      <c r="I2347" s="4" t="s">
        <v>75</v>
      </c>
      <c r="J2347" s="3">
        <v>4</v>
      </c>
      <c r="K2347" s="3" t="s">
        <v>67</v>
      </c>
      <c r="L2347" s="3">
        <v>3</v>
      </c>
      <c r="M2347" s="3">
        <v>13</v>
      </c>
      <c r="N2347" s="3" t="s">
        <v>33</v>
      </c>
    </row>
    <row r="2348" spans="1:14" x14ac:dyDescent="0.3">
      <c r="A2348" s="7" t="s">
        <v>2431</v>
      </c>
      <c r="B2348" s="7" t="s">
        <v>30</v>
      </c>
      <c r="C2348" s="7">
        <v>1</v>
      </c>
      <c r="D2348" s="10">
        <v>97.7</v>
      </c>
      <c r="E2348" s="10">
        <v>97.7</v>
      </c>
      <c r="F2348" s="9">
        <v>45744</v>
      </c>
      <c r="G2348" s="9">
        <v>45745</v>
      </c>
      <c r="H2348" s="7" t="s">
        <v>31</v>
      </c>
      <c r="I2348" s="8" t="s">
        <v>40</v>
      </c>
      <c r="J2348" s="7">
        <v>4</v>
      </c>
      <c r="K2348" s="7" t="s">
        <v>67</v>
      </c>
      <c r="L2348" s="7">
        <v>1</v>
      </c>
      <c r="M2348" s="7">
        <v>13</v>
      </c>
      <c r="N2348" s="7" t="s">
        <v>33</v>
      </c>
    </row>
    <row r="2349" spans="1:14" x14ac:dyDescent="0.3">
      <c r="A2349" s="3" t="s">
        <v>2432</v>
      </c>
      <c r="B2349" s="3" t="s">
        <v>44</v>
      </c>
      <c r="C2349" s="3">
        <v>5</v>
      </c>
      <c r="D2349" s="6">
        <v>83.6</v>
      </c>
      <c r="E2349" s="6">
        <v>418</v>
      </c>
      <c r="F2349" s="5">
        <v>45744</v>
      </c>
      <c r="G2349" s="5">
        <v>45745</v>
      </c>
      <c r="H2349" s="3" t="s">
        <v>31</v>
      </c>
      <c r="I2349" s="4" t="s">
        <v>75</v>
      </c>
      <c r="J2349" s="3">
        <v>4</v>
      </c>
      <c r="K2349" s="3" t="s">
        <v>67</v>
      </c>
      <c r="L2349" s="3">
        <v>1</v>
      </c>
      <c r="M2349" s="3">
        <v>13</v>
      </c>
      <c r="N2349" s="3" t="s">
        <v>33</v>
      </c>
    </row>
    <row r="2350" spans="1:14" x14ac:dyDescent="0.3">
      <c r="A2350" s="7" t="s">
        <v>2433</v>
      </c>
      <c r="B2350" s="7" t="s">
        <v>49</v>
      </c>
      <c r="C2350" s="7">
        <v>5</v>
      </c>
      <c r="D2350" s="10">
        <v>23.5</v>
      </c>
      <c r="E2350" s="10">
        <v>117.5</v>
      </c>
      <c r="F2350" s="9">
        <v>45744</v>
      </c>
      <c r="G2350" s="9">
        <v>45748</v>
      </c>
      <c r="H2350" s="7" t="s">
        <v>94</v>
      </c>
      <c r="I2350" s="8" t="s">
        <v>21</v>
      </c>
      <c r="J2350" s="7">
        <v>4</v>
      </c>
      <c r="K2350" s="7" t="s">
        <v>67</v>
      </c>
      <c r="L2350" s="7">
        <v>4</v>
      </c>
      <c r="M2350" s="7">
        <v>13</v>
      </c>
      <c r="N2350" s="7" t="s">
        <v>95</v>
      </c>
    </row>
    <row r="2351" spans="1:14" x14ac:dyDescent="0.3">
      <c r="A2351" s="3" t="s">
        <v>2434</v>
      </c>
      <c r="B2351" s="3" t="s">
        <v>51</v>
      </c>
      <c r="C2351" s="3">
        <v>3</v>
      </c>
      <c r="D2351" s="6">
        <v>44.6</v>
      </c>
      <c r="E2351" s="6">
        <v>133.80000000000001</v>
      </c>
      <c r="F2351" s="5">
        <v>45744</v>
      </c>
      <c r="G2351" s="5">
        <v>45747</v>
      </c>
      <c r="H2351" s="3" t="s">
        <v>31</v>
      </c>
      <c r="I2351" s="4" t="s">
        <v>75</v>
      </c>
      <c r="J2351" s="3">
        <v>3</v>
      </c>
      <c r="K2351" s="3" t="s">
        <v>207</v>
      </c>
      <c r="L2351" s="3">
        <v>3</v>
      </c>
      <c r="M2351" s="3">
        <v>13</v>
      </c>
      <c r="N2351" s="3" t="s">
        <v>33</v>
      </c>
    </row>
    <row r="2352" spans="1:14" x14ac:dyDescent="0.3">
      <c r="A2352" s="7" t="s">
        <v>2435</v>
      </c>
      <c r="B2352" s="7" t="s">
        <v>20</v>
      </c>
      <c r="C2352" s="7">
        <v>3</v>
      </c>
      <c r="D2352" s="10">
        <v>20.100000000000001</v>
      </c>
      <c r="E2352" s="10">
        <v>60.3</v>
      </c>
      <c r="F2352" s="9">
        <v>45744</v>
      </c>
      <c r="G2352" s="9">
        <v>45746</v>
      </c>
      <c r="H2352" s="7" t="s">
        <v>31</v>
      </c>
      <c r="I2352" s="8" t="s">
        <v>56</v>
      </c>
      <c r="J2352" s="7">
        <v>2</v>
      </c>
      <c r="K2352" s="7" t="s">
        <v>82</v>
      </c>
      <c r="L2352" s="7">
        <v>2</v>
      </c>
      <c r="M2352" s="7">
        <v>13</v>
      </c>
      <c r="N2352" s="7" t="s">
        <v>33</v>
      </c>
    </row>
    <row r="2353" spans="1:14" x14ac:dyDescent="0.3">
      <c r="A2353" s="3" t="s">
        <v>2436</v>
      </c>
      <c r="B2353" s="3" t="s">
        <v>30</v>
      </c>
      <c r="C2353" s="3">
        <v>5</v>
      </c>
      <c r="D2353" s="6">
        <v>153.6</v>
      </c>
      <c r="E2353" s="6">
        <v>768</v>
      </c>
      <c r="F2353" s="5">
        <v>45744</v>
      </c>
      <c r="G2353" s="5">
        <v>45745</v>
      </c>
      <c r="H2353" s="3" t="s">
        <v>31</v>
      </c>
      <c r="I2353" s="4" t="s">
        <v>40</v>
      </c>
      <c r="J2353" s="3">
        <v>5</v>
      </c>
      <c r="K2353" s="3" t="s">
        <v>264</v>
      </c>
      <c r="L2353" s="3">
        <v>1</v>
      </c>
      <c r="M2353" s="3">
        <v>13</v>
      </c>
      <c r="N2353" s="3" t="s">
        <v>33</v>
      </c>
    </row>
    <row r="2354" spans="1:14" x14ac:dyDescent="0.3">
      <c r="A2354" s="7" t="s">
        <v>2437</v>
      </c>
      <c r="B2354" s="7" t="s">
        <v>25</v>
      </c>
      <c r="C2354" s="7">
        <v>2</v>
      </c>
      <c r="D2354" s="10">
        <v>71.8</v>
      </c>
      <c r="E2354" s="10">
        <v>143.6</v>
      </c>
      <c r="F2354" s="9">
        <v>45744</v>
      </c>
      <c r="G2354" s="9">
        <v>45748</v>
      </c>
      <c r="H2354" s="7" t="s">
        <v>31</v>
      </c>
      <c r="I2354" s="8" t="s">
        <v>40</v>
      </c>
      <c r="J2354" s="7">
        <v>4</v>
      </c>
      <c r="K2354" s="7" t="s">
        <v>27</v>
      </c>
      <c r="L2354" s="7">
        <v>4</v>
      </c>
      <c r="M2354" s="7">
        <v>13</v>
      </c>
      <c r="N2354" s="7" t="s">
        <v>33</v>
      </c>
    </row>
    <row r="2355" spans="1:14" x14ac:dyDescent="0.3">
      <c r="A2355" s="3" t="s">
        <v>2438</v>
      </c>
      <c r="B2355" s="3" t="s">
        <v>59</v>
      </c>
      <c r="C2355" s="3">
        <v>1</v>
      </c>
      <c r="D2355" s="6">
        <v>64.7</v>
      </c>
      <c r="E2355" s="6">
        <v>64.7</v>
      </c>
      <c r="F2355" s="5">
        <v>45744</v>
      </c>
      <c r="G2355" s="5">
        <v>45746</v>
      </c>
      <c r="H2355" s="3"/>
      <c r="I2355" s="4" t="s">
        <v>21</v>
      </c>
      <c r="J2355" s="3">
        <v>3</v>
      </c>
      <c r="K2355" s="3" t="s">
        <v>27</v>
      </c>
      <c r="L2355" s="3">
        <v>2</v>
      </c>
      <c r="M2355" s="3">
        <v>13</v>
      </c>
      <c r="N2355" s="3" t="s">
        <v>23</v>
      </c>
    </row>
    <row r="2356" spans="1:14" x14ac:dyDescent="0.3">
      <c r="A2356" s="7" t="s">
        <v>2439</v>
      </c>
      <c r="B2356" s="7" t="s">
        <v>51</v>
      </c>
      <c r="C2356" s="7">
        <v>8</v>
      </c>
      <c r="D2356" s="10">
        <v>60.4</v>
      </c>
      <c r="E2356" s="10">
        <v>483.2</v>
      </c>
      <c r="F2356" s="9">
        <v>45744</v>
      </c>
      <c r="G2356" s="9">
        <v>45746</v>
      </c>
      <c r="H2356" s="7" t="s">
        <v>31</v>
      </c>
      <c r="I2356" s="8" t="s">
        <v>56</v>
      </c>
      <c r="J2356" s="7">
        <v>5</v>
      </c>
      <c r="K2356" s="7" t="s">
        <v>32</v>
      </c>
      <c r="L2356" s="7">
        <v>2</v>
      </c>
      <c r="M2356" s="7">
        <v>13</v>
      </c>
      <c r="N2356" s="7" t="s">
        <v>33</v>
      </c>
    </row>
    <row r="2357" spans="1:14" x14ac:dyDescent="0.3">
      <c r="A2357" s="3" t="s">
        <v>2440</v>
      </c>
      <c r="B2357" s="3" t="s">
        <v>44</v>
      </c>
      <c r="C2357" s="3">
        <v>4</v>
      </c>
      <c r="D2357" s="6">
        <v>86</v>
      </c>
      <c r="E2357" s="6">
        <v>344</v>
      </c>
      <c r="F2357" s="5">
        <v>45744</v>
      </c>
      <c r="G2357" s="5">
        <v>45747</v>
      </c>
      <c r="H2357" s="3" t="s">
        <v>31</v>
      </c>
      <c r="I2357" s="4" t="s">
        <v>45</v>
      </c>
      <c r="J2357" s="3">
        <v>5</v>
      </c>
      <c r="K2357" s="3" t="s">
        <v>153</v>
      </c>
      <c r="L2357" s="3">
        <v>3</v>
      </c>
      <c r="M2357" s="3">
        <v>13</v>
      </c>
      <c r="N2357" s="3" t="s">
        <v>33</v>
      </c>
    </row>
    <row r="2358" spans="1:14" x14ac:dyDescent="0.3">
      <c r="A2358" s="7" t="s">
        <v>2441</v>
      </c>
      <c r="B2358" s="7" t="s">
        <v>74</v>
      </c>
      <c r="C2358" s="7">
        <v>2</v>
      </c>
      <c r="D2358" s="10">
        <v>42.1</v>
      </c>
      <c r="E2358" s="10">
        <v>84.2</v>
      </c>
      <c r="F2358" s="9">
        <v>45744</v>
      </c>
      <c r="G2358" s="9">
        <v>45745</v>
      </c>
      <c r="H2358" s="7" t="s">
        <v>31</v>
      </c>
      <c r="I2358" s="8" t="s">
        <v>75</v>
      </c>
      <c r="J2358" s="7">
        <v>3</v>
      </c>
      <c r="K2358" s="7" t="s">
        <v>22</v>
      </c>
      <c r="L2358" s="7">
        <v>1</v>
      </c>
      <c r="M2358" s="7">
        <v>13</v>
      </c>
      <c r="N2358" s="7" t="s">
        <v>33</v>
      </c>
    </row>
    <row r="2359" spans="1:14" x14ac:dyDescent="0.3">
      <c r="A2359" s="3" t="s">
        <v>2442</v>
      </c>
      <c r="B2359" s="3" t="s">
        <v>134</v>
      </c>
      <c r="C2359" s="3">
        <v>9</v>
      </c>
      <c r="D2359" s="6">
        <v>51.1</v>
      </c>
      <c r="E2359" s="6">
        <v>459.9</v>
      </c>
      <c r="F2359" s="5">
        <v>45744</v>
      </c>
      <c r="G2359" s="5">
        <v>45745</v>
      </c>
      <c r="H2359" s="3" t="s">
        <v>26</v>
      </c>
      <c r="I2359" s="4" t="s">
        <v>45</v>
      </c>
      <c r="J2359" s="3">
        <v>3</v>
      </c>
      <c r="K2359" s="3" t="s">
        <v>38</v>
      </c>
      <c r="L2359" s="3">
        <v>1</v>
      </c>
      <c r="M2359" s="3">
        <v>13</v>
      </c>
      <c r="N2359" s="3" t="s">
        <v>28</v>
      </c>
    </row>
    <row r="2360" spans="1:14" x14ac:dyDescent="0.3">
      <c r="A2360" s="7" t="s">
        <v>2443</v>
      </c>
      <c r="B2360" s="7" t="s">
        <v>51</v>
      </c>
      <c r="C2360" s="7">
        <v>4</v>
      </c>
      <c r="D2360" s="10">
        <v>73.8</v>
      </c>
      <c r="E2360" s="10">
        <v>295.2</v>
      </c>
      <c r="F2360" s="9">
        <v>45744</v>
      </c>
      <c r="G2360" s="9">
        <v>45745</v>
      </c>
      <c r="H2360" s="7" t="s">
        <v>26</v>
      </c>
      <c r="I2360" s="8" t="s">
        <v>75</v>
      </c>
      <c r="J2360" s="7">
        <v>4</v>
      </c>
      <c r="K2360" s="7" t="s">
        <v>38</v>
      </c>
      <c r="L2360" s="7">
        <v>1</v>
      </c>
      <c r="M2360" s="7">
        <v>13</v>
      </c>
      <c r="N2360" s="7" t="s">
        <v>28</v>
      </c>
    </row>
    <row r="2361" spans="1:14" x14ac:dyDescent="0.3">
      <c r="A2361" s="3" t="s">
        <v>2444</v>
      </c>
      <c r="B2361" s="3" t="s">
        <v>49</v>
      </c>
      <c r="C2361" s="3">
        <v>5</v>
      </c>
      <c r="D2361" s="6">
        <v>27</v>
      </c>
      <c r="E2361" s="6">
        <v>135</v>
      </c>
      <c r="F2361" s="5">
        <v>45744</v>
      </c>
      <c r="G2361" s="5">
        <v>45747</v>
      </c>
      <c r="H2361" s="3" t="s">
        <v>31</v>
      </c>
      <c r="I2361" s="4" t="s">
        <v>45</v>
      </c>
      <c r="J2361" s="3">
        <v>5</v>
      </c>
      <c r="K2361" s="3" t="s">
        <v>38</v>
      </c>
      <c r="L2361" s="3">
        <v>3</v>
      </c>
      <c r="M2361" s="3">
        <v>13</v>
      </c>
      <c r="N2361" s="3" t="s">
        <v>33</v>
      </c>
    </row>
    <row r="2362" spans="1:14" x14ac:dyDescent="0.3">
      <c r="A2362" s="7" t="s">
        <v>2445</v>
      </c>
      <c r="B2362" s="7" t="s">
        <v>49</v>
      </c>
      <c r="C2362" s="7">
        <v>6</v>
      </c>
      <c r="D2362" s="10">
        <v>60.1</v>
      </c>
      <c r="E2362" s="10">
        <v>360.6</v>
      </c>
      <c r="F2362" s="9">
        <v>45744</v>
      </c>
      <c r="G2362" s="9">
        <v>45745</v>
      </c>
      <c r="H2362" s="7" t="s">
        <v>26</v>
      </c>
      <c r="I2362" s="8" t="s">
        <v>56</v>
      </c>
      <c r="J2362" s="7">
        <v>4</v>
      </c>
      <c r="K2362" s="7" t="s">
        <v>38</v>
      </c>
      <c r="L2362" s="7">
        <v>1</v>
      </c>
      <c r="M2362" s="7">
        <v>13</v>
      </c>
      <c r="N2362" s="7" t="s">
        <v>28</v>
      </c>
    </row>
    <row r="2363" spans="1:14" x14ac:dyDescent="0.3">
      <c r="A2363" s="3" t="s">
        <v>2446</v>
      </c>
      <c r="B2363" s="3" t="s">
        <v>30</v>
      </c>
      <c r="C2363" s="3">
        <v>7</v>
      </c>
      <c r="D2363" s="6">
        <v>94.1</v>
      </c>
      <c r="E2363" s="6">
        <v>658.69999999999993</v>
      </c>
      <c r="F2363" s="5">
        <v>45744</v>
      </c>
      <c r="G2363" s="5">
        <v>45746</v>
      </c>
      <c r="H2363" s="3" t="s">
        <v>31</v>
      </c>
      <c r="I2363" s="4" t="s">
        <v>75</v>
      </c>
      <c r="J2363" s="3">
        <v>3</v>
      </c>
      <c r="K2363" s="3" t="s">
        <v>38</v>
      </c>
      <c r="L2363" s="3">
        <v>2</v>
      </c>
      <c r="M2363" s="3">
        <v>13</v>
      </c>
      <c r="N2363" s="3" t="s">
        <v>33</v>
      </c>
    </row>
    <row r="2364" spans="1:14" x14ac:dyDescent="0.3">
      <c r="A2364" s="7" t="s">
        <v>2447</v>
      </c>
      <c r="B2364" s="7" t="s">
        <v>30</v>
      </c>
      <c r="C2364" s="7">
        <v>2</v>
      </c>
      <c r="D2364" s="10">
        <v>124.1</v>
      </c>
      <c r="E2364" s="10">
        <v>248.2</v>
      </c>
      <c r="F2364" s="9">
        <v>45744</v>
      </c>
      <c r="G2364" s="9">
        <v>45744</v>
      </c>
      <c r="H2364" s="7" t="s">
        <v>31</v>
      </c>
      <c r="I2364" s="8" t="s">
        <v>45</v>
      </c>
      <c r="J2364" s="7">
        <v>1</v>
      </c>
      <c r="K2364" s="7" t="s">
        <v>116</v>
      </c>
      <c r="L2364" s="7">
        <v>0</v>
      </c>
      <c r="M2364" s="7">
        <v>13</v>
      </c>
      <c r="N2364" s="7" t="s">
        <v>33</v>
      </c>
    </row>
    <row r="2365" spans="1:14" x14ac:dyDescent="0.3">
      <c r="A2365" s="3" t="s">
        <v>2448</v>
      </c>
      <c r="B2365" s="3" t="s">
        <v>49</v>
      </c>
      <c r="C2365" s="3">
        <v>4</v>
      </c>
      <c r="D2365" s="6">
        <v>16.899999999999999</v>
      </c>
      <c r="E2365" s="6">
        <v>67.599999999999994</v>
      </c>
      <c r="F2365" s="5">
        <v>45744</v>
      </c>
      <c r="G2365" s="5">
        <v>45747</v>
      </c>
      <c r="H2365" s="3" t="s">
        <v>26</v>
      </c>
      <c r="I2365" s="4" t="s">
        <v>56</v>
      </c>
      <c r="J2365" s="3">
        <v>4</v>
      </c>
      <c r="K2365" s="3" t="s">
        <v>60</v>
      </c>
      <c r="L2365" s="3">
        <v>3</v>
      </c>
      <c r="M2365" s="3">
        <v>13</v>
      </c>
      <c r="N2365" s="3" t="s">
        <v>28</v>
      </c>
    </row>
    <row r="2366" spans="1:14" x14ac:dyDescent="0.3">
      <c r="A2366" s="7" t="s">
        <v>2449</v>
      </c>
      <c r="B2366" s="7" t="s">
        <v>25</v>
      </c>
      <c r="C2366" s="7">
        <v>1</v>
      </c>
      <c r="D2366" s="10">
        <v>36.9</v>
      </c>
      <c r="E2366" s="10">
        <v>36.9</v>
      </c>
      <c r="F2366" s="9">
        <v>45744</v>
      </c>
      <c r="G2366" s="9">
        <v>45745</v>
      </c>
      <c r="H2366" s="7" t="s">
        <v>26</v>
      </c>
      <c r="I2366" s="8" t="s">
        <v>21</v>
      </c>
      <c r="J2366" s="7">
        <v>4</v>
      </c>
      <c r="K2366" s="7" t="s">
        <v>60</v>
      </c>
      <c r="L2366" s="7">
        <v>1</v>
      </c>
      <c r="M2366" s="7">
        <v>13</v>
      </c>
      <c r="N2366" s="7" t="s">
        <v>28</v>
      </c>
    </row>
    <row r="2367" spans="1:14" x14ac:dyDescent="0.3">
      <c r="A2367" s="3" t="s">
        <v>2450</v>
      </c>
      <c r="B2367" s="3" t="s">
        <v>51</v>
      </c>
      <c r="C2367" s="3">
        <v>2</v>
      </c>
      <c r="D2367" s="6">
        <v>22.6</v>
      </c>
      <c r="E2367" s="6">
        <v>45.2</v>
      </c>
      <c r="F2367" s="5">
        <v>45744</v>
      </c>
      <c r="G2367" s="5">
        <v>45757</v>
      </c>
      <c r="H2367" s="3" t="s">
        <v>31</v>
      </c>
      <c r="I2367" s="4" t="s">
        <v>45</v>
      </c>
      <c r="J2367" s="3">
        <v>3</v>
      </c>
      <c r="K2367" s="3" t="s">
        <v>67</v>
      </c>
      <c r="L2367" s="3">
        <v>13</v>
      </c>
      <c r="M2367" s="3">
        <v>13</v>
      </c>
      <c r="N2367" s="3" t="s">
        <v>33</v>
      </c>
    </row>
    <row r="2368" spans="1:14" x14ac:dyDescent="0.3">
      <c r="A2368" s="7" t="s">
        <v>2451</v>
      </c>
      <c r="B2368" s="7" t="s">
        <v>47</v>
      </c>
      <c r="C2368" s="7">
        <v>4</v>
      </c>
      <c r="D2368" s="10">
        <v>35</v>
      </c>
      <c r="E2368" s="10">
        <v>140</v>
      </c>
      <c r="F2368" s="9">
        <v>45744</v>
      </c>
      <c r="G2368" s="9">
        <v>45749</v>
      </c>
      <c r="H2368" s="7" t="s">
        <v>26</v>
      </c>
      <c r="I2368" s="8" t="s">
        <v>56</v>
      </c>
      <c r="J2368" s="7">
        <v>3</v>
      </c>
      <c r="K2368" s="7" t="s">
        <v>67</v>
      </c>
      <c r="L2368" s="7">
        <v>5</v>
      </c>
      <c r="M2368" s="7">
        <v>13</v>
      </c>
      <c r="N2368" s="7" t="s">
        <v>28</v>
      </c>
    </row>
    <row r="2369" spans="1:14" x14ac:dyDescent="0.3">
      <c r="A2369" s="3" t="s">
        <v>2452</v>
      </c>
      <c r="B2369" s="3" t="s">
        <v>51</v>
      </c>
      <c r="C2369" s="3">
        <v>6</v>
      </c>
      <c r="D2369" s="6">
        <v>63.6</v>
      </c>
      <c r="E2369" s="6">
        <v>381.6</v>
      </c>
      <c r="F2369" s="5">
        <v>45744</v>
      </c>
      <c r="G2369" s="5">
        <v>45751</v>
      </c>
      <c r="H2369" s="3"/>
      <c r="I2369" s="4" t="s">
        <v>40</v>
      </c>
      <c r="J2369" s="3">
        <v>5</v>
      </c>
      <c r="K2369" s="3" t="s">
        <v>67</v>
      </c>
      <c r="L2369" s="3">
        <v>7</v>
      </c>
      <c r="M2369" s="3">
        <v>13</v>
      </c>
      <c r="N2369" s="3" t="s">
        <v>23</v>
      </c>
    </row>
    <row r="2370" spans="1:14" x14ac:dyDescent="0.3">
      <c r="A2370" s="7" t="s">
        <v>2453</v>
      </c>
      <c r="B2370" s="7" t="s">
        <v>129</v>
      </c>
      <c r="C2370" s="7">
        <v>4</v>
      </c>
      <c r="D2370" s="10">
        <v>78.599999999999994</v>
      </c>
      <c r="E2370" s="10">
        <v>314.39999999999998</v>
      </c>
      <c r="F2370" s="9">
        <v>45744</v>
      </c>
      <c r="G2370" s="9">
        <v>45745</v>
      </c>
      <c r="H2370" s="7" t="s">
        <v>26</v>
      </c>
      <c r="I2370" s="8" t="s">
        <v>75</v>
      </c>
      <c r="J2370" s="7">
        <v>3</v>
      </c>
      <c r="K2370" s="7" t="s">
        <v>67</v>
      </c>
      <c r="L2370" s="7">
        <v>1</v>
      </c>
      <c r="M2370" s="7">
        <v>13</v>
      </c>
      <c r="N2370" s="7" t="s">
        <v>28</v>
      </c>
    </row>
    <row r="2371" spans="1:14" x14ac:dyDescent="0.3">
      <c r="A2371" s="3" t="s">
        <v>2454</v>
      </c>
      <c r="B2371" s="3" t="s">
        <v>35</v>
      </c>
      <c r="C2371" s="3">
        <v>2</v>
      </c>
      <c r="D2371" s="6">
        <v>38.5</v>
      </c>
      <c r="E2371" s="6">
        <v>77</v>
      </c>
      <c r="F2371" s="5">
        <v>45744</v>
      </c>
      <c r="G2371" s="5">
        <v>45745</v>
      </c>
      <c r="H2371" s="3" t="s">
        <v>26</v>
      </c>
      <c r="I2371" s="4" t="s">
        <v>21</v>
      </c>
      <c r="J2371" s="3">
        <v>5</v>
      </c>
      <c r="K2371" s="3" t="s">
        <v>67</v>
      </c>
      <c r="L2371" s="3">
        <v>1</v>
      </c>
      <c r="M2371" s="3">
        <v>13</v>
      </c>
      <c r="N2371" s="3" t="s">
        <v>28</v>
      </c>
    </row>
    <row r="2372" spans="1:14" x14ac:dyDescent="0.3">
      <c r="A2372" s="7" t="s">
        <v>2455</v>
      </c>
      <c r="B2372" s="7" t="s">
        <v>49</v>
      </c>
      <c r="C2372" s="7">
        <v>11</v>
      </c>
      <c r="D2372" s="10">
        <v>71.5</v>
      </c>
      <c r="E2372" s="10">
        <v>786.5</v>
      </c>
      <c r="F2372" s="9">
        <v>45744</v>
      </c>
      <c r="G2372" s="9">
        <v>45745</v>
      </c>
      <c r="H2372" s="7" t="s">
        <v>31</v>
      </c>
      <c r="I2372" s="8" t="s">
        <v>40</v>
      </c>
      <c r="J2372" s="7">
        <v>2</v>
      </c>
      <c r="K2372" s="7" t="s">
        <v>67</v>
      </c>
      <c r="L2372" s="7">
        <v>1</v>
      </c>
      <c r="M2372" s="7">
        <v>13</v>
      </c>
      <c r="N2372" s="7" t="s">
        <v>33</v>
      </c>
    </row>
    <row r="2373" spans="1:14" x14ac:dyDescent="0.3">
      <c r="A2373" s="3" t="s">
        <v>2456</v>
      </c>
      <c r="B2373" s="3" t="s">
        <v>44</v>
      </c>
      <c r="C2373" s="3">
        <v>4</v>
      </c>
      <c r="D2373" s="6">
        <v>121.4</v>
      </c>
      <c r="E2373" s="6">
        <v>485.6</v>
      </c>
      <c r="F2373" s="5">
        <v>45744</v>
      </c>
      <c r="G2373" s="5">
        <v>45748</v>
      </c>
      <c r="H2373" s="3" t="s">
        <v>26</v>
      </c>
      <c r="I2373" s="4" t="s">
        <v>40</v>
      </c>
      <c r="J2373" s="3">
        <v>5</v>
      </c>
      <c r="K2373" s="3" t="s">
        <v>109</v>
      </c>
      <c r="L2373" s="3">
        <v>4</v>
      </c>
      <c r="M2373" s="3">
        <v>13</v>
      </c>
      <c r="N2373" s="3" t="s">
        <v>28</v>
      </c>
    </row>
    <row r="2374" spans="1:14" x14ac:dyDescent="0.3">
      <c r="A2374" s="7" t="s">
        <v>2457</v>
      </c>
      <c r="B2374" s="7" t="s">
        <v>72</v>
      </c>
      <c r="C2374" s="7">
        <v>1</v>
      </c>
      <c r="D2374" s="10">
        <v>40.200000000000003</v>
      </c>
      <c r="E2374" s="10">
        <v>40.200000000000003</v>
      </c>
      <c r="F2374" s="9">
        <v>45744</v>
      </c>
      <c r="G2374" s="9">
        <v>45747</v>
      </c>
      <c r="H2374" s="7" t="s">
        <v>31</v>
      </c>
      <c r="I2374" s="8" t="s">
        <v>21</v>
      </c>
      <c r="J2374" s="7">
        <v>5</v>
      </c>
      <c r="K2374" s="7" t="s">
        <v>82</v>
      </c>
      <c r="L2374" s="7">
        <v>3</v>
      </c>
      <c r="M2374" s="7">
        <v>13</v>
      </c>
      <c r="N2374" s="7" t="s">
        <v>33</v>
      </c>
    </row>
    <row r="2375" spans="1:14" x14ac:dyDescent="0.3">
      <c r="A2375" s="3" t="s">
        <v>2458</v>
      </c>
      <c r="B2375" s="3" t="s">
        <v>42</v>
      </c>
      <c r="C2375" s="3">
        <v>5</v>
      </c>
      <c r="D2375" s="6">
        <v>31.9</v>
      </c>
      <c r="E2375" s="6">
        <v>159.5</v>
      </c>
      <c r="F2375" s="5">
        <v>45744</v>
      </c>
      <c r="G2375" s="5">
        <v>45746</v>
      </c>
      <c r="H2375" s="3" t="s">
        <v>31</v>
      </c>
      <c r="I2375" s="4" t="s">
        <v>45</v>
      </c>
      <c r="J2375" s="3">
        <v>5</v>
      </c>
      <c r="K2375" s="3" t="s">
        <v>249</v>
      </c>
      <c r="L2375" s="3">
        <v>2</v>
      </c>
      <c r="M2375" s="3">
        <v>13</v>
      </c>
      <c r="N2375" s="3" t="s">
        <v>33</v>
      </c>
    </row>
    <row r="2376" spans="1:14" x14ac:dyDescent="0.3">
      <c r="A2376" s="7" t="s">
        <v>2459</v>
      </c>
      <c r="B2376" s="7" t="s">
        <v>86</v>
      </c>
      <c r="C2376" s="7">
        <v>5</v>
      </c>
      <c r="D2376" s="10">
        <v>15.8</v>
      </c>
      <c r="E2376" s="10">
        <v>79</v>
      </c>
      <c r="F2376" s="9">
        <v>45745</v>
      </c>
      <c r="G2376" s="9">
        <v>45746</v>
      </c>
      <c r="H2376" s="7" t="s">
        <v>26</v>
      </c>
      <c r="I2376" s="8" t="s">
        <v>56</v>
      </c>
      <c r="J2376" s="7">
        <v>5</v>
      </c>
      <c r="K2376" s="7" t="s">
        <v>121</v>
      </c>
      <c r="L2376" s="7">
        <v>1</v>
      </c>
      <c r="M2376" s="7">
        <v>13</v>
      </c>
      <c r="N2376" s="7" t="s">
        <v>28</v>
      </c>
    </row>
    <row r="2377" spans="1:14" x14ac:dyDescent="0.3">
      <c r="A2377" s="3" t="s">
        <v>2460</v>
      </c>
      <c r="B2377" s="3" t="s">
        <v>59</v>
      </c>
      <c r="C2377" s="3">
        <v>2</v>
      </c>
      <c r="D2377" s="6">
        <v>25.1</v>
      </c>
      <c r="E2377" s="6">
        <v>50.2</v>
      </c>
      <c r="F2377" s="5">
        <v>45745</v>
      </c>
      <c r="G2377" s="5">
        <v>45747</v>
      </c>
      <c r="H2377" s="3"/>
      <c r="I2377" s="4" t="s">
        <v>40</v>
      </c>
      <c r="J2377" s="3">
        <v>4</v>
      </c>
      <c r="K2377" s="3" t="s">
        <v>121</v>
      </c>
      <c r="L2377" s="3">
        <v>2</v>
      </c>
      <c r="M2377" s="3">
        <v>13</v>
      </c>
      <c r="N2377" s="3" t="s">
        <v>23</v>
      </c>
    </row>
    <row r="2378" spans="1:14" x14ac:dyDescent="0.3">
      <c r="A2378" s="7" t="s">
        <v>2461</v>
      </c>
      <c r="B2378" s="7" t="s">
        <v>25</v>
      </c>
      <c r="C2378" s="7">
        <v>23</v>
      </c>
      <c r="D2378" s="10">
        <v>38.1</v>
      </c>
      <c r="E2378" s="10">
        <v>876.30000000000007</v>
      </c>
      <c r="F2378" s="9">
        <v>45745</v>
      </c>
      <c r="G2378" s="9">
        <v>45746</v>
      </c>
      <c r="H2378" s="7" t="s">
        <v>31</v>
      </c>
      <c r="I2378" s="8" t="s">
        <v>75</v>
      </c>
      <c r="J2378" s="7">
        <v>4</v>
      </c>
      <c r="K2378" s="7" t="s">
        <v>27</v>
      </c>
      <c r="L2378" s="7">
        <v>1</v>
      </c>
      <c r="M2378" s="7">
        <v>13</v>
      </c>
      <c r="N2378" s="7" t="s">
        <v>33</v>
      </c>
    </row>
    <row r="2379" spans="1:14" x14ac:dyDescent="0.3">
      <c r="A2379" s="3" t="s">
        <v>2462</v>
      </c>
      <c r="B2379" s="3" t="s">
        <v>35</v>
      </c>
      <c r="C2379" s="3">
        <v>2</v>
      </c>
      <c r="D2379" s="6">
        <v>42.2</v>
      </c>
      <c r="E2379" s="6">
        <v>84.4</v>
      </c>
      <c r="F2379" s="5">
        <v>45745</v>
      </c>
      <c r="G2379" s="5">
        <v>45747</v>
      </c>
      <c r="H2379" s="3" t="s">
        <v>31</v>
      </c>
      <c r="I2379" s="4" t="s">
        <v>21</v>
      </c>
      <c r="J2379" s="3">
        <v>5</v>
      </c>
      <c r="K2379" s="3" t="s">
        <v>27</v>
      </c>
      <c r="L2379" s="3">
        <v>2</v>
      </c>
      <c r="M2379" s="3">
        <v>13</v>
      </c>
      <c r="N2379" s="3" t="s">
        <v>33</v>
      </c>
    </row>
    <row r="2380" spans="1:14" x14ac:dyDescent="0.3">
      <c r="A2380" s="7" t="s">
        <v>2463</v>
      </c>
      <c r="B2380" s="7" t="s">
        <v>20</v>
      </c>
      <c r="C2380" s="7">
        <v>10</v>
      </c>
      <c r="D2380" s="10">
        <v>12.3</v>
      </c>
      <c r="E2380" s="10">
        <v>123</v>
      </c>
      <c r="F2380" s="9">
        <v>45745</v>
      </c>
      <c r="G2380" s="9">
        <v>45746</v>
      </c>
      <c r="H2380" s="7" t="s">
        <v>31</v>
      </c>
      <c r="I2380" s="8" t="s">
        <v>75</v>
      </c>
      <c r="J2380" s="7">
        <v>4</v>
      </c>
      <c r="K2380" s="7" t="s">
        <v>32</v>
      </c>
      <c r="L2380" s="7">
        <v>1</v>
      </c>
      <c r="M2380" s="7">
        <v>13</v>
      </c>
      <c r="N2380" s="7" t="s">
        <v>33</v>
      </c>
    </row>
    <row r="2381" spans="1:14" x14ac:dyDescent="0.3">
      <c r="A2381" s="3" t="s">
        <v>2464</v>
      </c>
      <c r="B2381" s="3" t="s">
        <v>47</v>
      </c>
      <c r="C2381" s="3">
        <v>1</v>
      </c>
      <c r="D2381" s="6">
        <v>30.2</v>
      </c>
      <c r="E2381" s="6">
        <v>30.2</v>
      </c>
      <c r="F2381" s="5">
        <v>45745</v>
      </c>
      <c r="G2381" s="5">
        <v>45747</v>
      </c>
      <c r="H2381" s="3" t="s">
        <v>31</v>
      </c>
      <c r="I2381" s="4" t="s">
        <v>40</v>
      </c>
      <c r="J2381" s="3">
        <v>5</v>
      </c>
      <c r="K2381" s="3" t="s">
        <v>22</v>
      </c>
      <c r="L2381" s="3">
        <v>2</v>
      </c>
      <c r="M2381" s="3">
        <v>13</v>
      </c>
      <c r="N2381" s="3" t="s">
        <v>33</v>
      </c>
    </row>
    <row r="2382" spans="1:14" x14ac:dyDescent="0.3">
      <c r="A2382" s="7" t="s">
        <v>2465</v>
      </c>
      <c r="B2382" s="7" t="s">
        <v>42</v>
      </c>
      <c r="C2382" s="7">
        <v>3</v>
      </c>
      <c r="D2382" s="10">
        <v>25.3</v>
      </c>
      <c r="E2382" s="10">
        <v>75.900000000000006</v>
      </c>
      <c r="F2382" s="9">
        <v>45745</v>
      </c>
      <c r="G2382" s="9">
        <v>45748</v>
      </c>
      <c r="H2382" s="7" t="s">
        <v>31</v>
      </c>
      <c r="I2382" s="8" t="s">
        <v>45</v>
      </c>
      <c r="J2382" s="7">
        <v>4</v>
      </c>
      <c r="K2382" s="7" t="s">
        <v>38</v>
      </c>
      <c r="L2382" s="7">
        <v>3</v>
      </c>
      <c r="M2382" s="7">
        <v>13</v>
      </c>
      <c r="N2382" s="7" t="s">
        <v>33</v>
      </c>
    </row>
    <row r="2383" spans="1:14" x14ac:dyDescent="0.3">
      <c r="A2383" s="3" t="s">
        <v>2466</v>
      </c>
      <c r="B2383" s="3" t="s">
        <v>49</v>
      </c>
      <c r="C2383" s="3">
        <v>5</v>
      </c>
      <c r="D2383" s="6">
        <v>29.7</v>
      </c>
      <c r="E2383" s="6">
        <v>148.5</v>
      </c>
      <c r="F2383" s="5">
        <v>45745</v>
      </c>
      <c r="G2383" s="5">
        <v>45747</v>
      </c>
      <c r="H2383" s="3" t="s">
        <v>26</v>
      </c>
      <c r="I2383" s="4" t="s">
        <v>56</v>
      </c>
      <c r="J2383" s="3">
        <v>4</v>
      </c>
      <c r="K2383" s="3" t="s">
        <v>38</v>
      </c>
      <c r="L2383" s="3">
        <v>2</v>
      </c>
      <c r="M2383" s="3">
        <v>13</v>
      </c>
      <c r="N2383" s="3" t="s">
        <v>28</v>
      </c>
    </row>
    <row r="2384" spans="1:14" x14ac:dyDescent="0.3">
      <c r="A2384" s="7" t="s">
        <v>2467</v>
      </c>
      <c r="B2384" s="7" t="s">
        <v>51</v>
      </c>
      <c r="C2384" s="7">
        <v>8</v>
      </c>
      <c r="D2384" s="10">
        <v>32.9</v>
      </c>
      <c r="E2384" s="10">
        <v>263.2</v>
      </c>
      <c r="F2384" s="9">
        <v>45745</v>
      </c>
      <c r="G2384" s="9">
        <v>45746</v>
      </c>
      <c r="H2384" s="7"/>
      <c r="I2384" s="8" t="s">
        <v>56</v>
      </c>
      <c r="J2384" s="7">
        <v>5</v>
      </c>
      <c r="K2384" s="7" t="s">
        <v>38</v>
      </c>
      <c r="L2384" s="7">
        <v>1</v>
      </c>
      <c r="M2384" s="7">
        <v>13</v>
      </c>
      <c r="N2384" s="7" t="s">
        <v>23</v>
      </c>
    </row>
    <row r="2385" spans="1:14" x14ac:dyDescent="0.3">
      <c r="A2385" s="3" t="s">
        <v>2468</v>
      </c>
      <c r="B2385" s="3" t="s">
        <v>59</v>
      </c>
      <c r="C2385" s="3">
        <v>2</v>
      </c>
      <c r="D2385" s="6">
        <v>43.6</v>
      </c>
      <c r="E2385" s="6">
        <v>87.2</v>
      </c>
      <c r="F2385" s="5">
        <v>45745</v>
      </c>
      <c r="G2385" s="5">
        <v>45746</v>
      </c>
      <c r="H2385" s="3" t="s">
        <v>26</v>
      </c>
      <c r="I2385" s="4" t="s">
        <v>40</v>
      </c>
      <c r="J2385" s="3">
        <v>5</v>
      </c>
      <c r="K2385" s="3" t="s">
        <v>38</v>
      </c>
      <c r="L2385" s="3">
        <v>1</v>
      </c>
      <c r="M2385" s="3">
        <v>13</v>
      </c>
      <c r="N2385" s="3" t="s">
        <v>28</v>
      </c>
    </row>
    <row r="2386" spans="1:14" x14ac:dyDescent="0.3">
      <c r="A2386" s="7" t="s">
        <v>2469</v>
      </c>
      <c r="B2386" s="7" t="s">
        <v>129</v>
      </c>
      <c r="C2386" s="7">
        <v>4</v>
      </c>
      <c r="D2386" s="10">
        <v>78.400000000000006</v>
      </c>
      <c r="E2386" s="10">
        <v>313.60000000000002</v>
      </c>
      <c r="F2386" s="9">
        <v>45745</v>
      </c>
      <c r="G2386" s="9">
        <v>45746</v>
      </c>
      <c r="H2386" s="7" t="s">
        <v>26</v>
      </c>
      <c r="I2386" s="8" t="s">
        <v>45</v>
      </c>
      <c r="J2386" s="7">
        <v>4</v>
      </c>
      <c r="K2386" s="7" t="s">
        <v>38</v>
      </c>
      <c r="L2386" s="7">
        <v>1</v>
      </c>
      <c r="M2386" s="7">
        <v>13</v>
      </c>
      <c r="N2386" s="7" t="s">
        <v>28</v>
      </c>
    </row>
    <row r="2387" spans="1:14" x14ac:dyDescent="0.3">
      <c r="A2387" s="3" t="s">
        <v>2470</v>
      </c>
      <c r="B2387" s="3" t="s">
        <v>44</v>
      </c>
      <c r="C2387" s="3">
        <v>2</v>
      </c>
      <c r="D2387" s="6">
        <v>56.5</v>
      </c>
      <c r="E2387" s="6">
        <v>113</v>
      </c>
      <c r="F2387" s="5">
        <v>45745</v>
      </c>
      <c r="G2387" s="5">
        <v>45749</v>
      </c>
      <c r="H2387" s="3" t="s">
        <v>26</v>
      </c>
      <c r="I2387" s="4" t="s">
        <v>40</v>
      </c>
      <c r="J2387" s="3">
        <v>3</v>
      </c>
      <c r="K2387" s="3" t="s">
        <v>38</v>
      </c>
      <c r="L2387" s="3">
        <v>4</v>
      </c>
      <c r="M2387" s="3">
        <v>13</v>
      </c>
      <c r="N2387" s="3" t="s">
        <v>28</v>
      </c>
    </row>
    <row r="2388" spans="1:14" x14ac:dyDescent="0.3">
      <c r="A2388" s="7" t="s">
        <v>2471</v>
      </c>
      <c r="B2388" s="7" t="s">
        <v>134</v>
      </c>
      <c r="C2388" s="7">
        <v>1</v>
      </c>
      <c r="D2388" s="10">
        <v>36.700000000000003</v>
      </c>
      <c r="E2388" s="10">
        <v>36.700000000000003</v>
      </c>
      <c r="F2388" s="9">
        <v>45745</v>
      </c>
      <c r="G2388" s="9">
        <v>45746</v>
      </c>
      <c r="H2388" s="7" t="s">
        <v>31</v>
      </c>
      <c r="I2388" s="8" t="s">
        <v>21</v>
      </c>
      <c r="J2388" s="7">
        <v>5</v>
      </c>
      <c r="K2388" s="7" t="s">
        <v>38</v>
      </c>
      <c r="L2388" s="7">
        <v>1</v>
      </c>
      <c r="M2388" s="7">
        <v>13</v>
      </c>
      <c r="N2388" s="7" t="s">
        <v>33</v>
      </c>
    </row>
    <row r="2389" spans="1:14" x14ac:dyDescent="0.3">
      <c r="A2389" s="3" t="s">
        <v>2472</v>
      </c>
      <c r="B2389" s="3" t="s">
        <v>30</v>
      </c>
      <c r="C2389" s="3">
        <v>4</v>
      </c>
      <c r="D2389" s="6">
        <v>103.6</v>
      </c>
      <c r="E2389" s="6">
        <v>414.4</v>
      </c>
      <c r="F2389" s="5">
        <v>45745</v>
      </c>
      <c r="G2389" s="5">
        <v>45756</v>
      </c>
      <c r="H2389" s="3" t="s">
        <v>26</v>
      </c>
      <c r="I2389" s="4" t="s">
        <v>75</v>
      </c>
      <c r="J2389" s="3">
        <v>5</v>
      </c>
      <c r="K2389" s="3" t="s">
        <v>38</v>
      </c>
      <c r="L2389" s="3">
        <v>11</v>
      </c>
      <c r="M2389" s="3">
        <v>13</v>
      </c>
      <c r="N2389" s="3" t="s">
        <v>28</v>
      </c>
    </row>
    <row r="2390" spans="1:14" x14ac:dyDescent="0.3">
      <c r="A2390" s="7" t="s">
        <v>2473</v>
      </c>
      <c r="B2390" s="7" t="s">
        <v>49</v>
      </c>
      <c r="C2390" s="7">
        <v>6</v>
      </c>
      <c r="D2390" s="10">
        <v>16.2</v>
      </c>
      <c r="E2390" s="10">
        <v>97.199999999999989</v>
      </c>
      <c r="F2390" s="9">
        <v>45745</v>
      </c>
      <c r="G2390" s="9">
        <v>45749</v>
      </c>
      <c r="H2390" s="7" t="s">
        <v>26</v>
      </c>
      <c r="I2390" s="8" t="s">
        <v>40</v>
      </c>
      <c r="J2390" s="7">
        <v>5</v>
      </c>
      <c r="K2390" s="7" t="s">
        <v>60</v>
      </c>
      <c r="L2390" s="7">
        <v>4</v>
      </c>
      <c r="M2390" s="7">
        <v>13</v>
      </c>
      <c r="N2390" s="7" t="s">
        <v>28</v>
      </c>
    </row>
    <row r="2391" spans="1:14" x14ac:dyDescent="0.3">
      <c r="A2391" s="3" t="s">
        <v>2474</v>
      </c>
      <c r="B2391" s="3" t="s">
        <v>49</v>
      </c>
      <c r="C2391" s="3">
        <v>2</v>
      </c>
      <c r="D2391" s="6">
        <v>20.2</v>
      </c>
      <c r="E2391" s="6">
        <v>40.4</v>
      </c>
      <c r="F2391" s="5">
        <v>45745</v>
      </c>
      <c r="G2391" s="5">
        <v>45746</v>
      </c>
      <c r="H2391" s="3" t="s">
        <v>31</v>
      </c>
      <c r="I2391" s="4" t="s">
        <v>21</v>
      </c>
      <c r="J2391" s="3">
        <v>4</v>
      </c>
      <c r="K2391" s="3" t="s">
        <v>60</v>
      </c>
      <c r="L2391" s="3">
        <v>1</v>
      </c>
      <c r="M2391" s="3">
        <v>13</v>
      </c>
      <c r="N2391" s="3" t="s">
        <v>33</v>
      </c>
    </row>
    <row r="2392" spans="1:14" x14ac:dyDescent="0.3">
      <c r="A2392" s="7" t="s">
        <v>2475</v>
      </c>
      <c r="B2392" s="7" t="s">
        <v>72</v>
      </c>
      <c r="C2392" s="7">
        <v>2</v>
      </c>
      <c r="D2392" s="10">
        <v>26.9</v>
      </c>
      <c r="E2392" s="10">
        <v>53.8</v>
      </c>
      <c r="F2392" s="9">
        <v>45745</v>
      </c>
      <c r="G2392" s="9">
        <v>45747</v>
      </c>
      <c r="H2392" s="7" t="s">
        <v>31</v>
      </c>
      <c r="I2392" s="8" t="s">
        <v>45</v>
      </c>
      <c r="J2392" s="7">
        <v>4</v>
      </c>
      <c r="K2392" s="7" t="s">
        <v>60</v>
      </c>
      <c r="L2392" s="7">
        <v>2</v>
      </c>
      <c r="M2392" s="7">
        <v>13</v>
      </c>
      <c r="N2392" s="7" t="s">
        <v>33</v>
      </c>
    </row>
    <row r="2393" spans="1:14" x14ac:dyDescent="0.3">
      <c r="A2393" s="3" t="s">
        <v>2476</v>
      </c>
      <c r="B2393" s="3" t="s">
        <v>25</v>
      </c>
      <c r="C2393" s="3">
        <v>2</v>
      </c>
      <c r="D2393" s="6">
        <v>82.4</v>
      </c>
      <c r="E2393" s="6">
        <v>164.8</v>
      </c>
      <c r="F2393" s="5">
        <v>45745</v>
      </c>
      <c r="G2393" s="5">
        <v>45748</v>
      </c>
      <c r="H2393" s="3"/>
      <c r="I2393" s="4" t="s">
        <v>21</v>
      </c>
      <c r="J2393" s="3">
        <v>4</v>
      </c>
      <c r="K2393" s="3" t="s">
        <v>64</v>
      </c>
      <c r="L2393" s="3">
        <v>3</v>
      </c>
      <c r="M2393" s="3">
        <v>13</v>
      </c>
      <c r="N2393" s="3" t="s">
        <v>23</v>
      </c>
    </row>
    <row r="2394" spans="1:14" x14ac:dyDescent="0.3">
      <c r="A2394" s="7" t="s">
        <v>2477</v>
      </c>
      <c r="B2394" s="7" t="s">
        <v>30</v>
      </c>
      <c r="C2394" s="7">
        <v>2</v>
      </c>
      <c r="D2394" s="10">
        <v>117.8</v>
      </c>
      <c r="E2394" s="10">
        <v>235.6</v>
      </c>
      <c r="F2394" s="9">
        <v>45745</v>
      </c>
      <c r="G2394" s="9">
        <v>45747</v>
      </c>
      <c r="H2394" s="7" t="s">
        <v>26</v>
      </c>
      <c r="I2394" s="8" t="s">
        <v>40</v>
      </c>
      <c r="J2394" s="7">
        <v>5</v>
      </c>
      <c r="K2394" s="7" t="s">
        <v>67</v>
      </c>
      <c r="L2394" s="7">
        <v>2</v>
      </c>
      <c r="M2394" s="7">
        <v>13</v>
      </c>
      <c r="N2394" s="7" t="s">
        <v>28</v>
      </c>
    </row>
    <row r="2395" spans="1:14" x14ac:dyDescent="0.3">
      <c r="A2395" s="3" t="s">
        <v>2478</v>
      </c>
      <c r="B2395" s="3" t="s">
        <v>72</v>
      </c>
      <c r="C2395" s="3">
        <v>4</v>
      </c>
      <c r="D2395" s="6">
        <v>36.700000000000003</v>
      </c>
      <c r="E2395" s="6">
        <v>146.80000000000001</v>
      </c>
      <c r="F2395" s="5">
        <v>45745</v>
      </c>
      <c r="G2395" s="5">
        <v>45746</v>
      </c>
      <c r="H2395" s="3" t="s">
        <v>26</v>
      </c>
      <c r="I2395" s="4" t="s">
        <v>40</v>
      </c>
      <c r="J2395" s="3">
        <v>4</v>
      </c>
      <c r="K2395" s="3" t="s">
        <v>67</v>
      </c>
      <c r="L2395" s="3">
        <v>1</v>
      </c>
      <c r="M2395" s="3">
        <v>13</v>
      </c>
      <c r="N2395" s="3" t="s">
        <v>28</v>
      </c>
    </row>
    <row r="2396" spans="1:14" x14ac:dyDescent="0.3">
      <c r="A2396" s="7" t="s">
        <v>2479</v>
      </c>
      <c r="B2396" s="7" t="s">
        <v>141</v>
      </c>
      <c r="C2396" s="7">
        <v>3</v>
      </c>
      <c r="D2396" s="10">
        <v>46.8</v>
      </c>
      <c r="E2396" s="10">
        <v>140.4</v>
      </c>
      <c r="F2396" s="9">
        <v>45745</v>
      </c>
      <c r="G2396" s="9">
        <v>45746</v>
      </c>
      <c r="H2396" s="7" t="s">
        <v>26</v>
      </c>
      <c r="I2396" s="8" t="s">
        <v>75</v>
      </c>
      <c r="J2396" s="7">
        <v>5</v>
      </c>
      <c r="K2396" s="7" t="s">
        <v>79</v>
      </c>
      <c r="L2396" s="7">
        <v>1</v>
      </c>
      <c r="M2396" s="7">
        <v>13</v>
      </c>
      <c r="N2396" s="7" t="s">
        <v>28</v>
      </c>
    </row>
    <row r="2397" spans="1:14" x14ac:dyDescent="0.3">
      <c r="A2397" s="3" t="s">
        <v>2480</v>
      </c>
      <c r="B2397" s="3" t="s">
        <v>35</v>
      </c>
      <c r="C2397" s="3">
        <v>1</v>
      </c>
      <c r="D2397" s="6">
        <v>61.4</v>
      </c>
      <c r="E2397" s="6">
        <v>61.4</v>
      </c>
      <c r="F2397" s="5">
        <v>45745</v>
      </c>
      <c r="G2397" s="5">
        <v>45746</v>
      </c>
      <c r="H2397" s="3" t="s">
        <v>26</v>
      </c>
      <c r="I2397" s="4" t="s">
        <v>40</v>
      </c>
      <c r="J2397" s="3">
        <v>4</v>
      </c>
      <c r="K2397" s="3" t="s">
        <v>79</v>
      </c>
      <c r="L2397" s="3">
        <v>1</v>
      </c>
      <c r="M2397" s="3">
        <v>13</v>
      </c>
      <c r="N2397" s="3" t="s">
        <v>28</v>
      </c>
    </row>
    <row r="2398" spans="1:14" x14ac:dyDescent="0.3">
      <c r="A2398" s="7" t="s">
        <v>2481</v>
      </c>
      <c r="B2398" s="7" t="s">
        <v>129</v>
      </c>
      <c r="C2398" s="7">
        <v>2</v>
      </c>
      <c r="D2398" s="10">
        <v>22.9</v>
      </c>
      <c r="E2398" s="10">
        <v>45.8</v>
      </c>
      <c r="F2398" s="9">
        <v>45745</v>
      </c>
      <c r="G2398" s="9">
        <v>45746</v>
      </c>
      <c r="H2398" s="7" t="s">
        <v>26</v>
      </c>
      <c r="I2398" s="8" t="s">
        <v>21</v>
      </c>
      <c r="J2398" s="7">
        <v>4</v>
      </c>
      <c r="K2398" s="7" t="s">
        <v>82</v>
      </c>
      <c r="L2398" s="7">
        <v>1</v>
      </c>
      <c r="M2398" s="7">
        <v>13</v>
      </c>
      <c r="N2398" s="7" t="s">
        <v>28</v>
      </c>
    </row>
    <row r="2399" spans="1:14" x14ac:dyDescent="0.3">
      <c r="A2399" s="3" t="s">
        <v>2482</v>
      </c>
      <c r="B2399" s="3" t="s">
        <v>59</v>
      </c>
      <c r="C2399" s="3">
        <v>2</v>
      </c>
      <c r="D2399" s="6">
        <v>22.1</v>
      </c>
      <c r="E2399" s="6">
        <v>44.2</v>
      </c>
      <c r="F2399" s="5">
        <v>45745</v>
      </c>
      <c r="G2399" s="5">
        <v>45746</v>
      </c>
      <c r="H2399" s="3" t="s">
        <v>31</v>
      </c>
      <c r="I2399" s="4" t="s">
        <v>75</v>
      </c>
      <c r="J2399" s="3">
        <v>4</v>
      </c>
      <c r="K2399" s="3" t="s">
        <v>82</v>
      </c>
      <c r="L2399" s="3">
        <v>1</v>
      </c>
      <c r="M2399" s="3">
        <v>13</v>
      </c>
      <c r="N2399" s="3" t="s">
        <v>33</v>
      </c>
    </row>
    <row r="2400" spans="1:14" x14ac:dyDescent="0.3">
      <c r="A2400" s="7" t="s">
        <v>2483</v>
      </c>
      <c r="B2400" s="7" t="s">
        <v>74</v>
      </c>
      <c r="C2400" s="7">
        <v>2</v>
      </c>
      <c r="D2400" s="10">
        <v>31</v>
      </c>
      <c r="E2400" s="10">
        <v>62</v>
      </c>
      <c r="F2400" s="9">
        <v>45745</v>
      </c>
      <c r="G2400" s="9">
        <v>45747</v>
      </c>
      <c r="H2400" s="7" t="s">
        <v>31</v>
      </c>
      <c r="I2400" s="8" t="s">
        <v>45</v>
      </c>
      <c r="J2400" s="7">
        <v>4</v>
      </c>
      <c r="K2400" s="7" t="s">
        <v>114</v>
      </c>
      <c r="L2400" s="7">
        <v>2</v>
      </c>
      <c r="M2400" s="7">
        <v>13</v>
      </c>
      <c r="N2400" s="7" t="s">
        <v>33</v>
      </c>
    </row>
    <row r="2401" spans="1:14" x14ac:dyDescent="0.3">
      <c r="A2401" s="3" t="s">
        <v>2484</v>
      </c>
      <c r="B2401" s="3" t="s">
        <v>152</v>
      </c>
      <c r="C2401" s="3">
        <v>2</v>
      </c>
      <c r="D2401" s="6">
        <v>84.2</v>
      </c>
      <c r="E2401" s="6">
        <v>168.4</v>
      </c>
      <c r="F2401" s="5">
        <v>45745</v>
      </c>
      <c r="G2401" s="5">
        <v>45747</v>
      </c>
      <c r="H2401" s="3" t="s">
        <v>26</v>
      </c>
      <c r="I2401" s="4" t="s">
        <v>45</v>
      </c>
      <c r="J2401" s="3">
        <v>5</v>
      </c>
      <c r="K2401" s="3" t="s">
        <v>87</v>
      </c>
      <c r="L2401" s="3">
        <v>2</v>
      </c>
      <c r="M2401" s="3">
        <v>13</v>
      </c>
      <c r="N2401" s="3" t="s">
        <v>28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4DE27-C90E-40F5-825A-A1AA0622E2E4}">
  <dimension ref="A1:A17"/>
  <sheetViews>
    <sheetView workbookViewId="0">
      <selection activeCell="A17" sqref="A17"/>
    </sheetView>
  </sheetViews>
  <sheetFormatPr defaultRowHeight="14.4" x14ac:dyDescent="0.3"/>
  <cols>
    <col min="1" max="1" width="30.77734375" bestFit="1" customWidth="1"/>
  </cols>
  <sheetData>
    <row r="1" spans="1:1" x14ac:dyDescent="0.3">
      <c r="A1" s="14" t="s">
        <v>2485</v>
      </c>
    </row>
    <row r="2" spans="1:1" x14ac:dyDescent="0.3">
      <c r="A2" t="s">
        <v>2486</v>
      </c>
    </row>
    <row r="3" spans="1:1" x14ac:dyDescent="0.3">
      <c r="A3" t="s">
        <v>2487</v>
      </c>
    </row>
    <row r="4" spans="1:1" x14ac:dyDescent="0.3">
      <c r="A4" t="s">
        <v>2488</v>
      </c>
    </row>
    <row r="5" spans="1:1" x14ac:dyDescent="0.3">
      <c r="A5" t="s">
        <v>2489</v>
      </c>
    </row>
    <row r="6" spans="1:1" x14ac:dyDescent="0.3">
      <c r="A6" t="s">
        <v>2490</v>
      </c>
    </row>
    <row r="9" spans="1:1" x14ac:dyDescent="0.3">
      <c r="A9" s="14" t="s">
        <v>2491</v>
      </c>
    </row>
    <row r="10" spans="1:1" x14ac:dyDescent="0.3">
      <c r="A10" t="s">
        <v>2492</v>
      </c>
    </row>
    <row r="11" spans="1:1" x14ac:dyDescent="0.3">
      <c r="A11" t="s">
        <v>2493</v>
      </c>
    </row>
    <row r="12" spans="1:1" x14ac:dyDescent="0.3">
      <c r="A12" t="s">
        <v>2494</v>
      </c>
    </row>
    <row r="13" spans="1:1" x14ac:dyDescent="0.3">
      <c r="A13" t="s">
        <v>2495</v>
      </c>
    </row>
    <row r="14" spans="1:1" x14ac:dyDescent="0.3">
      <c r="A14" t="s">
        <v>2496</v>
      </c>
    </row>
    <row r="15" spans="1:1" x14ac:dyDescent="0.3">
      <c r="A15" t="s">
        <v>2497</v>
      </c>
    </row>
    <row r="16" spans="1:1" x14ac:dyDescent="0.3">
      <c r="A16" t="s">
        <v>2498</v>
      </c>
    </row>
    <row r="17" spans="1:1" x14ac:dyDescent="0.3">
      <c r="A17" t="s">
        <v>2499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Pivots</vt:lpstr>
      <vt:lpstr>Sheet1</vt:lpstr>
      <vt:lpstr>Data</vt:lpstr>
      <vt:lpstr>Questions&amp;KPI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Gaurav Upreti</dc:creator>
  <cp:keywords/>
  <dc:description/>
  <cp:lastModifiedBy>Gaurav Upreti</cp:lastModifiedBy>
  <cp:revision/>
  <dcterms:created xsi:type="dcterms:W3CDTF">2026-03-29T15:57:42Z</dcterms:created>
  <dcterms:modified xsi:type="dcterms:W3CDTF">2026-05-23T16:03:10Z</dcterms:modified>
  <cp:category/>
  <cp:contentStatus/>
</cp:coreProperties>
</file>